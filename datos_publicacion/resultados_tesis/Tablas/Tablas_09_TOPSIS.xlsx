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Índice" sheetId="1" state="visible" r:id="rId3"/>
    <sheet name="1_Metodo" sheetId="2" state="visible" r:id="rId4"/>
    <sheet name="2_Matriz_decision" sheetId="3" state="visible" r:id="rId5"/>
    <sheet name="3_Pesos" sheetId="4" state="visible" r:id="rId6"/>
    <sheet name="4_Normalizacion" sheetId="5" state="visible" r:id="rId7"/>
    <sheet name="5_Ponderada" sheetId="6" state="visible" r:id="rId8"/>
    <sheet name="6_Distancias_C" sheetId="7" state="visible" r:id="rId9"/>
    <sheet name="7_Resultados" sheetId="8" state="visible" r:id="rId10"/>
    <sheet name="8_Ejemplo"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<sst xmlns="http://schemas.openxmlformats.org/spreadsheetml/2006/main" count="380" uniqueCount="252">
  <si>
    <t xml:space="preserve">Tablas 58–66. Método TOPSIS del Índice de Vulnerabilidad Costera (IVC), Barra de Salamanca</t>
  </si>
  <si>
    <t xml:space="preserve">Hoja</t>
  </si>
  <si>
    <t xml:space="preserve">Tabla</t>
  </si>
  <si>
    <t xml:space="preserve">Título</t>
  </si>
  <si>
    <t xml:space="preserve">1_Metodo</t>
  </si>
  <si>
    <t xml:space="preserve">—</t>
  </si>
  <si>
    <t xml:space="preserve">Método TOPSIS con ideal y anti-ideal fijos aplicado al Índice de Vulnerabilidad Costera (IVC)</t>
  </si>
  <si>
    <t xml:space="preserve">2_Matriz_decision</t>
  </si>
  <si>
    <t xml:space="preserve">Tabla 58</t>
  </si>
  <si>
    <t xml:space="preserve">Matriz de decisión: puntuaciones 1–5 de las 15 variables del IVC por transecto</t>
  </si>
  <si>
    <t xml:space="preserve">3_Pesos</t>
  </si>
  <si>
    <t xml:space="preserve">Tabla 59</t>
  </si>
  <si>
    <t xml:space="preserve">Pesos por entropía (EWM) del IVC total usados en TOPSIS</t>
  </si>
  <si>
    <t xml:space="preserve">4_Normalizacion</t>
  </si>
  <si>
    <t xml:space="preserve">Tabla 60</t>
  </si>
  <si>
    <t xml:space="preserve">Normalización vectorial: r_ij = x_ij / √(Σ_i x_ij²)</t>
  </si>
  <si>
    <t xml:space="preserve">5_Ponderada</t>
  </si>
  <si>
    <t xml:space="preserve">Tabla 61</t>
  </si>
  <si>
    <t xml:space="preserve">Matriz normalizada ponderada v_ij = w_j · r_ij, ideal (A+) y anti-ideal (A−) fijos</t>
  </si>
  <si>
    <t xml:space="preserve">6_Distancias_C</t>
  </si>
  <si>
    <t xml:space="preserve">Tabla 62</t>
  </si>
  <si>
    <t xml:space="preserve">Distancias al ideal y al anti-ideal, cercanía relativa C, clase y verificación con la tesis</t>
  </si>
  <si>
    <t xml:space="preserve">7_Resultados</t>
  </si>
  <si>
    <t xml:space="preserve">Tablas 63–65</t>
  </si>
  <si>
    <t xml:space="preserve">Distribución de clases, estadísticos y verificación, y los 10 transectos más vulnerables según TOPSIS-EWM</t>
  </si>
  <si>
    <t xml:space="preserve">8_Ejemplo</t>
  </si>
  <si>
    <t xml:space="preserve">Tabla 66</t>
  </si>
  <si>
    <t xml:space="preserve">Ejemplo trabajado de TOPSIS con tres transectos: el más vulnerable, el mediano y el menos vulnerable</t>
  </si>
  <si>
    <r>
      <rPr>
        <i val="true"/>
        <sz val="10"/>
        <rFont val="Times New Roman"/>
        <family val="0"/>
        <charset val="1"/>
      </rPr>
      <t xml:space="preserve">Nota. </t>
    </r>
    <r>
      <rPr>
        <sz val="10"/>
        <rFont val="Times New Roman"/>
        <family val="0"/>
        <charset val="1"/>
      </rPr>
      <t xml:space="preserve">La numeración de tablas continúa la de Tablas_08_Metricas_Validacion_Incertidumbre.xlsx (Tabla 57). Todas las celdas calculadas son fórmulas de Excel vivas; los valores fijos son los datos de entrada (puntuaciones y pesos) y las columnas de referencia "(archivo)". Método: Hwang y Yoon (1981); Behzadian et al. (2012).</t>
    </r>
  </si>
  <si>
    <t xml:space="preserve">Descripción del método</t>
  </si>
  <si>
    <t xml:space="preserve">Paso</t>
  </si>
  <si>
    <t xml:space="preserve">Qué se hace y por qué</t>
  </si>
  <si>
    <t xml:space="preserve">Ecuación (texto)</t>
  </si>
  <si>
    <t xml:space="preserve">0. Matriz de decisión</t>
  </si>
  <si>
    <t xml:space="preserve">Se parte de la matriz X de 671 transectos (alternativas, i) × 15 variables (criterios, j) con las puntuaciones 1–5 del IVC, ordenada por distancia a lo largo de la costa (dist_costa_km). Todas las puntuaciones ya están orientadas en el mismo sentido: mayor puntuación = mayor vulnerabilidad. La orientación de cada variable (p. ej., a mayor elevación, menor puntuación) se resolvió antes, en la clasificación 1–5 (Tablas_04_Clasificacion_1_5.xlsx).</t>
  </si>
  <si>
    <t xml:space="preserve">X = [x_ij], i = 1…671, j = 1…15; x_ij ∈ [1; 5]</t>
  </si>
  <si>
    <t xml:space="preserve">Criterios de beneficio y de costo</t>
  </si>
  <si>
    <t xml:space="preserve">En TOPSIS, un criterio de beneficio es aquel en que un valor mayor acerca la alternativa a la solución ideal (el ideal toma el máximo), y uno de costo aquel en que un valor menor la acerca (el ideal toma el mínimo). Aquí la "solución ideal" es el estado de máxima vulnerabilidad, y como todas las puntuaciones están orientadas (mayor = más vulnerable), los 15 criterios se tratan como de beneficio: ninguno se invierte dentro de TOPSIS.</t>
  </si>
  <si>
    <t xml:space="preserve">Beneficio: A+_j = máx; costo: A+_j = mín. Aquí: los 15 son de beneficio</t>
  </si>
  <si>
    <t xml:space="preserve">1. Pesos (EWM)</t>
  </si>
  <si>
    <t xml:space="preserve">Se usan los pesos por entropía de Shannon del IVC total (15 variables, incluida la tasa de cambio de la línea de costa LRR 1984–2026), los mismos de la suma ponderada IVC-EWM, leídos de pesos_ewm_ivc.csv. Una variable con mayor dispersión entre transectos tiene menor entropía, mayor divergencia y mayor peso.</t>
  </si>
  <si>
    <t xml:space="preserve">p_ij = x_ij / Σ_i x_ij;  e_j = −(1/ln n) Σ_i p_ij ln p_ij;  d_j = 1 − e_j;  w_j = d_j / Σ_j d_j</t>
  </si>
  <si>
    <t xml:space="preserve">2. Normalización vectorial</t>
  </si>
  <si>
    <t xml:space="preserve">Cada columna se divide por su norma euclídea, calculada sobre la matriz observada de los 671 transectos (así lo hace la función topsis_fijo del código de la tesis). Con ello los criterios quedan sin unidades y comparables.</t>
  </si>
  <si>
    <t xml:space="preserve">r_ij = x_ij / √(Σ_i x_ij²)</t>
  </si>
  <si>
    <t xml:space="preserve">3. Matriz normalizada ponderada</t>
  </si>
  <si>
    <t xml:space="preserve">Cada columna normalizada se multiplica por su peso EWM.</t>
  </si>
  <si>
    <t xml:space="preserve">v_ij = w_j · r_ij</t>
  </si>
  <si>
    <t xml:space="preserve">4. Ideal y anti-ideal FIJOS</t>
  </si>
  <si>
    <t xml:space="preserve">En el TOPSIS clásico, A+ y A− son el máximo y el mínimo observados de cada columna (referencias relativas), por lo que C depende del conjunto de transectos evaluado. En la tesis se fijan en los extremos de la escala: A+ = puntuación 5 y A− = puntuación 1 en todos los criterios, normalizadas y ponderadas igual que los datos. Así C es una escala absoluta: C = 1 solo si todas las puntuaciones son 5 y C = 0 solo si todas son 1, y su valor no cambia al añadir o quitar transectos. Esto hace comparables las versiones y escenarios del IVC (2005, 2026, SSP2-4.5 y SSP5-8.5 a 2050 y 2100); para los escenarios, la función topsis_ref mantiene además fija la norma de la línea base.</t>
  </si>
  <si>
    <t xml:space="preserve">A+_j = w_j · 5 / √(Σ_i x_ij²);  A−_j = w_j · 1 / √(Σ_i x_ij²)</t>
  </si>
  <si>
    <t xml:space="preserve">5. Distancias euclídeas</t>
  </si>
  <si>
    <t xml:space="preserve">Distancia de cada transecto al ideal (máxima vulnerabilidad) y al anti-ideal (mínima vulnerabilidad). Como la normalización es lineal, v_ij − A+_j = w_j (x_ij − 5) / ‖x_j‖: equivale a una distancia euclídea ponderada sobre las puntuaciones con peso efectivo w_j / ‖x_j‖.</t>
  </si>
  <si>
    <t xml:space="preserve">D+_i = √(Σ_j (v_ij − A+_j)²);  D−_i = √(Σ_j (v_ij − A−_j)²)</t>
  </si>
  <si>
    <t xml:space="preserve">6. Cercanía relativa C (IVC-TOPSIS)</t>
  </si>
  <si>
    <t xml:space="preserve">Proporción de la distancia al anti-ideal sobre la suma de ambas distancias. C ∈ [0; 1]; un valor mayor indica un transecto más cercano al estado de máxima vulnerabilidad.</t>
  </si>
  <si>
    <t xml:space="preserve">C_i = D−_i / (D+_i + D−_i)</t>
  </si>
  <si>
    <t xml:space="preserve">7. Clasificación</t>
  </si>
  <si>
    <t xml:space="preserve">Intervalos iguales de 0,2, los mismos del IVC-EWM: 1 = muy baja [0; 0,2), 2 = baja [0,2; 0,4), 3 = moderada [0,4; 0,6), 4 = alta [0,6; 0,8), 5 = muy alta [0,8; 1].</t>
  </si>
  <si>
    <t xml:space="preserve">Clase_i = mín(5; ENTERO(C_i / 0,2) + 1)</t>
  </si>
  <si>
    <t xml:space="preserve">8. Verificación</t>
  </si>
  <si>
    <t xml:space="preserve">C calculado con fórmulas de Excel se compara con el valor del archivo de la tesis (ivc_versiones_transectos.csv, columna ivc_topsis_ewm, generado por ivc_versiones.py).</t>
  </si>
  <si>
    <t xml:space="preserve">|C_excel − C_tesis| &lt; 1×10⁻⁶ en los 671 transectos</t>
  </si>
  <si>
    <t xml:space="preserve">6_Distancias_C, 7_Resultados</t>
  </si>
  <si>
    <t xml:space="preserve">9. Resultados y ejemplo</t>
  </si>
  <si>
    <t xml:space="preserve">Distribución de clases, estadísticos, concordancia con el IVC-EWM y transectos más vulnerables; ejemplo trabajado con tres transectos.</t>
  </si>
  <si>
    <t xml:space="preserve">7_Resultados, 8_Ejemplo</t>
  </si>
  <si>
    <t xml:space="preserve">Fuentes de datos y código</t>
  </si>
  <si>
    <t xml:space="preserve">•</t>
  </si>
  <si>
    <t xml:space="preserve">Matriz 1–5: _exportar_ivc/tabla_clases_1_5_ivc.csv (671 transectos, ordenados por dist_costa_km).</t>
  </si>
  <si>
    <t xml:space="preserve">Pesos EWM: Mapas_IVC/pesos_ewm_ivc.csv (columna peso_total).</t>
  </si>
  <si>
    <t xml:space="preserve">Resultado de referencia: Mapas_IVC/ivc_versiones_transectos.csv (ivc_topsis_ewm, clase_topsis_ewm, ivc_ewm_total, clase_ewm_total).</t>
  </si>
  <si>
    <t xml:space="preserve">Código: función topsis_fijo de Mapas_IVC/ivc_versiones.py y funciones topsis/topsis_ref de Multicriterio/ivc_multicriterio_v2.py. La normalización usa la norma de la matriz observada (np.sqrt((X**2).sum(0))), tal como se describe en el paso 2.</t>
  </si>
  <si>
    <t xml:space="preserve">c_cobertura y c_uso_suelo son puntuaciones compuestas continuas (promedio de las puntuaciones de las clases ponderado por área en la franja del transecto, rango 1–5), no clases enteras; el resto de criterios toma valores enteros.</t>
  </si>
  <si>
    <t xml:space="preserve">Referencias</t>
  </si>
  <si>
    <t xml:space="preserve">Behzadian, M., Khanmohammadi Otaghsara, S., Yazdani, M., y Ignatius, J. (2012). A state-of the-art survey of TOPSIS applications. Expert Systems with Applications, 39(17), 13051–13069. https://doi.org/10.1016/j.eswa.2012.05.056</t>
  </si>
  <si>
    <t xml:space="preserve">Hwang, C.-L., y Yoon, K. (1981). Multiple attribute decision making: Methods and applications. Springer. https://doi.org/10.1007/978-3-642-48318-9</t>
  </si>
  <si>
    <t xml:space="preserve">id_ivc</t>
  </si>
  <si>
    <t xml:space="preserve">dist_costa_km</t>
  </si>
  <si>
    <t xml:space="preserve">c_cambio_costa</t>
  </si>
  <si>
    <t xml:space="preserve">c_geomorfologia</t>
  </si>
  <si>
    <t xml:space="preserve">c_elevacion</t>
  </si>
  <si>
    <t xml:space="preserve">c_pendiente</t>
  </si>
  <si>
    <t xml:space="preserve">c_pendiente_playa</t>
  </si>
  <si>
    <t xml:space="preserve">c_oleaje</t>
  </si>
  <si>
    <t xml:space="preserve">c_nivel_mar</t>
  </si>
  <si>
    <t xml:space="preserve">c_granulometria</t>
  </si>
  <si>
    <t xml:space="preserve">c_sustrato</t>
  </si>
  <si>
    <t xml:space="preserve">c_cobertura</t>
  </si>
  <si>
    <t xml:space="preserve">c_uso_suelo</t>
  </si>
  <si>
    <t xml:space="preserve">c_dist_ruta90</t>
  </si>
  <si>
    <t xml:space="preserve">c_vivienda</t>
  </si>
  <si>
    <t xml:space="preserve">c_densidad_pob</t>
  </si>
  <si>
    <t xml:space="preserve">c_ancho_barra</t>
  </si>
  <si>
    <r>
      <rPr>
        <i val="true"/>
        <sz val="10"/>
        <rFont val="Times New Roman"/>
        <family val="0"/>
        <charset val="1"/>
      </rPr>
      <t xml:space="preserve">Nota. </t>
    </r>
    <r>
      <rPr>
        <sz val="10"/>
        <rFont val="Times New Roman"/>
        <family val="0"/>
        <charset val="1"/>
      </rPr>
      <t xml:space="preserve">671 transectos ordenados por dist_costa_km. Puntuación 1 = vulnerabilidad muy baja … 5 = muy alta; todas orientadas en el sentido "mayor = más vulnerable". c_cobertura y c_uso_suelo son puntuaciones compuestas CONTINUAS (promedio de las puntuaciones de las clases ponderado por el área de cada clase en la franja del transecto, rango 1–5), no clases enteras; se muestran con tres decimales. Fuente: tabla_clases_1_5_ivc.csv.</t>
    </r>
  </si>
  <si>
    <t xml:space="preserve">N.°</t>
  </si>
  <si>
    <t xml:space="preserve">Variable</t>
  </si>
  <si>
    <t xml:space="preserve">Nombre</t>
  </si>
  <si>
    <t xml:space="preserve">Entropía e_j</t>
  </si>
  <si>
    <t xml:space="preserve">Divergencia d_j = 1 − e_j</t>
  </si>
  <si>
    <t xml:space="preserve">Peso w_j (IVC total)</t>
  </si>
  <si>
    <t xml:space="preserve">Comprobación w_j = d_j / Σd</t>
  </si>
  <si>
    <t xml:space="preserve">Cambio de la línea de costa (LRR 1984–2026)</t>
  </si>
  <si>
    <t xml:space="preserve">Geomorfología</t>
  </si>
  <si>
    <t xml:space="preserve">Elevación del terreno</t>
  </si>
  <si>
    <t xml:space="preserve">Pendiente del terreno</t>
  </si>
  <si>
    <t xml:space="preserve">Pendiente de la cara de playa</t>
  </si>
  <si>
    <t xml:space="preserve">Oleaje (Hs p95)</t>
  </si>
  <si>
    <t xml:space="preserve">Ascenso del nivel del mar</t>
  </si>
  <si>
    <t xml:space="preserve">Granulometría</t>
  </si>
  <si>
    <t xml:space="preserve">Sustrato</t>
  </si>
  <si>
    <t xml:space="preserve">Cobertura de la tierra</t>
  </si>
  <si>
    <t xml:space="preserve">Uso del suelo</t>
  </si>
  <si>
    <t xml:space="preserve">Distancia a la Ruta 90</t>
  </si>
  <si>
    <t xml:space="preserve">Área construida</t>
  </si>
  <si>
    <t xml:space="preserve">Densidad poblacional</t>
  </si>
  <si>
    <t xml:space="preserve">Ancho de la barra</t>
  </si>
  <si>
    <t xml:space="preserve">Suma</t>
  </si>
  <si>
    <r>
      <rPr>
        <i val="true"/>
        <sz val="10"/>
        <rFont val="Times New Roman"/>
        <family val="0"/>
        <charset val="1"/>
      </rPr>
      <t xml:space="preserve">Nota. </t>
    </r>
    <r>
      <rPr>
        <sz val="10"/>
        <rFont val="Times New Roman"/>
        <family val="0"/>
        <charset val="1"/>
      </rPr>
      <t xml:space="preserve">e_j, d_j y w_j se leen de pesos_ewm_ivc.csv (columnas entropia_e, divergencia_d y peso_total), calculados por ivc_versiones.py sobre la matriz de la hoja 2_Matriz_decision: p_ij = x_ij / Σ_i x_ij; e_j = −(1/ln n) Σ_i p_ij ln p_ij; d_j = 1 − e_j; w_j = d_j / Σd_j. La última columna recalcula w_j con fórmula como comprobación. TOPSIS usa la columna "Peso w_j (IVC total)".</t>
    </r>
  </si>
  <si>
    <t xml:space="preserve">r: c_cambio_costa</t>
  </si>
  <si>
    <t xml:space="preserve">r: c_geomorfologia</t>
  </si>
  <si>
    <t xml:space="preserve">r: c_elevacion</t>
  </si>
  <si>
    <t xml:space="preserve">r: c_pendiente</t>
  </si>
  <si>
    <t xml:space="preserve">r: c_pendiente_playa</t>
  </si>
  <si>
    <t xml:space="preserve">r: c_oleaje</t>
  </si>
  <si>
    <t xml:space="preserve">r: c_nivel_mar</t>
  </si>
  <si>
    <t xml:space="preserve">r: c_granulometria</t>
  </si>
  <si>
    <t xml:space="preserve">r: c_sustrato</t>
  </si>
  <si>
    <t xml:space="preserve">r: c_cobertura</t>
  </si>
  <si>
    <t xml:space="preserve">r: c_uso_suelo</t>
  </si>
  <si>
    <t xml:space="preserve">r: c_dist_ruta90</t>
  </si>
  <si>
    <t xml:space="preserve">r: c_vivienda</t>
  </si>
  <si>
    <t xml:space="preserve">r: c_densidad_pob</t>
  </si>
  <si>
    <t xml:space="preserve">r: c_ancho_barra</t>
  </si>
  <si>
    <t xml:space="preserve">Norma ‖x_j‖</t>
  </si>
  <si>
    <r>
      <rPr>
        <i val="true"/>
        <sz val="10"/>
        <rFont val="Times New Roman"/>
        <family val="0"/>
        <charset val="1"/>
      </rPr>
      <t xml:space="preserve">Nota. </t>
    </r>
    <r>
      <rPr>
        <sz val="10"/>
        <rFont val="Times New Roman"/>
        <family val="0"/>
        <charset val="1"/>
      </rPr>
      <t xml:space="preserve">La fila "Norma ‖x_j‖" es la raíz de la suma de cuadrados de cada columna de la matriz observada (671 transectos, hoja 2_Matriz_decision), como en topsis_fijo (ivc_versiones.py). Cada r_ij divide la puntuación por esa norma.</t>
    </r>
  </si>
  <si>
    <t xml:space="preserve">v: c_cambio_costa</t>
  </si>
  <si>
    <t xml:space="preserve">v: c_geomorfologia</t>
  </si>
  <si>
    <t xml:space="preserve">v: c_elevacion</t>
  </si>
  <si>
    <t xml:space="preserve">v: c_pendiente</t>
  </si>
  <si>
    <t xml:space="preserve">v: c_pendiente_playa</t>
  </si>
  <si>
    <t xml:space="preserve">v: c_oleaje</t>
  </si>
  <si>
    <t xml:space="preserve">v: c_nivel_mar</t>
  </si>
  <si>
    <t xml:space="preserve">v: c_granulometria</t>
  </si>
  <si>
    <t xml:space="preserve">v: c_sustrato</t>
  </si>
  <si>
    <t xml:space="preserve">v: c_cobertura</t>
  </si>
  <si>
    <t xml:space="preserve">v: c_uso_suelo</t>
  </si>
  <si>
    <t xml:space="preserve">v: c_dist_ruta90</t>
  </si>
  <si>
    <t xml:space="preserve">v: c_vivienda</t>
  </si>
  <si>
    <t xml:space="preserve">v: c_densidad_pob</t>
  </si>
  <si>
    <t xml:space="preserve">v: c_ancho_barra</t>
  </si>
  <si>
    <t xml:space="preserve">Peso w_j</t>
  </si>
  <si>
    <t xml:space="preserve">A+ (puntuación 5)</t>
  </si>
  <si>
    <t xml:space="preserve">A− (puntuación 1)</t>
  </si>
  <si>
    <r>
      <rPr>
        <i val="true"/>
        <sz val="10"/>
        <rFont val="Times New Roman"/>
        <family val="0"/>
        <charset val="1"/>
      </rPr>
      <t xml:space="preserve">Nota. </t>
    </r>
    <r>
      <rPr>
        <sz val="10"/>
        <rFont val="Times New Roman"/>
        <family val="0"/>
        <charset val="1"/>
      </rPr>
      <t xml:space="preserve">A+_j = w_j · 5 / ‖x_j‖ y A−_j = w_j · 1 / ‖x_j‖: la puntuación máxima (5) y mínima (1) de la escala, normalizadas con la misma norma de la columna y ponderadas con el mismo peso que los datos. Son FIJOS (no el máximo y el mínimo observados), para que C sea una escala absoluta comparable entre versiones y escenarios del IVC.</t>
    </r>
  </si>
  <si>
    <t xml:space="preserve">D+</t>
  </si>
  <si>
    <t xml:space="preserve">D−</t>
  </si>
  <si>
    <t xml:space="preserve">C = D− / (D+ + D−)</t>
  </si>
  <si>
    <t xml:space="preserve">Clase TOPSIS</t>
  </si>
  <si>
    <t xml:space="preserve">C tesis (archivo)</t>
  </si>
  <si>
    <t xml:space="preserve">|C − C tesis|</t>
  </si>
  <si>
    <t xml:space="preserve">Clase TOPSIS tesis (archivo)</t>
  </si>
  <si>
    <t xml:space="preserve">IVC-EWM total = (Σ w_j x_ij − 1) / 4</t>
  </si>
  <si>
    <t xml:space="preserve">Clase IVC-EWM</t>
  </si>
  <si>
    <t xml:space="preserve">IVC-EWM total tesis (archivo)</t>
  </si>
  <si>
    <r>
      <rPr>
        <i val="true"/>
        <sz val="10"/>
        <rFont val="Times New Roman"/>
        <family val="0"/>
        <charset val="1"/>
      </rPr>
      <t xml:space="preserve">Nota. </t>
    </r>
    <r>
      <rPr>
        <sz val="10"/>
        <rFont val="Times New Roman"/>
        <family val="0"/>
        <charset val="1"/>
      </rPr>
      <t xml:space="preserve">D+ y D− se calculan con SUMXMY2 (suma de cuadrados de las diferencias) entre la fila de v_ij de la hoja 5_Ponderada y las filas fijas A+ y A−. Clase = MIN(5; ENTERO(C/0,2)+1). Las columnas "(archivo)" son valores de ivc_versiones_transectos.csv (ivc_topsis_ewm, clase_topsis_ewm, ivc_ewm_total) y solo sirven para verificar. El IVC-EWM total es la suma ponderada de la tesis reescalada a 0–1, con los mismos pesos.</t>
    </r>
  </si>
  <si>
    <t xml:space="preserve">Tabla 63</t>
  </si>
  <si>
    <t xml:space="preserve">Distribución de los transectos por clase: TOPSIS-EWM e IVC-EWM total</t>
  </si>
  <si>
    <t xml:space="preserve">Clase</t>
  </si>
  <si>
    <t xml:space="preserve">Intervalo (0–1)</t>
  </si>
  <si>
    <t xml:space="preserve">Nivel de vulnerabilidad</t>
  </si>
  <si>
    <t xml:space="preserve">n TOPSIS-EWM</t>
  </si>
  <si>
    <t xml:space="preserve">% TOPSIS-EWM</t>
  </si>
  <si>
    <t xml:space="preserve">n IVC-EWM total</t>
  </si>
  <si>
    <t xml:space="preserve">% IVC-EWM total</t>
  </si>
  <si>
    <t xml:space="preserve">[0; 0,2)</t>
  </si>
  <si>
    <t xml:space="preserve">Muy baja</t>
  </si>
  <si>
    <t xml:space="preserve">[0,2; 0,4)</t>
  </si>
  <si>
    <t xml:space="preserve">Baja</t>
  </si>
  <si>
    <t xml:space="preserve">[0,4; 0,6)</t>
  </si>
  <si>
    <t xml:space="preserve">Moderada</t>
  </si>
  <si>
    <t xml:space="preserve">[0,6; 0,8)</t>
  </si>
  <si>
    <t xml:space="preserve">Alta</t>
  </si>
  <si>
    <t xml:space="preserve">[0,8; 1]</t>
  </si>
  <si>
    <t xml:space="preserve">Muy alta</t>
  </si>
  <si>
    <t xml:space="preserve">Total</t>
  </si>
  <si>
    <r>
      <rPr>
        <i val="true"/>
        <sz val="10"/>
        <rFont val="Times New Roman"/>
        <family val="0"/>
        <charset val="1"/>
      </rPr>
      <t xml:space="preserve">Nota. </t>
    </r>
    <r>
      <rPr>
        <sz val="10"/>
        <rFont val="Times New Roman"/>
        <family val="0"/>
        <charset val="1"/>
      </rPr>
      <t xml:space="preserve">Conteos con CONTAR.SI (COUNTIF) sobre las columnas "Clase TOPSIS" y "Clase IVC-EWM" de la hoja 6_Distancias_C. Ambos índices usan la misma matriz, los mismos pesos y los mismos intervalos de 0,2.</t>
    </r>
  </si>
  <si>
    <t xml:space="preserve">Tabla 64</t>
  </si>
  <si>
    <t xml:space="preserve">Estadísticos de la cercanía C, concordancia con el IVC-EWM y verificación</t>
  </si>
  <si>
    <t xml:space="preserve">Estadístico</t>
  </si>
  <si>
    <t xml:space="preserve">Valor</t>
  </si>
  <si>
    <t xml:space="preserve">Cálculo</t>
  </si>
  <si>
    <t xml:space="preserve">Número de transectos</t>
  </si>
  <si>
    <t xml:space="preserve">CONTAR (COUNT) de C</t>
  </si>
  <si>
    <t xml:space="preserve">Media de C</t>
  </si>
  <si>
    <t xml:space="preserve">PROMEDIO</t>
  </si>
  <si>
    <t xml:space="preserve">Mediana de C</t>
  </si>
  <si>
    <t xml:space="preserve">MEDIANA</t>
  </si>
  <si>
    <t xml:space="preserve">Mínimo de C</t>
  </si>
  <si>
    <t xml:space="preserve">MIN</t>
  </si>
  <si>
    <t xml:space="preserve">Máximo de C</t>
  </si>
  <si>
    <t xml:space="preserve">MAX</t>
  </si>
  <si>
    <t xml:space="preserve">Desviación estándar de C</t>
  </si>
  <si>
    <t xml:space="preserve">DESVEST (muestral)</t>
  </si>
  <si>
    <t xml:space="preserve">Coincidencia de clase TOPSIS-EWM vs. IVC-EWM total (%)</t>
  </si>
  <si>
    <t xml:space="preserve">Proporción de transectos con la misma clase</t>
  </si>
  <si>
    <t xml:space="preserve">Correlación de Spearman ρ (C vs. IVC-EWM total)</t>
  </si>
  <si>
    <t xml:space="preserve">Valor calculado en Python (scipy.stats.spearmanr) sobre los 671 transectos; no es fórmula</t>
  </si>
  <si>
    <t xml:space="preserve">Correlación de Pearson r (C vs. IVC-EWM total)</t>
  </si>
  <si>
    <t xml:space="preserve">COEF.DE.CORREL (fórmula)</t>
  </si>
  <si>
    <t xml:space="preserve">Diferencia máxima |C_excel − C_tesis|</t>
  </si>
  <si>
    <t xml:space="preserve">MAX de la columna |C − C tesis|</t>
  </si>
  <si>
    <t xml:space="preserve">Transectos con |C_excel − C_tesis| &lt; 1×10⁻⁶</t>
  </si>
  <si>
    <t xml:space="preserve">CONTAR.SI</t>
  </si>
  <si>
    <t xml:space="preserve">Coincidencia de clase TOPSIS Excel vs. tesis (%)</t>
  </si>
  <si>
    <t xml:space="preserve">Debe ser 100 %</t>
  </si>
  <si>
    <r>
      <rPr>
        <i val="true"/>
        <sz val="10"/>
        <rFont val="Times New Roman"/>
        <family val="0"/>
        <charset val="1"/>
      </rPr>
      <t xml:space="preserve">Nota. </t>
    </r>
    <r>
      <rPr>
        <sz val="10"/>
        <rFont val="Times New Roman"/>
        <family val="0"/>
        <charset val="1"/>
      </rPr>
      <t xml:space="preserve">Rango de las fórmulas: hoja 6_Distancias_C. La correlación de Spearman se escribe como valor porque Excel no tiene una función directa de rangos con empates; Pearson se incluye como fórmula de referencia.</t>
    </r>
  </si>
  <si>
    <t xml:space="preserve">Tabla 65</t>
  </si>
  <si>
    <t xml:space="preserve">Los 10 transectos más vulnerables según TOPSIS-EWM (mayor C)</t>
  </si>
  <si>
    <t xml:space="preserve">Posición</t>
  </si>
  <si>
    <t xml:space="preserve">C</t>
  </si>
  <si>
    <t xml:space="preserve">IVC-EWM total</t>
  </si>
  <si>
    <r>
      <rPr>
        <i val="true"/>
        <sz val="10"/>
        <rFont val="Times New Roman"/>
        <family val="0"/>
        <charset val="1"/>
      </rPr>
      <t xml:space="preserve">Nota. </t>
    </r>
    <r>
      <rPr>
        <sz val="10"/>
        <rFont val="Times New Roman"/>
        <family val="0"/>
        <charset val="1"/>
      </rPr>
      <t xml:space="preserve">C se obtiene con K.ESIMO.MAYOR (LARGE) y el resto de columnas con INDICE/COINCIDIR sobre C (no hay valores de C repetidos entre los 10 primeros). Los 10 transectos listados tienen clase alta (4); ningún transecto alcanza la clase 5 con TOPSIS-EWM.</t>
    </r>
  </si>
  <si>
    <t xml:space="preserve">Las celdas id_ivc (fondo amarillo) eligen el transecto con fórmulas (C máximo, C mediano y C mínimo); pueden reemplazarse por cualquier id_ivc para repetir el cálculo.</t>
  </si>
  <si>
    <t xml:space="preserve">N.° (j)</t>
  </si>
  <si>
    <t xml:space="preserve">Criterio</t>
  </si>
  <si>
    <t xml:space="preserve">A+_j = w_j·5/‖x_j‖</t>
  </si>
  <si>
    <t xml:space="preserve">A−_j = w_j·1/‖x_j‖</t>
  </si>
  <si>
    <t xml:space="preserve">Paso 1–4 comunes a todos los transectos: w_j de 3_Pesos, norma de 4_Normalizacion, A+ y A− fijos.</t>
  </si>
  <si>
    <t xml:space="preserve">A. Transecto más vulnerable (C máximo)</t>
  </si>
  <si>
    <t xml:space="preserve">x_ij (puntuación)</t>
  </si>
  <si>
    <t xml:space="preserve">r_ij = x_ij/‖x_j‖</t>
  </si>
  <si>
    <t xml:space="preserve">v_ij = w_j·r_ij</t>
  </si>
  <si>
    <t xml:space="preserve">(v_ij − A+_j)²</t>
  </si>
  <si>
    <t xml:space="preserve">(v_ij − A−_j)²</t>
  </si>
  <si>
    <t xml:space="preserve">Suma de cuadrados</t>
  </si>
  <si>
    <t xml:space="preserve">Σ_j (v_ij − A±_j)²: suma de cada una de las dos últimas columnas</t>
  </si>
  <si>
    <t xml:space="preserve">D+ (distancia al ideal)</t>
  </si>
  <si>
    <t xml:space="preserve">√ de la suma de (v − A+)²</t>
  </si>
  <si>
    <t xml:space="preserve">D− (distancia al anti-ideal)</t>
  </si>
  <si>
    <t xml:space="preserve">√ de la suma de (v − A−)²</t>
  </si>
  <si>
    <t xml:space="preserve">Cercanía relativa al ideal de máxima vulnerabilidad</t>
  </si>
  <si>
    <t xml:space="preserve">MIN(5; ENTERO(C/0,2)+1); 1 = muy baja … 5 = muy alta</t>
  </si>
  <si>
    <t xml:space="preserve">C en la hoja 6_Distancias_C</t>
  </si>
  <si>
    <t xml:space="preserve">Mismo transecto, cálculo matricial</t>
  </si>
  <si>
    <t xml:space="preserve">C de la tesis (archivo)</t>
  </si>
  <si>
    <t xml:space="preserve">ivc_versiones_transectos.csv</t>
  </si>
  <si>
    <t xml:space="preserve">|C ejemplo − C tesis|</t>
  </si>
  <si>
    <t xml:space="preserve">Debe ser &lt; 1×10⁻⁶</t>
  </si>
  <si>
    <t xml:space="preserve">B. Transecto mediano (C = mediana de los 671)</t>
  </si>
  <si>
    <t xml:space="preserve">C. Transecto menos vulnerable (C mínimo)</t>
  </si>
  <si>
    <r>
      <rPr>
        <i val="true"/>
        <sz val="10"/>
        <rFont val="Times New Roman"/>
        <family val="0"/>
        <charset val="1"/>
      </rPr>
      <t xml:space="preserve">Nota. </t>
    </r>
    <r>
      <rPr>
        <sz val="10"/>
        <rFont val="Times New Roman"/>
        <family val="0"/>
        <charset val="1"/>
      </rPr>
      <t xml:space="preserve">x_ij se toma de 2_Matriz_decision con INDICE/COINCIDIR según el id_ivc. Cada columna aplica una ecuación del método (hoja 1_Metodo). Las tres últimas filas de cada bloque comprueban que el cálculo paso a paso coincide con la hoja 6_Distancias_C y con el resultado de la tesis.</t>
    </r>
  </si>
</sst>
</file>

<file path=xl/styles.xml><?xml version="1.0" encoding="utf-8"?>
<styleSheet xmlns="http://schemas.openxmlformats.org/spreadsheetml/2006/main">
  <numFmts count="7">
    <numFmt numFmtId="164" formatCode="General"/>
    <numFmt numFmtId="165" formatCode="0"/>
    <numFmt numFmtId="166" formatCode="0.000"/>
    <numFmt numFmtId="167" formatCode="0.000000"/>
    <numFmt numFmtId="168" formatCode="0.0000"/>
    <numFmt numFmtId="169" formatCode="0.0E+00"/>
    <numFmt numFmtId="170" formatCode="0.0%"/>
  </numFmts>
  <fonts count="10">
    <font>
      <sz val="11"/>
      <color theme="1"/>
      <name val="Calibri"/>
      <family val="2"/>
      <charset val="1"/>
    </font>
    <font>
      <sz val="10"/>
      <name val="Arial"/>
      <family val="0"/>
    </font>
    <font>
      <sz val="10"/>
      <name val="Arial"/>
      <family val="0"/>
    </font>
    <font>
      <sz val="10"/>
      <name val="Arial"/>
      <family val="0"/>
    </font>
    <font>
      <b val="true"/>
      <sz val="13"/>
      <name val="Times New Roman"/>
      <family val="0"/>
      <charset val="1"/>
    </font>
    <font>
      <b val="true"/>
      <sz val="11"/>
      <name val="Times New Roman"/>
      <family val="0"/>
      <charset val="1"/>
    </font>
    <font>
      <sz val="11"/>
      <name val="Times New Roman"/>
      <family val="0"/>
      <charset val="1"/>
    </font>
    <font>
      <i val="true"/>
      <sz val="10"/>
      <name val="Times New Roman"/>
      <family val="0"/>
      <charset val="1"/>
    </font>
    <font>
      <sz val="10"/>
      <name val="Times New Roman"/>
      <family val="0"/>
      <charset val="1"/>
    </font>
    <font>
      <i val="true"/>
      <sz val="11"/>
      <name val="Times New Roman"/>
      <family val="0"/>
      <charset val="1"/>
    </font>
  </fonts>
  <fills count="3">
    <fill>
      <patternFill patternType="none"/>
    </fill>
    <fill>
      <patternFill patternType="gray125"/>
    </fill>
    <fill>
      <patternFill patternType="solid">
        <fgColor rgb="FFFFF2CC"/>
        <bgColor rgb="FFFFFFFF"/>
      </patternFill>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5" fontId="6" fillId="0" borderId="0" xfId="0" applyFont="true" applyBorder="false" applyAlignment="true" applyProtection="false">
      <alignment horizontal="center" vertical="top" textRotation="0" wrapText="false" indent="0" shrinkToFit="false"/>
      <protection locked="true" hidden="false"/>
    </xf>
    <xf numFmtId="166" fontId="6" fillId="0" borderId="0" xfId="0" applyFont="true" applyBorder="false" applyAlignment="true" applyProtection="false">
      <alignment horizontal="center" vertical="top" textRotation="0" wrapText="false" indent="0" shrinkToFit="false"/>
      <protection locked="true" hidden="false"/>
    </xf>
    <xf numFmtId="165" fontId="6" fillId="0" borderId="2" xfId="0" applyFont="true" applyBorder="true" applyAlignment="true" applyProtection="false">
      <alignment horizontal="center" vertical="top" textRotation="0" wrapText="false" indent="0" shrinkToFit="false"/>
      <protection locked="true" hidden="false"/>
    </xf>
    <xf numFmtId="166" fontId="6" fillId="0" borderId="2"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7" fontId="6" fillId="0" borderId="0" xfId="0" applyFont="true" applyBorder="false" applyAlignment="true" applyProtection="false">
      <alignment horizontal="center" vertical="top" textRotation="0" wrapText="false" indent="0" shrinkToFit="false"/>
      <protection locked="true" hidden="false"/>
    </xf>
    <xf numFmtId="168" fontId="6" fillId="0" borderId="0" xfId="0" applyFont="true" applyBorder="false" applyAlignment="true" applyProtection="false">
      <alignment horizontal="center" vertical="top"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center" vertical="top" textRotation="0" wrapText="false" indent="0" shrinkToFit="false"/>
      <protection locked="true" hidden="false"/>
    </xf>
    <xf numFmtId="168" fontId="5" fillId="0" borderId="2" xfId="0" applyFont="true" applyBorder="true" applyAlignment="true" applyProtection="false">
      <alignment horizontal="center" vertical="top" textRotation="0" wrapText="false" indent="0" shrinkToFit="false"/>
      <protection locked="true" hidden="false"/>
    </xf>
    <xf numFmtId="168" fontId="5" fillId="0" borderId="0" xfId="0" applyFont="true" applyBorder="false" applyAlignment="true" applyProtection="false">
      <alignment horizontal="center" vertical="top" textRotation="0" wrapText="false" indent="0" shrinkToFit="false"/>
      <protection locked="true" hidden="false"/>
    </xf>
    <xf numFmtId="168" fontId="6" fillId="0" borderId="2" xfId="0" applyFont="true" applyBorder="true" applyAlignment="true" applyProtection="false">
      <alignment horizontal="center" vertical="top" textRotation="0" wrapText="false" indent="0" shrinkToFit="false"/>
      <protection locked="true" hidden="false"/>
    </xf>
    <xf numFmtId="169" fontId="6" fillId="0" borderId="0" xfId="0" applyFont="true" applyBorder="false" applyAlignment="true" applyProtection="false">
      <alignment horizontal="center" vertical="top" textRotation="0" wrapText="false" indent="0" shrinkToFit="false"/>
      <protection locked="true" hidden="false"/>
    </xf>
    <xf numFmtId="169" fontId="6" fillId="0" borderId="2"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70" fontId="6" fillId="0" borderId="0" xfId="0" applyFont="true" applyBorder="false" applyAlignment="true" applyProtection="false">
      <alignment horizontal="center" vertical="top" textRotation="0" wrapText="false" indent="0" shrinkToFit="false"/>
      <protection locked="true" hidden="false"/>
    </xf>
    <xf numFmtId="165" fontId="5" fillId="0" borderId="2" xfId="0" applyFont="true" applyBorder="true" applyAlignment="true" applyProtection="false">
      <alignment horizontal="center" vertical="top" textRotation="0" wrapText="false" indent="0" shrinkToFit="false"/>
      <protection locked="true" hidden="false"/>
    </xf>
    <xf numFmtId="170" fontId="5" fillId="0" borderId="2" xfId="0" applyFont="true" applyBorder="true" applyAlignment="true" applyProtection="false">
      <alignment horizontal="center" vertical="top"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70" fontId="6" fillId="0" borderId="2"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7" fontId="6" fillId="0" borderId="2" xfId="0" applyFont="true" applyBorder="true" applyAlignment="true" applyProtection="false">
      <alignment horizontal="center" vertical="top" textRotation="0" wrapText="false" indent="0" shrinkToFit="false"/>
      <protection locked="true" hidden="false"/>
    </xf>
    <xf numFmtId="167" fontId="5" fillId="0" borderId="0" xfId="0" applyFont="true" applyBorder="false" applyAlignment="true" applyProtection="false">
      <alignment horizontal="center" vertical="top" textRotation="0" wrapText="false" indent="0" shrinkToFit="false"/>
      <protection locked="true" hidden="false"/>
    </xf>
    <xf numFmtId="165" fontId="5"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110"/>
  </cols>
  <sheetData>
    <row r="1" customFormat="false" ht="16.15" hidden="false" customHeight="false" outlineLevel="0" collapsed="false">
      <c r="A1" s="1" t="s">
        <v>0</v>
      </c>
    </row>
    <row r="3" customFormat="false" ht="15" hidden="false" customHeight="false" outlineLevel="0" collapsed="false">
      <c r="A3" s="2" t="s">
        <v>1</v>
      </c>
      <c r="B3" s="3" t="s">
        <v>2</v>
      </c>
      <c r="C3" s="3" t="s">
        <v>3</v>
      </c>
    </row>
    <row r="4" customFormat="false" ht="15" hidden="false" customHeight="false" outlineLevel="0" collapsed="false">
      <c r="A4" s="4" t="s">
        <v>4</v>
      </c>
      <c r="B4" s="4" t="s">
        <v>5</v>
      </c>
      <c r="C4" s="4" t="s">
        <v>6</v>
      </c>
    </row>
    <row r="5" customFormat="false" ht="15" hidden="false" customHeight="false" outlineLevel="0" collapsed="false">
      <c r="A5" s="4" t="s">
        <v>7</v>
      </c>
      <c r="B5" s="4" t="s">
        <v>8</v>
      </c>
      <c r="C5" s="4" t="s">
        <v>9</v>
      </c>
    </row>
    <row r="6" customFormat="false" ht="15" hidden="false" customHeight="false" outlineLevel="0" collapsed="false">
      <c r="A6" s="4" t="s">
        <v>10</v>
      </c>
      <c r="B6" s="4" t="s">
        <v>11</v>
      </c>
      <c r="C6" s="4" t="s">
        <v>12</v>
      </c>
    </row>
    <row r="7" customFormat="false" ht="15" hidden="false" customHeight="false" outlineLevel="0" collapsed="false">
      <c r="A7" s="4" t="s">
        <v>13</v>
      </c>
      <c r="B7" s="4" t="s">
        <v>14</v>
      </c>
      <c r="C7" s="4" t="s">
        <v>15</v>
      </c>
    </row>
    <row r="8" customFormat="false" ht="15" hidden="false" customHeight="false" outlineLevel="0" collapsed="false">
      <c r="A8" s="4" t="s">
        <v>16</v>
      </c>
      <c r="B8" s="4" t="s">
        <v>17</v>
      </c>
      <c r="C8" s="4" t="s">
        <v>18</v>
      </c>
    </row>
    <row r="9" customFormat="false" ht="15" hidden="false" customHeight="false" outlineLevel="0" collapsed="false">
      <c r="A9" s="4" t="s">
        <v>19</v>
      </c>
      <c r="B9" s="4" t="s">
        <v>20</v>
      </c>
      <c r="C9" s="4" t="s">
        <v>21</v>
      </c>
    </row>
    <row r="10" customFormat="false" ht="15" hidden="false" customHeight="false" outlineLevel="0" collapsed="false">
      <c r="A10" s="4" t="s">
        <v>22</v>
      </c>
      <c r="B10" s="4" t="s">
        <v>23</v>
      </c>
      <c r="C10" s="4" t="s">
        <v>24</v>
      </c>
    </row>
    <row r="11" customFormat="false" ht="15" hidden="false" customHeight="false" outlineLevel="0" collapsed="false">
      <c r="A11" s="5" t="s">
        <v>25</v>
      </c>
      <c r="B11" s="5" t="s">
        <v>26</v>
      </c>
      <c r="C11" s="5" t="s">
        <v>27</v>
      </c>
    </row>
    <row r="13" customFormat="false" ht="45" hidden="false" customHeight="true" outlineLevel="0" collapsed="false">
      <c r="A13" s="6" t="s">
        <v>28</v>
      </c>
      <c r="B13" s="6"/>
      <c r="C13" s="6"/>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55"/>
    <col collapsed="false" customWidth="true" hidden="false" outlineLevel="0" max="4" min="4" style="0" width="22"/>
  </cols>
  <sheetData>
    <row r="1" customFormat="false" ht="15" hidden="false" customHeight="false" outlineLevel="0" collapsed="false">
      <c r="A1" s="7" t="s">
        <v>29</v>
      </c>
    </row>
    <row r="2" customFormat="false" ht="15" hidden="false" customHeight="false" outlineLevel="0" collapsed="false">
      <c r="A2" s="8" t="s">
        <v>6</v>
      </c>
    </row>
    <row r="4" customFormat="false" ht="15" hidden="false" customHeight="false" outlineLevel="0" collapsed="false">
      <c r="A4" s="2" t="s">
        <v>30</v>
      </c>
      <c r="B4" s="3" t="s">
        <v>31</v>
      </c>
      <c r="C4" s="3" t="s">
        <v>32</v>
      </c>
      <c r="D4" s="3" t="s">
        <v>1</v>
      </c>
    </row>
    <row r="5" customFormat="false" ht="90" hidden="false" customHeight="true" outlineLevel="0" collapsed="false">
      <c r="A5" s="9" t="s">
        <v>33</v>
      </c>
      <c r="B5" s="10" t="s">
        <v>34</v>
      </c>
      <c r="C5" s="10" t="s">
        <v>35</v>
      </c>
      <c r="D5" s="10" t="s">
        <v>7</v>
      </c>
    </row>
    <row r="6" customFormat="false" ht="90" hidden="false" customHeight="true" outlineLevel="0" collapsed="false">
      <c r="A6" s="9" t="s">
        <v>36</v>
      </c>
      <c r="B6" s="10" t="s">
        <v>37</v>
      </c>
      <c r="C6" s="10" t="s">
        <v>38</v>
      </c>
      <c r="D6" s="10" t="s">
        <v>5</v>
      </c>
    </row>
    <row r="7" customFormat="false" ht="75" hidden="false" customHeight="true" outlineLevel="0" collapsed="false">
      <c r="A7" s="9" t="s">
        <v>39</v>
      </c>
      <c r="B7" s="10" t="s">
        <v>40</v>
      </c>
      <c r="C7" s="10" t="s">
        <v>41</v>
      </c>
      <c r="D7" s="10" t="s">
        <v>10</v>
      </c>
    </row>
    <row r="8" customFormat="false" ht="45" hidden="false" customHeight="true" outlineLevel="0" collapsed="false">
      <c r="A8" s="9" t="s">
        <v>42</v>
      </c>
      <c r="B8" s="10" t="s">
        <v>43</v>
      </c>
      <c r="C8" s="10" t="s">
        <v>44</v>
      </c>
      <c r="D8" s="10" t="s">
        <v>13</v>
      </c>
    </row>
    <row r="9" customFormat="false" ht="15" hidden="false" customHeight="true" outlineLevel="0" collapsed="false">
      <c r="A9" s="9" t="s">
        <v>45</v>
      </c>
      <c r="B9" s="10" t="s">
        <v>46</v>
      </c>
      <c r="C9" s="10" t="s">
        <v>47</v>
      </c>
      <c r="D9" s="10" t="s">
        <v>16</v>
      </c>
    </row>
    <row r="10" customFormat="false" ht="150" hidden="false" customHeight="true" outlineLevel="0" collapsed="false">
      <c r="A10" s="9" t="s">
        <v>48</v>
      </c>
      <c r="B10" s="10" t="s">
        <v>49</v>
      </c>
      <c r="C10" s="10" t="s">
        <v>50</v>
      </c>
      <c r="D10" s="10" t="s">
        <v>16</v>
      </c>
    </row>
    <row r="11" customFormat="false" ht="60" hidden="false" customHeight="true" outlineLevel="0" collapsed="false">
      <c r="A11" s="9" t="s">
        <v>51</v>
      </c>
      <c r="B11" s="10" t="s">
        <v>52</v>
      </c>
      <c r="C11" s="10" t="s">
        <v>53</v>
      </c>
      <c r="D11" s="10" t="s">
        <v>19</v>
      </c>
    </row>
    <row r="12" customFormat="false" ht="45" hidden="false" customHeight="true" outlineLevel="0" collapsed="false">
      <c r="A12" s="9" t="s">
        <v>54</v>
      </c>
      <c r="B12" s="10" t="s">
        <v>55</v>
      </c>
      <c r="C12" s="10" t="s">
        <v>56</v>
      </c>
      <c r="D12" s="10" t="s">
        <v>19</v>
      </c>
    </row>
    <row r="13" customFormat="false" ht="45" hidden="false" customHeight="true" outlineLevel="0" collapsed="false">
      <c r="A13" s="9" t="s">
        <v>57</v>
      </c>
      <c r="B13" s="10" t="s">
        <v>58</v>
      </c>
      <c r="C13" s="10" t="s">
        <v>59</v>
      </c>
      <c r="D13" s="10" t="s">
        <v>19</v>
      </c>
    </row>
    <row r="14" customFormat="false" ht="45" hidden="false" customHeight="true" outlineLevel="0" collapsed="false">
      <c r="A14" s="9" t="s">
        <v>60</v>
      </c>
      <c r="B14" s="10" t="s">
        <v>61</v>
      </c>
      <c r="C14" s="10" t="s">
        <v>62</v>
      </c>
      <c r="D14" s="10" t="s">
        <v>63</v>
      </c>
    </row>
    <row r="15" customFormat="false" ht="30" hidden="false" customHeight="true" outlineLevel="0" collapsed="false">
      <c r="A15" s="11" t="s">
        <v>64</v>
      </c>
      <c r="B15" s="12" t="s">
        <v>65</v>
      </c>
      <c r="C15" s="12" t="s">
        <v>5</v>
      </c>
      <c r="D15" s="12" t="s">
        <v>66</v>
      </c>
    </row>
    <row r="17" customFormat="false" ht="15" hidden="false" customHeight="false" outlineLevel="0" collapsed="false">
      <c r="A17" s="7" t="s">
        <v>67</v>
      </c>
    </row>
    <row r="18" customFormat="false" ht="15" hidden="false" customHeight="true" outlineLevel="0" collapsed="false">
      <c r="A18" s="13" t="s">
        <v>68</v>
      </c>
      <c r="B18" s="14" t="s">
        <v>69</v>
      </c>
      <c r="C18" s="14"/>
      <c r="D18" s="14"/>
    </row>
    <row r="19" customFormat="false" ht="15" hidden="false" customHeight="true" outlineLevel="0" collapsed="false">
      <c r="A19" s="13" t="s">
        <v>68</v>
      </c>
      <c r="B19" s="14" t="s">
        <v>70</v>
      </c>
      <c r="C19" s="14"/>
      <c r="D19" s="14"/>
    </row>
    <row r="20" customFormat="false" ht="15" hidden="false" customHeight="true" outlineLevel="0" collapsed="false">
      <c r="A20" s="13" t="s">
        <v>68</v>
      </c>
      <c r="B20" s="14" t="s">
        <v>71</v>
      </c>
      <c r="C20" s="14"/>
      <c r="D20" s="14"/>
    </row>
    <row r="21" customFormat="false" ht="30" hidden="false" customHeight="true" outlineLevel="0" collapsed="false">
      <c r="A21" s="13" t="s">
        <v>68</v>
      </c>
      <c r="B21" s="14" t="s">
        <v>72</v>
      </c>
      <c r="C21" s="14"/>
      <c r="D21" s="14"/>
    </row>
    <row r="22" customFormat="false" ht="30" hidden="false" customHeight="true" outlineLevel="0" collapsed="false">
      <c r="A22" s="13" t="s">
        <v>68</v>
      </c>
      <c r="B22" s="14" t="s">
        <v>73</v>
      </c>
      <c r="C22" s="14"/>
      <c r="D22" s="14"/>
    </row>
    <row r="24" customFormat="false" ht="15" hidden="false" customHeight="false" outlineLevel="0" collapsed="false">
      <c r="A24" s="7" t="s">
        <v>74</v>
      </c>
    </row>
    <row r="25" customFormat="false" ht="30" hidden="false" customHeight="true" outlineLevel="0" collapsed="false">
      <c r="B25" s="14" t="s">
        <v>75</v>
      </c>
      <c r="C25" s="14"/>
      <c r="D25" s="14"/>
    </row>
    <row r="26" customFormat="false" ht="30" hidden="false" customHeight="true" outlineLevel="0" collapsed="false">
      <c r="B26" s="14" t="s">
        <v>76</v>
      </c>
      <c r="C26" s="14"/>
      <c r="D26" s="14"/>
    </row>
  </sheetData>
  <mergeCells count="7">
    <mergeCell ref="B18:D18"/>
    <mergeCell ref="B19:D19"/>
    <mergeCell ref="B20:D20"/>
    <mergeCell ref="B21:D21"/>
    <mergeCell ref="B22:D22"/>
    <mergeCell ref="B25:D25"/>
    <mergeCell ref="B26:D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6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17" min="3" style="0" width="12"/>
  </cols>
  <sheetData>
    <row r="1" customFormat="false" ht="15" hidden="false" customHeight="false" outlineLevel="0" collapsed="false">
      <c r="A1" s="7" t="s">
        <v>8</v>
      </c>
    </row>
    <row r="2" customFormat="false" ht="15" hidden="false" customHeight="false" outlineLevel="0" collapsed="false">
      <c r="A2" s="8" t="s">
        <v>9</v>
      </c>
    </row>
    <row r="4" customFormat="false" ht="30" hidden="false" customHeight="true" outlineLevel="0" collapsed="false">
      <c r="A4" s="2" t="s">
        <v>77</v>
      </c>
      <c r="B4" s="3" t="s">
        <v>78</v>
      </c>
      <c r="C4" s="3" t="s">
        <v>79</v>
      </c>
      <c r="D4" s="3" t="s">
        <v>80</v>
      </c>
      <c r="E4" s="3" t="s">
        <v>81</v>
      </c>
      <c r="F4" s="3" t="s">
        <v>82</v>
      </c>
      <c r="G4" s="3" t="s">
        <v>83</v>
      </c>
      <c r="H4" s="3" t="s">
        <v>84</v>
      </c>
      <c r="I4" s="3" t="s">
        <v>85</v>
      </c>
      <c r="J4" s="3" t="s">
        <v>86</v>
      </c>
      <c r="K4" s="3" t="s">
        <v>87</v>
      </c>
      <c r="L4" s="3" t="s">
        <v>88</v>
      </c>
      <c r="M4" s="3" t="s">
        <v>89</v>
      </c>
      <c r="N4" s="3" t="s">
        <v>90</v>
      </c>
      <c r="O4" s="3" t="s">
        <v>91</v>
      </c>
      <c r="P4" s="3" t="s">
        <v>92</v>
      </c>
      <c r="Q4" s="3" t="s">
        <v>93</v>
      </c>
    </row>
    <row r="5" customFormat="false" ht="15" hidden="false" customHeight="false" outlineLevel="0" collapsed="false">
      <c r="A5" s="15" t="n">
        <v>1</v>
      </c>
      <c r="B5" s="16" t="n">
        <v>0</v>
      </c>
      <c r="C5" s="15" t="n">
        <v>1</v>
      </c>
      <c r="D5" s="15" t="n">
        <v>4</v>
      </c>
      <c r="E5" s="15" t="n">
        <v>2</v>
      </c>
      <c r="F5" s="15" t="n">
        <v>4</v>
      </c>
      <c r="G5" s="15" t="n">
        <v>3</v>
      </c>
      <c r="H5" s="15" t="n">
        <v>5</v>
      </c>
      <c r="I5" s="15" t="n">
        <v>1</v>
      </c>
      <c r="J5" s="15" t="n">
        <v>4</v>
      </c>
      <c r="K5" s="15" t="n">
        <v>5</v>
      </c>
      <c r="L5" s="16" t="n">
        <v>2.528</v>
      </c>
      <c r="M5" s="16" t="n">
        <v>4</v>
      </c>
      <c r="N5" s="15" t="n">
        <v>1</v>
      </c>
      <c r="O5" s="15" t="n">
        <v>1</v>
      </c>
      <c r="P5" s="15" t="n">
        <v>1</v>
      </c>
      <c r="Q5" s="15" t="n">
        <v>1</v>
      </c>
    </row>
    <row r="6" customFormat="false" ht="15" hidden="false" customHeight="false" outlineLevel="0" collapsed="false">
      <c r="A6" s="15" t="n">
        <v>2</v>
      </c>
      <c r="B6" s="16" t="n">
        <v>0.057</v>
      </c>
      <c r="C6" s="15" t="n">
        <v>1</v>
      </c>
      <c r="D6" s="15" t="n">
        <v>4</v>
      </c>
      <c r="E6" s="15" t="n">
        <v>2</v>
      </c>
      <c r="F6" s="15" t="n">
        <v>4</v>
      </c>
      <c r="G6" s="15" t="n">
        <v>3</v>
      </c>
      <c r="H6" s="15" t="n">
        <v>5</v>
      </c>
      <c r="I6" s="15" t="n">
        <v>1</v>
      </c>
      <c r="J6" s="15" t="n">
        <v>4</v>
      </c>
      <c r="K6" s="15" t="n">
        <v>5</v>
      </c>
      <c r="L6" s="16" t="n">
        <v>2.412</v>
      </c>
      <c r="M6" s="16" t="n">
        <v>4</v>
      </c>
      <c r="N6" s="15" t="n">
        <v>1</v>
      </c>
      <c r="O6" s="15" t="n">
        <v>1</v>
      </c>
      <c r="P6" s="15" t="n">
        <v>1</v>
      </c>
      <c r="Q6" s="15" t="n">
        <v>1</v>
      </c>
    </row>
    <row r="7" customFormat="false" ht="15" hidden="false" customHeight="false" outlineLevel="0" collapsed="false">
      <c r="A7" s="15" t="n">
        <v>3</v>
      </c>
      <c r="B7" s="16" t="n">
        <v>0.182</v>
      </c>
      <c r="C7" s="15" t="n">
        <v>1</v>
      </c>
      <c r="D7" s="15" t="n">
        <v>4</v>
      </c>
      <c r="E7" s="15" t="n">
        <v>4</v>
      </c>
      <c r="F7" s="15" t="n">
        <v>4</v>
      </c>
      <c r="G7" s="15" t="n">
        <v>3</v>
      </c>
      <c r="H7" s="15" t="n">
        <v>5</v>
      </c>
      <c r="I7" s="15" t="n">
        <v>1</v>
      </c>
      <c r="J7" s="15" t="n">
        <v>4</v>
      </c>
      <c r="K7" s="15" t="n">
        <v>5</v>
      </c>
      <c r="L7" s="16" t="n">
        <v>2.195</v>
      </c>
      <c r="M7" s="16" t="n">
        <v>4</v>
      </c>
      <c r="N7" s="15" t="n">
        <v>1</v>
      </c>
      <c r="O7" s="15" t="n">
        <v>1</v>
      </c>
      <c r="P7" s="15" t="n">
        <v>1</v>
      </c>
      <c r="Q7" s="15" t="n">
        <v>1</v>
      </c>
    </row>
    <row r="8" customFormat="false" ht="15" hidden="false" customHeight="false" outlineLevel="0" collapsed="false">
      <c r="A8" s="15" t="n">
        <v>4</v>
      </c>
      <c r="B8" s="16" t="n">
        <v>0.323</v>
      </c>
      <c r="C8" s="15" t="n">
        <v>1</v>
      </c>
      <c r="D8" s="15" t="n">
        <v>4</v>
      </c>
      <c r="E8" s="15" t="n">
        <v>4</v>
      </c>
      <c r="F8" s="15" t="n">
        <v>4</v>
      </c>
      <c r="G8" s="15" t="n">
        <v>3</v>
      </c>
      <c r="H8" s="15" t="n">
        <v>5</v>
      </c>
      <c r="I8" s="15" t="n">
        <v>1</v>
      </c>
      <c r="J8" s="15" t="n">
        <v>4</v>
      </c>
      <c r="K8" s="15" t="n">
        <v>5</v>
      </c>
      <c r="L8" s="16" t="n">
        <v>2.187</v>
      </c>
      <c r="M8" s="16" t="n">
        <v>4</v>
      </c>
      <c r="N8" s="15" t="n">
        <v>1</v>
      </c>
      <c r="O8" s="15" t="n">
        <v>1</v>
      </c>
      <c r="P8" s="15" t="n">
        <v>1</v>
      </c>
      <c r="Q8" s="15" t="n">
        <v>1</v>
      </c>
    </row>
    <row r="9" customFormat="false" ht="15" hidden="false" customHeight="false" outlineLevel="0" collapsed="false">
      <c r="A9" s="15" t="n">
        <v>5</v>
      </c>
      <c r="B9" s="16" t="n">
        <v>0.529</v>
      </c>
      <c r="C9" s="15" t="n">
        <v>1</v>
      </c>
      <c r="D9" s="15" t="n">
        <v>4</v>
      </c>
      <c r="E9" s="15" t="n">
        <v>4</v>
      </c>
      <c r="F9" s="15" t="n">
        <v>4</v>
      </c>
      <c r="G9" s="15" t="n">
        <v>3</v>
      </c>
      <c r="H9" s="15" t="n">
        <v>5</v>
      </c>
      <c r="I9" s="15" t="n">
        <v>1</v>
      </c>
      <c r="J9" s="15" t="n">
        <v>4</v>
      </c>
      <c r="K9" s="15" t="n">
        <v>5</v>
      </c>
      <c r="L9" s="16" t="n">
        <v>2.36</v>
      </c>
      <c r="M9" s="16" t="n">
        <v>4</v>
      </c>
      <c r="N9" s="15" t="n">
        <v>1</v>
      </c>
      <c r="O9" s="15" t="n">
        <v>1</v>
      </c>
      <c r="P9" s="15" t="n">
        <v>1</v>
      </c>
      <c r="Q9" s="15" t="n">
        <v>1</v>
      </c>
    </row>
    <row r="10" customFormat="false" ht="15" hidden="false" customHeight="false" outlineLevel="0" collapsed="false">
      <c r="A10" s="15" t="n">
        <v>6</v>
      </c>
      <c r="B10" s="16" t="n">
        <v>0.714</v>
      </c>
      <c r="C10" s="15" t="n">
        <v>1</v>
      </c>
      <c r="D10" s="15" t="n">
        <v>4</v>
      </c>
      <c r="E10" s="15" t="n">
        <v>4</v>
      </c>
      <c r="F10" s="15" t="n">
        <v>4</v>
      </c>
      <c r="G10" s="15" t="n">
        <v>3</v>
      </c>
      <c r="H10" s="15" t="n">
        <v>5</v>
      </c>
      <c r="I10" s="15" t="n">
        <v>1</v>
      </c>
      <c r="J10" s="15" t="n">
        <v>4</v>
      </c>
      <c r="K10" s="15" t="n">
        <v>5</v>
      </c>
      <c r="L10" s="16" t="n">
        <v>2.521</v>
      </c>
      <c r="M10" s="16" t="n">
        <v>4</v>
      </c>
      <c r="N10" s="15" t="n">
        <v>1</v>
      </c>
      <c r="O10" s="15" t="n">
        <v>1</v>
      </c>
      <c r="P10" s="15" t="n">
        <v>1</v>
      </c>
      <c r="Q10" s="15" t="n">
        <v>1</v>
      </c>
    </row>
    <row r="11" customFormat="false" ht="15" hidden="false" customHeight="false" outlineLevel="0" collapsed="false">
      <c r="A11" s="15" t="n">
        <v>7</v>
      </c>
      <c r="B11" s="16" t="n">
        <v>0.891</v>
      </c>
      <c r="C11" s="15" t="n">
        <v>1</v>
      </c>
      <c r="D11" s="15" t="n">
        <v>4</v>
      </c>
      <c r="E11" s="15" t="n">
        <v>4</v>
      </c>
      <c r="F11" s="15" t="n">
        <v>4</v>
      </c>
      <c r="G11" s="15" t="n">
        <v>3</v>
      </c>
      <c r="H11" s="15" t="n">
        <v>5</v>
      </c>
      <c r="I11" s="15" t="n">
        <v>1</v>
      </c>
      <c r="J11" s="15" t="n">
        <v>4</v>
      </c>
      <c r="K11" s="15" t="n">
        <v>5</v>
      </c>
      <c r="L11" s="16" t="n">
        <v>2.848</v>
      </c>
      <c r="M11" s="16" t="n">
        <v>4</v>
      </c>
      <c r="N11" s="15" t="n">
        <v>1</v>
      </c>
      <c r="O11" s="15" t="n">
        <v>1</v>
      </c>
      <c r="P11" s="15" t="n">
        <v>1</v>
      </c>
      <c r="Q11" s="15" t="n">
        <v>1</v>
      </c>
    </row>
    <row r="12" customFormat="false" ht="15" hidden="false" customHeight="false" outlineLevel="0" collapsed="false">
      <c r="A12" s="15" t="n">
        <v>8</v>
      </c>
      <c r="B12" s="16" t="n">
        <v>1.036</v>
      </c>
      <c r="C12" s="15" t="n">
        <v>1</v>
      </c>
      <c r="D12" s="15" t="n">
        <v>4</v>
      </c>
      <c r="E12" s="15" t="n">
        <v>4</v>
      </c>
      <c r="F12" s="15" t="n">
        <v>4</v>
      </c>
      <c r="G12" s="15" t="n">
        <v>3</v>
      </c>
      <c r="H12" s="15" t="n">
        <v>5</v>
      </c>
      <c r="I12" s="15" t="n">
        <v>1</v>
      </c>
      <c r="J12" s="15" t="n">
        <v>4</v>
      </c>
      <c r="K12" s="15" t="n">
        <v>5</v>
      </c>
      <c r="L12" s="16" t="n">
        <v>2.97</v>
      </c>
      <c r="M12" s="16" t="n">
        <v>4</v>
      </c>
      <c r="N12" s="15" t="n">
        <v>1</v>
      </c>
      <c r="O12" s="15" t="n">
        <v>1</v>
      </c>
      <c r="P12" s="15" t="n">
        <v>1</v>
      </c>
      <c r="Q12" s="15" t="n">
        <v>1</v>
      </c>
    </row>
    <row r="13" customFormat="false" ht="15" hidden="false" customHeight="false" outlineLevel="0" collapsed="false">
      <c r="A13" s="15" t="n">
        <v>9</v>
      </c>
      <c r="B13" s="16" t="n">
        <v>1.155</v>
      </c>
      <c r="C13" s="15" t="n">
        <v>1</v>
      </c>
      <c r="D13" s="15" t="n">
        <v>5</v>
      </c>
      <c r="E13" s="15" t="n">
        <v>4</v>
      </c>
      <c r="F13" s="15" t="n">
        <v>4</v>
      </c>
      <c r="G13" s="15" t="n">
        <v>3</v>
      </c>
      <c r="H13" s="15" t="n">
        <v>5</v>
      </c>
      <c r="I13" s="15" t="n">
        <v>1</v>
      </c>
      <c r="J13" s="15" t="n">
        <v>4</v>
      </c>
      <c r="K13" s="15" t="n">
        <v>5</v>
      </c>
      <c r="L13" s="16" t="n">
        <v>3.067</v>
      </c>
      <c r="M13" s="16" t="n">
        <v>4</v>
      </c>
      <c r="N13" s="15" t="n">
        <v>1</v>
      </c>
      <c r="O13" s="15" t="n">
        <v>1</v>
      </c>
      <c r="P13" s="15" t="n">
        <v>1</v>
      </c>
      <c r="Q13" s="15" t="n">
        <v>1</v>
      </c>
    </row>
    <row r="14" customFormat="false" ht="15" hidden="false" customHeight="false" outlineLevel="0" collapsed="false">
      <c r="A14" s="15" t="n">
        <v>10</v>
      </c>
      <c r="B14" s="16" t="n">
        <v>1.265</v>
      </c>
      <c r="C14" s="15" t="n">
        <v>1</v>
      </c>
      <c r="D14" s="15" t="n">
        <v>5</v>
      </c>
      <c r="E14" s="15" t="n">
        <v>4</v>
      </c>
      <c r="F14" s="15" t="n">
        <v>4</v>
      </c>
      <c r="G14" s="15" t="n">
        <v>3</v>
      </c>
      <c r="H14" s="15" t="n">
        <v>5</v>
      </c>
      <c r="I14" s="15" t="n">
        <v>1</v>
      </c>
      <c r="J14" s="15" t="n">
        <v>4</v>
      </c>
      <c r="K14" s="15" t="n">
        <v>5</v>
      </c>
      <c r="L14" s="16" t="n">
        <v>3.053</v>
      </c>
      <c r="M14" s="16" t="n">
        <v>4</v>
      </c>
      <c r="N14" s="15" t="n">
        <v>1</v>
      </c>
      <c r="O14" s="15" t="n">
        <v>1</v>
      </c>
      <c r="P14" s="15" t="n">
        <v>1</v>
      </c>
      <c r="Q14" s="15" t="n">
        <v>1</v>
      </c>
    </row>
    <row r="15" customFormat="false" ht="15" hidden="false" customHeight="false" outlineLevel="0" collapsed="false">
      <c r="A15" s="15" t="n">
        <v>11</v>
      </c>
      <c r="B15" s="16" t="n">
        <v>1.371</v>
      </c>
      <c r="C15" s="15" t="n">
        <v>1</v>
      </c>
      <c r="D15" s="15" t="n">
        <v>5</v>
      </c>
      <c r="E15" s="15" t="n">
        <v>4</v>
      </c>
      <c r="F15" s="15" t="n">
        <v>4</v>
      </c>
      <c r="G15" s="15" t="n">
        <v>3</v>
      </c>
      <c r="H15" s="15" t="n">
        <v>5</v>
      </c>
      <c r="I15" s="15" t="n">
        <v>1</v>
      </c>
      <c r="J15" s="15" t="n">
        <v>4</v>
      </c>
      <c r="K15" s="15" t="n">
        <v>5</v>
      </c>
      <c r="L15" s="16" t="n">
        <v>3.065</v>
      </c>
      <c r="M15" s="16" t="n">
        <v>4</v>
      </c>
      <c r="N15" s="15" t="n">
        <v>1</v>
      </c>
      <c r="O15" s="15" t="n">
        <v>1</v>
      </c>
      <c r="P15" s="15" t="n">
        <v>1</v>
      </c>
      <c r="Q15" s="15" t="n">
        <v>1</v>
      </c>
    </row>
    <row r="16" customFormat="false" ht="15" hidden="false" customHeight="false" outlineLevel="0" collapsed="false">
      <c r="A16" s="15" t="n">
        <v>12</v>
      </c>
      <c r="B16" s="16" t="n">
        <v>1.474</v>
      </c>
      <c r="C16" s="15" t="n">
        <v>1</v>
      </c>
      <c r="D16" s="15" t="n">
        <v>5</v>
      </c>
      <c r="E16" s="15" t="n">
        <v>4</v>
      </c>
      <c r="F16" s="15" t="n">
        <v>4</v>
      </c>
      <c r="G16" s="15" t="n">
        <v>3</v>
      </c>
      <c r="H16" s="15" t="n">
        <v>5</v>
      </c>
      <c r="I16" s="15" t="n">
        <v>1</v>
      </c>
      <c r="J16" s="15" t="n">
        <v>4</v>
      </c>
      <c r="K16" s="15" t="n">
        <v>5</v>
      </c>
      <c r="L16" s="16" t="n">
        <v>3.068</v>
      </c>
      <c r="M16" s="16" t="n">
        <v>4</v>
      </c>
      <c r="N16" s="15" t="n">
        <v>1</v>
      </c>
      <c r="O16" s="15" t="n">
        <v>1</v>
      </c>
      <c r="P16" s="15" t="n">
        <v>1</v>
      </c>
      <c r="Q16" s="15" t="n">
        <v>1</v>
      </c>
    </row>
    <row r="17" customFormat="false" ht="15" hidden="false" customHeight="false" outlineLevel="0" collapsed="false">
      <c r="A17" s="15" t="n">
        <v>13</v>
      </c>
      <c r="B17" s="16" t="n">
        <v>1.577</v>
      </c>
      <c r="C17" s="15" t="n">
        <v>1</v>
      </c>
      <c r="D17" s="15" t="n">
        <v>5</v>
      </c>
      <c r="E17" s="15" t="n">
        <v>4</v>
      </c>
      <c r="F17" s="15" t="n">
        <v>3</v>
      </c>
      <c r="G17" s="15" t="n">
        <v>3</v>
      </c>
      <c r="H17" s="15" t="n">
        <v>5</v>
      </c>
      <c r="I17" s="15" t="n">
        <v>1</v>
      </c>
      <c r="J17" s="15" t="n">
        <v>4</v>
      </c>
      <c r="K17" s="15" t="n">
        <v>5</v>
      </c>
      <c r="L17" s="16" t="n">
        <v>3.073</v>
      </c>
      <c r="M17" s="16" t="n">
        <v>4</v>
      </c>
      <c r="N17" s="15" t="n">
        <v>1</v>
      </c>
      <c r="O17" s="15" t="n">
        <v>1</v>
      </c>
      <c r="P17" s="15" t="n">
        <v>1</v>
      </c>
      <c r="Q17" s="15" t="n">
        <v>1</v>
      </c>
    </row>
    <row r="18" customFormat="false" ht="15" hidden="false" customHeight="false" outlineLevel="0" collapsed="false">
      <c r="A18" s="15" t="n">
        <v>14</v>
      </c>
      <c r="B18" s="16" t="n">
        <v>1.678</v>
      </c>
      <c r="C18" s="15" t="n">
        <v>1</v>
      </c>
      <c r="D18" s="15" t="n">
        <v>5</v>
      </c>
      <c r="E18" s="15" t="n">
        <v>4</v>
      </c>
      <c r="F18" s="15" t="n">
        <v>3</v>
      </c>
      <c r="G18" s="15" t="n">
        <v>3</v>
      </c>
      <c r="H18" s="15" t="n">
        <v>5</v>
      </c>
      <c r="I18" s="15" t="n">
        <v>1</v>
      </c>
      <c r="J18" s="15" t="n">
        <v>4</v>
      </c>
      <c r="K18" s="15" t="n">
        <v>5</v>
      </c>
      <c r="L18" s="16" t="n">
        <v>3.058</v>
      </c>
      <c r="M18" s="16" t="n">
        <v>4</v>
      </c>
      <c r="N18" s="15" t="n">
        <v>1</v>
      </c>
      <c r="O18" s="15" t="n">
        <v>1</v>
      </c>
      <c r="P18" s="15" t="n">
        <v>1</v>
      </c>
      <c r="Q18" s="15" t="n">
        <v>1</v>
      </c>
    </row>
    <row r="19" customFormat="false" ht="15" hidden="false" customHeight="false" outlineLevel="0" collapsed="false">
      <c r="A19" s="15" t="n">
        <v>15</v>
      </c>
      <c r="B19" s="16" t="n">
        <v>1.779</v>
      </c>
      <c r="C19" s="15" t="n">
        <v>1</v>
      </c>
      <c r="D19" s="15" t="n">
        <v>5</v>
      </c>
      <c r="E19" s="15" t="n">
        <v>4</v>
      </c>
      <c r="F19" s="15" t="n">
        <v>3</v>
      </c>
      <c r="G19" s="15" t="n">
        <v>3</v>
      </c>
      <c r="H19" s="15" t="n">
        <v>5</v>
      </c>
      <c r="I19" s="15" t="n">
        <v>1</v>
      </c>
      <c r="J19" s="15" t="n">
        <v>4</v>
      </c>
      <c r="K19" s="15" t="n">
        <v>5</v>
      </c>
      <c r="L19" s="16" t="n">
        <v>3.027</v>
      </c>
      <c r="M19" s="16" t="n">
        <v>4</v>
      </c>
      <c r="N19" s="15" t="n">
        <v>1</v>
      </c>
      <c r="O19" s="15" t="n">
        <v>1</v>
      </c>
      <c r="P19" s="15" t="n">
        <v>1</v>
      </c>
      <c r="Q19" s="15" t="n">
        <v>1</v>
      </c>
    </row>
    <row r="20" customFormat="false" ht="15" hidden="false" customHeight="false" outlineLevel="0" collapsed="false">
      <c r="A20" s="15" t="n">
        <v>16</v>
      </c>
      <c r="B20" s="16" t="n">
        <v>1.878</v>
      </c>
      <c r="C20" s="15" t="n">
        <v>1</v>
      </c>
      <c r="D20" s="15" t="n">
        <v>5</v>
      </c>
      <c r="E20" s="15" t="n">
        <v>4</v>
      </c>
      <c r="F20" s="15" t="n">
        <v>3</v>
      </c>
      <c r="G20" s="15" t="n">
        <v>3</v>
      </c>
      <c r="H20" s="15" t="n">
        <v>5</v>
      </c>
      <c r="I20" s="15" t="n">
        <v>1</v>
      </c>
      <c r="J20" s="15" t="n">
        <v>4</v>
      </c>
      <c r="K20" s="15" t="n">
        <v>5</v>
      </c>
      <c r="L20" s="16" t="n">
        <v>3.022</v>
      </c>
      <c r="M20" s="16" t="n">
        <v>4</v>
      </c>
      <c r="N20" s="15" t="n">
        <v>1</v>
      </c>
      <c r="O20" s="15" t="n">
        <v>1</v>
      </c>
      <c r="P20" s="15" t="n">
        <v>1</v>
      </c>
      <c r="Q20" s="15" t="n">
        <v>1</v>
      </c>
    </row>
    <row r="21" customFormat="false" ht="15" hidden="false" customHeight="false" outlineLevel="0" collapsed="false">
      <c r="A21" s="15" t="n">
        <v>17</v>
      </c>
      <c r="B21" s="16" t="n">
        <v>1.976</v>
      </c>
      <c r="C21" s="15" t="n">
        <v>1</v>
      </c>
      <c r="D21" s="15" t="n">
        <v>5</v>
      </c>
      <c r="E21" s="15" t="n">
        <v>4</v>
      </c>
      <c r="F21" s="15" t="n">
        <v>3</v>
      </c>
      <c r="G21" s="15" t="n">
        <v>3</v>
      </c>
      <c r="H21" s="15" t="n">
        <v>5</v>
      </c>
      <c r="I21" s="15" t="n">
        <v>1</v>
      </c>
      <c r="J21" s="15" t="n">
        <v>4</v>
      </c>
      <c r="K21" s="15" t="n">
        <v>5</v>
      </c>
      <c r="L21" s="16" t="n">
        <v>3.023</v>
      </c>
      <c r="M21" s="16" t="n">
        <v>4</v>
      </c>
      <c r="N21" s="15" t="n">
        <v>1</v>
      </c>
      <c r="O21" s="15" t="n">
        <v>1</v>
      </c>
      <c r="P21" s="15" t="n">
        <v>1</v>
      </c>
      <c r="Q21" s="15" t="n">
        <v>1</v>
      </c>
    </row>
    <row r="22" customFormat="false" ht="15" hidden="false" customHeight="false" outlineLevel="0" collapsed="false">
      <c r="A22" s="15" t="n">
        <v>18</v>
      </c>
      <c r="B22" s="16" t="n">
        <v>2.074</v>
      </c>
      <c r="C22" s="15" t="n">
        <v>1</v>
      </c>
      <c r="D22" s="15" t="n">
        <v>5</v>
      </c>
      <c r="E22" s="15" t="n">
        <v>4</v>
      </c>
      <c r="F22" s="15" t="n">
        <v>3</v>
      </c>
      <c r="G22" s="15" t="n">
        <v>3</v>
      </c>
      <c r="H22" s="15" t="n">
        <v>5</v>
      </c>
      <c r="I22" s="15" t="n">
        <v>1</v>
      </c>
      <c r="J22" s="15" t="n">
        <v>4</v>
      </c>
      <c r="K22" s="15" t="n">
        <v>5</v>
      </c>
      <c r="L22" s="16" t="n">
        <v>3.009</v>
      </c>
      <c r="M22" s="16" t="n">
        <v>4</v>
      </c>
      <c r="N22" s="15" t="n">
        <v>1</v>
      </c>
      <c r="O22" s="15" t="n">
        <v>1</v>
      </c>
      <c r="P22" s="15" t="n">
        <v>1</v>
      </c>
      <c r="Q22" s="15" t="n">
        <v>1</v>
      </c>
    </row>
    <row r="23" customFormat="false" ht="15" hidden="false" customHeight="false" outlineLevel="0" collapsed="false">
      <c r="A23" s="15" t="n">
        <v>19</v>
      </c>
      <c r="B23" s="16" t="n">
        <v>2.172</v>
      </c>
      <c r="C23" s="15" t="n">
        <v>1</v>
      </c>
      <c r="D23" s="15" t="n">
        <v>5</v>
      </c>
      <c r="E23" s="15" t="n">
        <v>4</v>
      </c>
      <c r="F23" s="15" t="n">
        <v>3</v>
      </c>
      <c r="G23" s="15" t="n">
        <v>3</v>
      </c>
      <c r="H23" s="15" t="n">
        <v>5</v>
      </c>
      <c r="I23" s="15" t="n">
        <v>1</v>
      </c>
      <c r="J23" s="15" t="n">
        <v>4</v>
      </c>
      <c r="K23" s="15" t="n">
        <v>5</v>
      </c>
      <c r="L23" s="16" t="n">
        <v>3.015</v>
      </c>
      <c r="M23" s="16" t="n">
        <v>4</v>
      </c>
      <c r="N23" s="15" t="n">
        <v>1</v>
      </c>
      <c r="O23" s="15" t="n">
        <v>1</v>
      </c>
      <c r="P23" s="15" t="n">
        <v>1</v>
      </c>
      <c r="Q23" s="15" t="n">
        <v>1</v>
      </c>
    </row>
    <row r="24" customFormat="false" ht="15" hidden="false" customHeight="false" outlineLevel="0" collapsed="false">
      <c r="A24" s="15" t="n">
        <v>20</v>
      </c>
      <c r="B24" s="16" t="n">
        <v>2.27</v>
      </c>
      <c r="C24" s="15" t="n">
        <v>1</v>
      </c>
      <c r="D24" s="15" t="n">
        <v>5</v>
      </c>
      <c r="E24" s="15" t="n">
        <v>4</v>
      </c>
      <c r="F24" s="15" t="n">
        <v>3</v>
      </c>
      <c r="G24" s="15" t="n">
        <v>3</v>
      </c>
      <c r="H24" s="15" t="n">
        <v>5</v>
      </c>
      <c r="I24" s="15" t="n">
        <v>1</v>
      </c>
      <c r="J24" s="15" t="n">
        <v>4</v>
      </c>
      <c r="K24" s="15" t="n">
        <v>5</v>
      </c>
      <c r="L24" s="16" t="n">
        <v>3.038</v>
      </c>
      <c r="M24" s="16" t="n">
        <v>4</v>
      </c>
      <c r="N24" s="15" t="n">
        <v>1</v>
      </c>
      <c r="O24" s="15" t="n">
        <v>1</v>
      </c>
      <c r="P24" s="15" t="n">
        <v>1</v>
      </c>
      <c r="Q24" s="15" t="n">
        <v>1</v>
      </c>
    </row>
    <row r="25" customFormat="false" ht="15" hidden="false" customHeight="false" outlineLevel="0" collapsed="false">
      <c r="A25" s="15" t="n">
        <v>21</v>
      </c>
      <c r="B25" s="16" t="n">
        <v>2.369</v>
      </c>
      <c r="C25" s="15" t="n">
        <v>1</v>
      </c>
      <c r="D25" s="15" t="n">
        <v>5</v>
      </c>
      <c r="E25" s="15" t="n">
        <v>4</v>
      </c>
      <c r="F25" s="15" t="n">
        <v>3</v>
      </c>
      <c r="G25" s="15" t="n">
        <v>3</v>
      </c>
      <c r="H25" s="15" t="n">
        <v>5</v>
      </c>
      <c r="I25" s="15" t="n">
        <v>1</v>
      </c>
      <c r="J25" s="15" t="n">
        <v>4</v>
      </c>
      <c r="K25" s="15" t="n">
        <v>5</v>
      </c>
      <c r="L25" s="16" t="n">
        <v>3.036</v>
      </c>
      <c r="M25" s="16" t="n">
        <v>4</v>
      </c>
      <c r="N25" s="15" t="n">
        <v>1</v>
      </c>
      <c r="O25" s="15" t="n">
        <v>1</v>
      </c>
      <c r="P25" s="15" t="n">
        <v>1</v>
      </c>
      <c r="Q25" s="15" t="n">
        <v>1</v>
      </c>
    </row>
    <row r="26" customFormat="false" ht="15" hidden="false" customHeight="false" outlineLevel="0" collapsed="false">
      <c r="A26" s="15" t="n">
        <v>22</v>
      </c>
      <c r="B26" s="16" t="n">
        <v>2.467</v>
      </c>
      <c r="C26" s="15" t="n">
        <v>1</v>
      </c>
      <c r="D26" s="15" t="n">
        <v>5</v>
      </c>
      <c r="E26" s="15" t="n">
        <v>4</v>
      </c>
      <c r="F26" s="15" t="n">
        <v>3</v>
      </c>
      <c r="G26" s="15" t="n">
        <v>3</v>
      </c>
      <c r="H26" s="15" t="n">
        <v>5</v>
      </c>
      <c r="I26" s="15" t="n">
        <v>1</v>
      </c>
      <c r="J26" s="15" t="n">
        <v>4</v>
      </c>
      <c r="K26" s="15" t="n">
        <v>5</v>
      </c>
      <c r="L26" s="16" t="n">
        <v>3.039</v>
      </c>
      <c r="M26" s="16" t="n">
        <v>4</v>
      </c>
      <c r="N26" s="15" t="n">
        <v>1</v>
      </c>
      <c r="O26" s="15" t="n">
        <v>1</v>
      </c>
      <c r="P26" s="15" t="n">
        <v>1</v>
      </c>
      <c r="Q26" s="15" t="n">
        <v>1</v>
      </c>
    </row>
    <row r="27" customFormat="false" ht="15" hidden="false" customHeight="false" outlineLevel="0" collapsed="false">
      <c r="A27" s="15" t="n">
        <v>23</v>
      </c>
      <c r="B27" s="16" t="n">
        <v>2.567</v>
      </c>
      <c r="C27" s="15" t="n">
        <v>1</v>
      </c>
      <c r="D27" s="15" t="n">
        <v>5</v>
      </c>
      <c r="E27" s="15" t="n">
        <v>4</v>
      </c>
      <c r="F27" s="15" t="n">
        <v>3</v>
      </c>
      <c r="G27" s="15" t="n">
        <v>3</v>
      </c>
      <c r="H27" s="15" t="n">
        <v>5</v>
      </c>
      <c r="I27" s="15" t="n">
        <v>1</v>
      </c>
      <c r="J27" s="15" t="n">
        <v>4</v>
      </c>
      <c r="K27" s="15" t="n">
        <v>5</v>
      </c>
      <c r="L27" s="16" t="n">
        <v>3.029</v>
      </c>
      <c r="M27" s="16" t="n">
        <v>4</v>
      </c>
      <c r="N27" s="15" t="n">
        <v>1</v>
      </c>
      <c r="O27" s="15" t="n">
        <v>1</v>
      </c>
      <c r="P27" s="15" t="n">
        <v>1</v>
      </c>
      <c r="Q27" s="15" t="n">
        <v>2</v>
      </c>
    </row>
    <row r="28" customFormat="false" ht="15" hidden="false" customHeight="false" outlineLevel="0" collapsed="false">
      <c r="A28" s="15" t="n">
        <v>24</v>
      </c>
      <c r="B28" s="16" t="n">
        <v>2.666</v>
      </c>
      <c r="C28" s="15" t="n">
        <v>1</v>
      </c>
      <c r="D28" s="15" t="n">
        <v>5</v>
      </c>
      <c r="E28" s="15" t="n">
        <v>4</v>
      </c>
      <c r="F28" s="15" t="n">
        <v>3</v>
      </c>
      <c r="G28" s="15" t="n">
        <v>3</v>
      </c>
      <c r="H28" s="15" t="n">
        <v>5</v>
      </c>
      <c r="I28" s="15" t="n">
        <v>1</v>
      </c>
      <c r="J28" s="15" t="n">
        <v>4</v>
      </c>
      <c r="K28" s="15" t="n">
        <v>5</v>
      </c>
      <c r="L28" s="16" t="n">
        <v>3.02</v>
      </c>
      <c r="M28" s="16" t="n">
        <v>4</v>
      </c>
      <c r="N28" s="15" t="n">
        <v>1</v>
      </c>
      <c r="O28" s="15" t="n">
        <v>1</v>
      </c>
      <c r="P28" s="15" t="n">
        <v>1</v>
      </c>
      <c r="Q28" s="15" t="n">
        <v>1</v>
      </c>
    </row>
    <row r="29" customFormat="false" ht="15" hidden="false" customHeight="false" outlineLevel="0" collapsed="false">
      <c r="A29" s="15" t="n">
        <v>25</v>
      </c>
      <c r="B29" s="16" t="n">
        <v>2.766</v>
      </c>
      <c r="C29" s="15" t="n">
        <v>1</v>
      </c>
      <c r="D29" s="15" t="n">
        <v>5</v>
      </c>
      <c r="E29" s="15" t="n">
        <v>4</v>
      </c>
      <c r="F29" s="15" t="n">
        <v>3</v>
      </c>
      <c r="G29" s="15" t="n">
        <v>3</v>
      </c>
      <c r="H29" s="15" t="n">
        <v>5</v>
      </c>
      <c r="I29" s="15" t="n">
        <v>1</v>
      </c>
      <c r="J29" s="15" t="n">
        <v>4</v>
      </c>
      <c r="K29" s="15" t="n">
        <v>5</v>
      </c>
      <c r="L29" s="16" t="n">
        <v>3.037</v>
      </c>
      <c r="M29" s="16" t="n">
        <v>4</v>
      </c>
      <c r="N29" s="15" t="n">
        <v>1</v>
      </c>
      <c r="O29" s="15" t="n">
        <v>1</v>
      </c>
      <c r="P29" s="15" t="n">
        <v>1</v>
      </c>
      <c r="Q29" s="15" t="n">
        <v>1</v>
      </c>
    </row>
    <row r="30" customFormat="false" ht="15" hidden="false" customHeight="false" outlineLevel="0" collapsed="false">
      <c r="A30" s="15" t="n">
        <v>26</v>
      </c>
      <c r="B30" s="16" t="n">
        <v>2.865</v>
      </c>
      <c r="C30" s="15" t="n">
        <v>1</v>
      </c>
      <c r="D30" s="15" t="n">
        <v>5</v>
      </c>
      <c r="E30" s="15" t="n">
        <v>3</v>
      </c>
      <c r="F30" s="15" t="n">
        <v>3</v>
      </c>
      <c r="G30" s="15" t="n">
        <v>3</v>
      </c>
      <c r="H30" s="15" t="n">
        <v>5</v>
      </c>
      <c r="I30" s="15" t="n">
        <v>1</v>
      </c>
      <c r="J30" s="15" t="n">
        <v>4</v>
      </c>
      <c r="K30" s="15" t="n">
        <v>5</v>
      </c>
      <c r="L30" s="16" t="n">
        <v>3.021</v>
      </c>
      <c r="M30" s="16" t="n">
        <v>4</v>
      </c>
      <c r="N30" s="15" t="n">
        <v>1</v>
      </c>
      <c r="O30" s="15" t="n">
        <v>1</v>
      </c>
      <c r="P30" s="15" t="n">
        <v>1</v>
      </c>
      <c r="Q30" s="15" t="n">
        <v>1</v>
      </c>
    </row>
    <row r="31" customFormat="false" ht="15" hidden="false" customHeight="false" outlineLevel="0" collapsed="false">
      <c r="A31" s="15" t="n">
        <v>27</v>
      </c>
      <c r="B31" s="16" t="n">
        <v>2.964</v>
      </c>
      <c r="C31" s="15" t="n">
        <v>1</v>
      </c>
      <c r="D31" s="15" t="n">
        <v>5</v>
      </c>
      <c r="E31" s="15" t="n">
        <v>3</v>
      </c>
      <c r="F31" s="15" t="n">
        <v>3</v>
      </c>
      <c r="G31" s="15" t="n">
        <v>3</v>
      </c>
      <c r="H31" s="15" t="n">
        <v>5</v>
      </c>
      <c r="I31" s="15" t="n">
        <v>1</v>
      </c>
      <c r="J31" s="15" t="n">
        <v>4</v>
      </c>
      <c r="K31" s="15" t="n">
        <v>5</v>
      </c>
      <c r="L31" s="16" t="n">
        <v>3.021</v>
      </c>
      <c r="M31" s="16" t="n">
        <v>4</v>
      </c>
      <c r="N31" s="15" t="n">
        <v>1</v>
      </c>
      <c r="O31" s="15" t="n">
        <v>1</v>
      </c>
      <c r="P31" s="15" t="n">
        <v>1</v>
      </c>
      <c r="Q31" s="15" t="n">
        <v>1</v>
      </c>
    </row>
    <row r="32" customFormat="false" ht="15" hidden="false" customHeight="false" outlineLevel="0" collapsed="false">
      <c r="A32" s="15" t="n">
        <v>28</v>
      </c>
      <c r="B32" s="16" t="n">
        <v>3.062</v>
      </c>
      <c r="C32" s="15" t="n">
        <v>1</v>
      </c>
      <c r="D32" s="15" t="n">
        <v>5</v>
      </c>
      <c r="E32" s="15" t="n">
        <v>3</v>
      </c>
      <c r="F32" s="15" t="n">
        <v>3</v>
      </c>
      <c r="G32" s="15" t="n">
        <v>3</v>
      </c>
      <c r="H32" s="15" t="n">
        <v>5</v>
      </c>
      <c r="I32" s="15" t="n">
        <v>1</v>
      </c>
      <c r="J32" s="15" t="n">
        <v>4</v>
      </c>
      <c r="K32" s="15" t="n">
        <v>5</v>
      </c>
      <c r="L32" s="16" t="n">
        <v>3.038</v>
      </c>
      <c r="M32" s="16" t="n">
        <v>4</v>
      </c>
      <c r="N32" s="15" t="n">
        <v>1</v>
      </c>
      <c r="O32" s="15" t="n">
        <v>1</v>
      </c>
      <c r="P32" s="15" t="n">
        <v>1</v>
      </c>
      <c r="Q32" s="15" t="n">
        <v>1</v>
      </c>
    </row>
    <row r="33" customFormat="false" ht="15" hidden="false" customHeight="false" outlineLevel="0" collapsed="false">
      <c r="A33" s="15" t="n">
        <v>29</v>
      </c>
      <c r="B33" s="16" t="n">
        <v>3.159</v>
      </c>
      <c r="C33" s="15" t="n">
        <v>1</v>
      </c>
      <c r="D33" s="15" t="n">
        <v>5</v>
      </c>
      <c r="E33" s="15" t="n">
        <v>3</v>
      </c>
      <c r="F33" s="15" t="n">
        <v>5</v>
      </c>
      <c r="G33" s="15" t="n">
        <v>3</v>
      </c>
      <c r="H33" s="15" t="n">
        <v>5</v>
      </c>
      <c r="I33" s="15" t="n">
        <v>1</v>
      </c>
      <c r="J33" s="15" t="n">
        <v>4</v>
      </c>
      <c r="K33" s="15" t="n">
        <v>5</v>
      </c>
      <c r="L33" s="16" t="n">
        <v>3.041</v>
      </c>
      <c r="M33" s="16" t="n">
        <v>4</v>
      </c>
      <c r="N33" s="15" t="n">
        <v>1</v>
      </c>
      <c r="O33" s="15" t="n">
        <v>1</v>
      </c>
      <c r="P33" s="15" t="n">
        <v>1</v>
      </c>
      <c r="Q33" s="15" t="n">
        <v>1</v>
      </c>
    </row>
    <row r="34" customFormat="false" ht="15" hidden="false" customHeight="false" outlineLevel="0" collapsed="false">
      <c r="A34" s="15" t="n">
        <v>30</v>
      </c>
      <c r="B34" s="16" t="n">
        <v>3.256</v>
      </c>
      <c r="C34" s="15" t="n">
        <v>1</v>
      </c>
      <c r="D34" s="15" t="n">
        <v>5</v>
      </c>
      <c r="E34" s="15" t="n">
        <v>3</v>
      </c>
      <c r="F34" s="15" t="n">
        <v>4</v>
      </c>
      <c r="G34" s="15" t="n">
        <v>3</v>
      </c>
      <c r="H34" s="15" t="n">
        <v>5</v>
      </c>
      <c r="I34" s="15" t="n">
        <v>1</v>
      </c>
      <c r="J34" s="15" t="n">
        <v>4</v>
      </c>
      <c r="K34" s="15" t="n">
        <v>5</v>
      </c>
      <c r="L34" s="16" t="n">
        <v>3.026</v>
      </c>
      <c r="M34" s="16" t="n">
        <v>4</v>
      </c>
      <c r="N34" s="15" t="n">
        <v>1</v>
      </c>
      <c r="O34" s="15" t="n">
        <v>1</v>
      </c>
      <c r="P34" s="15" t="n">
        <v>1</v>
      </c>
      <c r="Q34" s="15" t="n">
        <v>1</v>
      </c>
    </row>
    <row r="35" customFormat="false" ht="15" hidden="false" customHeight="false" outlineLevel="0" collapsed="false">
      <c r="A35" s="15" t="n">
        <v>31</v>
      </c>
      <c r="B35" s="16" t="n">
        <v>3.353</v>
      </c>
      <c r="C35" s="15" t="n">
        <v>1</v>
      </c>
      <c r="D35" s="15" t="n">
        <v>5</v>
      </c>
      <c r="E35" s="15" t="n">
        <v>3</v>
      </c>
      <c r="F35" s="15" t="n">
        <v>4</v>
      </c>
      <c r="G35" s="15" t="n">
        <v>3</v>
      </c>
      <c r="H35" s="15" t="n">
        <v>5</v>
      </c>
      <c r="I35" s="15" t="n">
        <v>1</v>
      </c>
      <c r="J35" s="15" t="n">
        <v>4</v>
      </c>
      <c r="K35" s="15" t="n">
        <v>5</v>
      </c>
      <c r="L35" s="16" t="n">
        <v>3.014</v>
      </c>
      <c r="M35" s="16" t="n">
        <v>4</v>
      </c>
      <c r="N35" s="15" t="n">
        <v>1</v>
      </c>
      <c r="O35" s="15" t="n">
        <v>1</v>
      </c>
      <c r="P35" s="15" t="n">
        <v>1</v>
      </c>
      <c r="Q35" s="15" t="n">
        <v>1</v>
      </c>
    </row>
    <row r="36" customFormat="false" ht="15" hidden="false" customHeight="false" outlineLevel="0" collapsed="false">
      <c r="A36" s="15" t="n">
        <v>32</v>
      </c>
      <c r="B36" s="16" t="n">
        <v>3.45</v>
      </c>
      <c r="C36" s="15" t="n">
        <v>1</v>
      </c>
      <c r="D36" s="15" t="n">
        <v>5</v>
      </c>
      <c r="E36" s="15" t="n">
        <v>3</v>
      </c>
      <c r="F36" s="15" t="n">
        <v>3</v>
      </c>
      <c r="G36" s="15" t="n">
        <v>3</v>
      </c>
      <c r="H36" s="15" t="n">
        <v>5</v>
      </c>
      <c r="I36" s="15" t="n">
        <v>1</v>
      </c>
      <c r="J36" s="15" t="n">
        <v>4</v>
      </c>
      <c r="K36" s="15" t="n">
        <v>5</v>
      </c>
      <c r="L36" s="16" t="n">
        <v>3.026</v>
      </c>
      <c r="M36" s="16" t="n">
        <v>4</v>
      </c>
      <c r="N36" s="15" t="n">
        <v>1</v>
      </c>
      <c r="O36" s="15" t="n">
        <v>1</v>
      </c>
      <c r="P36" s="15" t="n">
        <v>1</v>
      </c>
      <c r="Q36" s="15" t="n">
        <v>1</v>
      </c>
    </row>
    <row r="37" customFormat="false" ht="15" hidden="false" customHeight="false" outlineLevel="0" collapsed="false">
      <c r="A37" s="15" t="n">
        <v>33</v>
      </c>
      <c r="B37" s="16" t="n">
        <v>3.547</v>
      </c>
      <c r="C37" s="15" t="n">
        <v>2</v>
      </c>
      <c r="D37" s="15" t="n">
        <v>5</v>
      </c>
      <c r="E37" s="15" t="n">
        <v>3</v>
      </c>
      <c r="F37" s="15" t="n">
        <v>4</v>
      </c>
      <c r="G37" s="15" t="n">
        <v>3</v>
      </c>
      <c r="H37" s="15" t="n">
        <v>5</v>
      </c>
      <c r="I37" s="15" t="n">
        <v>1</v>
      </c>
      <c r="J37" s="15" t="n">
        <v>4</v>
      </c>
      <c r="K37" s="15" t="n">
        <v>5</v>
      </c>
      <c r="L37" s="16" t="n">
        <v>3.038</v>
      </c>
      <c r="M37" s="16" t="n">
        <v>4</v>
      </c>
      <c r="N37" s="15" t="n">
        <v>1</v>
      </c>
      <c r="O37" s="15" t="n">
        <v>1</v>
      </c>
      <c r="P37" s="15" t="n">
        <v>1</v>
      </c>
      <c r="Q37" s="15" t="n">
        <v>1</v>
      </c>
    </row>
    <row r="38" customFormat="false" ht="15" hidden="false" customHeight="false" outlineLevel="0" collapsed="false">
      <c r="A38" s="15" t="n">
        <v>34</v>
      </c>
      <c r="B38" s="16" t="n">
        <v>3.645</v>
      </c>
      <c r="C38" s="15" t="n">
        <v>2</v>
      </c>
      <c r="D38" s="15" t="n">
        <v>5</v>
      </c>
      <c r="E38" s="15" t="n">
        <v>2</v>
      </c>
      <c r="F38" s="15" t="n">
        <v>4</v>
      </c>
      <c r="G38" s="15" t="n">
        <v>3</v>
      </c>
      <c r="H38" s="15" t="n">
        <v>5</v>
      </c>
      <c r="I38" s="15" t="n">
        <v>1</v>
      </c>
      <c r="J38" s="15" t="n">
        <v>4</v>
      </c>
      <c r="K38" s="15" t="n">
        <v>5</v>
      </c>
      <c r="L38" s="16" t="n">
        <v>3.048</v>
      </c>
      <c r="M38" s="16" t="n">
        <v>4</v>
      </c>
      <c r="N38" s="15" t="n">
        <v>1</v>
      </c>
      <c r="O38" s="15" t="n">
        <v>1</v>
      </c>
      <c r="P38" s="15" t="n">
        <v>1</v>
      </c>
      <c r="Q38" s="15" t="n">
        <v>1</v>
      </c>
    </row>
    <row r="39" customFormat="false" ht="15" hidden="false" customHeight="false" outlineLevel="0" collapsed="false">
      <c r="A39" s="15" t="n">
        <v>35</v>
      </c>
      <c r="B39" s="16" t="n">
        <v>3.742</v>
      </c>
      <c r="C39" s="15" t="n">
        <v>1</v>
      </c>
      <c r="D39" s="15" t="n">
        <v>5</v>
      </c>
      <c r="E39" s="15" t="n">
        <v>3</v>
      </c>
      <c r="F39" s="15" t="n">
        <v>5</v>
      </c>
      <c r="G39" s="15" t="n">
        <v>3</v>
      </c>
      <c r="H39" s="15" t="n">
        <v>5</v>
      </c>
      <c r="I39" s="15" t="n">
        <v>1</v>
      </c>
      <c r="J39" s="15" t="n">
        <v>4</v>
      </c>
      <c r="K39" s="15" t="n">
        <v>5</v>
      </c>
      <c r="L39" s="16" t="n">
        <v>3.05</v>
      </c>
      <c r="M39" s="16" t="n">
        <v>4</v>
      </c>
      <c r="N39" s="15" t="n">
        <v>1</v>
      </c>
      <c r="O39" s="15" t="n">
        <v>1</v>
      </c>
      <c r="P39" s="15" t="n">
        <v>1</v>
      </c>
      <c r="Q39" s="15" t="n">
        <v>1</v>
      </c>
    </row>
    <row r="40" customFormat="false" ht="15" hidden="false" customHeight="false" outlineLevel="0" collapsed="false">
      <c r="A40" s="15" t="n">
        <v>36</v>
      </c>
      <c r="B40" s="16" t="n">
        <v>3.84</v>
      </c>
      <c r="C40" s="15" t="n">
        <v>1</v>
      </c>
      <c r="D40" s="15" t="n">
        <v>5</v>
      </c>
      <c r="E40" s="15" t="n">
        <v>3</v>
      </c>
      <c r="F40" s="15" t="n">
        <v>5</v>
      </c>
      <c r="G40" s="15" t="n">
        <v>3</v>
      </c>
      <c r="H40" s="15" t="n">
        <v>5</v>
      </c>
      <c r="I40" s="15" t="n">
        <v>1</v>
      </c>
      <c r="J40" s="15" t="n">
        <v>4</v>
      </c>
      <c r="K40" s="15" t="n">
        <v>5</v>
      </c>
      <c r="L40" s="16" t="n">
        <v>3.034</v>
      </c>
      <c r="M40" s="16" t="n">
        <v>4</v>
      </c>
      <c r="N40" s="15" t="n">
        <v>1</v>
      </c>
      <c r="O40" s="15" t="n">
        <v>1</v>
      </c>
      <c r="P40" s="15" t="n">
        <v>1</v>
      </c>
      <c r="Q40" s="15" t="n">
        <v>1</v>
      </c>
    </row>
    <row r="41" customFormat="false" ht="15" hidden="false" customHeight="false" outlineLevel="0" collapsed="false">
      <c r="A41" s="15" t="n">
        <v>37</v>
      </c>
      <c r="B41" s="16" t="n">
        <v>3.937</v>
      </c>
      <c r="C41" s="15" t="n">
        <v>1</v>
      </c>
      <c r="D41" s="15" t="n">
        <v>5</v>
      </c>
      <c r="E41" s="15" t="n">
        <v>3</v>
      </c>
      <c r="F41" s="15" t="n">
        <v>4</v>
      </c>
      <c r="G41" s="15" t="n">
        <v>3</v>
      </c>
      <c r="H41" s="15" t="n">
        <v>5</v>
      </c>
      <c r="I41" s="15" t="n">
        <v>1</v>
      </c>
      <c r="J41" s="15" t="n">
        <v>4</v>
      </c>
      <c r="K41" s="15" t="n">
        <v>5</v>
      </c>
      <c r="L41" s="16" t="n">
        <v>3.029</v>
      </c>
      <c r="M41" s="16" t="n">
        <v>4</v>
      </c>
      <c r="N41" s="15" t="n">
        <v>1</v>
      </c>
      <c r="O41" s="15" t="n">
        <v>1</v>
      </c>
      <c r="P41" s="15" t="n">
        <v>1</v>
      </c>
      <c r="Q41" s="15" t="n">
        <v>1</v>
      </c>
    </row>
    <row r="42" customFormat="false" ht="15" hidden="false" customHeight="false" outlineLevel="0" collapsed="false">
      <c r="A42" s="15" t="n">
        <v>38</v>
      </c>
      <c r="B42" s="16" t="n">
        <v>4.034</v>
      </c>
      <c r="C42" s="15" t="n">
        <v>1</v>
      </c>
      <c r="D42" s="15" t="n">
        <v>5</v>
      </c>
      <c r="E42" s="15" t="n">
        <v>3</v>
      </c>
      <c r="F42" s="15" t="n">
        <v>4</v>
      </c>
      <c r="G42" s="15" t="n">
        <v>3</v>
      </c>
      <c r="H42" s="15" t="n">
        <v>5</v>
      </c>
      <c r="I42" s="15" t="n">
        <v>1</v>
      </c>
      <c r="J42" s="15" t="n">
        <v>4</v>
      </c>
      <c r="K42" s="15" t="n">
        <v>5</v>
      </c>
      <c r="L42" s="16" t="n">
        <v>3.025</v>
      </c>
      <c r="M42" s="16" t="n">
        <v>4</v>
      </c>
      <c r="N42" s="15" t="n">
        <v>1</v>
      </c>
      <c r="O42" s="15" t="n">
        <v>1</v>
      </c>
      <c r="P42" s="15" t="n">
        <v>1</v>
      </c>
      <c r="Q42" s="15" t="n">
        <v>1</v>
      </c>
    </row>
    <row r="43" customFormat="false" ht="15" hidden="false" customHeight="false" outlineLevel="0" collapsed="false">
      <c r="A43" s="15" t="n">
        <v>39</v>
      </c>
      <c r="B43" s="16" t="n">
        <v>4.132</v>
      </c>
      <c r="C43" s="15" t="n">
        <v>1</v>
      </c>
      <c r="D43" s="15" t="n">
        <v>5</v>
      </c>
      <c r="E43" s="15" t="n">
        <v>3</v>
      </c>
      <c r="F43" s="15" t="n">
        <v>5</v>
      </c>
      <c r="G43" s="15" t="n">
        <v>3</v>
      </c>
      <c r="H43" s="15" t="n">
        <v>5</v>
      </c>
      <c r="I43" s="15" t="n">
        <v>1</v>
      </c>
      <c r="J43" s="15" t="n">
        <v>4</v>
      </c>
      <c r="K43" s="15" t="n">
        <v>5</v>
      </c>
      <c r="L43" s="16" t="n">
        <v>3.031</v>
      </c>
      <c r="M43" s="16" t="n">
        <v>4</v>
      </c>
      <c r="N43" s="15" t="n">
        <v>1</v>
      </c>
      <c r="O43" s="15" t="n">
        <v>1</v>
      </c>
      <c r="P43" s="15" t="n">
        <v>1</v>
      </c>
      <c r="Q43" s="15" t="n">
        <v>1</v>
      </c>
    </row>
    <row r="44" customFormat="false" ht="15" hidden="false" customHeight="false" outlineLevel="0" collapsed="false">
      <c r="A44" s="15" t="n">
        <v>40</v>
      </c>
      <c r="B44" s="16" t="n">
        <v>4.23</v>
      </c>
      <c r="C44" s="15" t="n">
        <v>1</v>
      </c>
      <c r="D44" s="15" t="n">
        <v>5</v>
      </c>
      <c r="E44" s="15" t="n">
        <v>3</v>
      </c>
      <c r="F44" s="15" t="n">
        <v>5</v>
      </c>
      <c r="G44" s="15" t="n">
        <v>3</v>
      </c>
      <c r="H44" s="15" t="n">
        <v>5</v>
      </c>
      <c r="I44" s="15" t="n">
        <v>1</v>
      </c>
      <c r="J44" s="15" t="n">
        <v>4</v>
      </c>
      <c r="K44" s="15" t="n">
        <v>5</v>
      </c>
      <c r="L44" s="16" t="n">
        <v>3.021</v>
      </c>
      <c r="M44" s="16" t="n">
        <v>4</v>
      </c>
      <c r="N44" s="15" t="n">
        <v>1</v>
      </c>
      <c r="O44" s="15" t="n">
        <v>1</v>
      </c>
      <c r="P44" s="15" t="n">
        <v>1</v>
      </c>
      <c r="Q44" s="15" t="n">
        <v>1</v>
      </c>
    </row>
    <row r="45" customFormat="false" ht="15" hidden="false" customHeight="false" outlineLevel="0" collapsed="false">
      <c r="A45" s="15" t="n">
        <v>41</v>
      </c>
      <c r="B45" s="16" t="n">
        <v>4.328</v>
      </c>
      <c r="C45" s="15" t="n">
        <v>1</v>
      </c>
      <c r="D45" s="15" t="n">
        <v>5</v>
      </c>
      <c r="E45" s="15" t="n">
        <v>3</v>
      </c>
      <c r="F45" s="15" t="n">
        <v>5</v>
      </c>
      <c r="G45" s="15" t="n">
        <v>3</v>
      </c>
      <c r="H45" s="15" t="n">
        <v>5</v>
      </c>
      <c r="I45" s="15" t="n">
        <v>1</v>
      </c>
      <c r="J45" s="15" t="n">
        <v>4</v>
      </c>
      <c r="K45" s="15" t="n">
        <v>5</v>
      </c>
      <c r="L45" s="16" t="n">
        <v>2.97</v>
      </c>
      <c r="M45" s="16" t="n">
        <v>4</v>
      </c>
      <c r="N45" s="15" t="n">
        <v>1</v>
      </c>
      <c r="O45" s="15" t="n">
        <v>1</v>
      </c>
      <c r="P45" s="15" t="n">
        <v>1</v>
      </c>
      <c r="Q45" s="15" t="n">
        <v>1</v>
      </c>
    </row>
    <row r="46" customFormat="false" ht="15" hidden="false" customHeight="false" outlineLevel="0" collapsed="false">
      <c r="A46" s="15" t="n">
        <v>42</v>
      </c>
      <c r="B46" s="16" t="n">
        <v>4.426</v>
      </c>
      <c r="C46" s="15" t="n">
        <v>1</v>
      </c>
      <c r="D46" s="15" t="n">
        <v>5</v>
      </c>
      <c r="E46" s="15" t="n">
        <v>3</v>
      </c>
      <c r="F46" s="15" t="n">
        <v>4</v>
      </c>
      <c r="G46" s="15" t="n">
        <v>3</v>
      </c>
      <c r="H46" s="15" t="n">
        <v>5</v>
      </c>
      <c r="I46" s="15" t="n">
        <v>1</v>
      </c>
      <c r="J46" s="15" t="n">
        <v>4</v>
      </c>
      <c r="K46" s="15" t="n">
        <v>5</v>
      </c>
      <c r="L46" s="16" t="n">
        <v>2.86</v>
      </c>
      <c r="M46" s="16" t="n">
        <v>4</v>
      </c>
      <c r="N46" s="15" t="n">
        <v>1</v>
      </c>
      <c r="O46" s="15" t="n">
        <v>1</v>
      </c>
      <c r="P46" s="15" t="n">
        <v>1</v>
      </c>
      <c r="Q46" s="15" t="n">
        <v>1</v>
      </c>
    </row>
    <row r="47" customFormat="false" ht="15" hidden="false" customHeight="false" outlineLevel="0" collapsed="false">
      <c r="A47" s="15" t="n">
        <v>43</v>
      </c>
      <c r="B47" s="16" t="n">
        <v>4.526</v>
      </c>
      <c r="C47" s="15" t="n">
        <v>1</v>
      </c>
      <c r="D47" s="15" t="n">
        <v>5</v>
      </c>
      <c r="E47" s="15" t="n">
        <v>3</v>
      </c>
      <c r="F47" s="15" t="n">
        <v>4</v>
      </c>
      <c r="G47" s="15" t="n">
        <v>3</v>
      </c>
      <c r="H47" s="15" t="n">
        <v>5</v>
      </c>
      <c r="I47" s="15" t="n">
        <v>1</v>
      </c>
      <c r="J47" s="15" t="n">
        <v>4</v>
      </c>
      <c r="K47" s="15" t="n">
        <v>5</v>
      </c>
      <c r="L47" s="16" t="n">
        <v>2.868</v>
      </c>
      <c r="M47" s="16" t="n">
        <v>4</v>
      </c>
      <c r="N47" s="15" t="n">
        <v>1</v>
      </c>
      <c r="O47" s="15" t="n">
        <v>1</v>
      </c>
      <c r="P47" s="15" t="n">
        <v>1</v>
      </c>
      <c r="Q47" s="15" t="n">
        <v>1</v>
      </c>
    </row>
    <row r="48" customFormat="false" ht="15" hidden="false" customHeight="false" outlineLevel="0" collapsed="false">
      <c r="A48" s="15" t="n">
        <v>44</v>
      </c>
      <c r="B48" s="16" t="n">
        <v>4.626</v>
      </c>
      <c r="C48" s="15" t="n">
        <v>1</v>
      </c>
      <c r="D48" s="15" t="n">
        <v>5</v>
      </c>
      <c r="E48" s="15" t="n">
        <v>3</v>
      </c>
      <c r="F48" s="15" t="n">
        <v>4</v>
      </c>
      <c r="G48" s="15" t="n">
        <v>3</v>
      </c>
      <c r="H48" s="15" t="n">
        <v>5</v>
      </c>
      <c r="I48" s="15" t="n">
        <v>1</v>
      </c>
      <c r="J48" s="15" t="n">
        <v>4</v>
      </c>
      <c r="K48" s="15" t="n">
        <v>5</v>
      </c>
      <c r="L48" s="16" t="n">
        <v>2.889</v>
      </c>
      <c r="M48" s="16" t="n">
        <v>4</v>
      </c>
      <c r="N48" s="15" t="n">
        <v>1</v>
      </c>
      <c r="O48" s="15" t="n">
        <v>1</v>
      </c>
      <c r="P48" s="15" t="n">
        <v>1</v>
      </c>
      <c r="Q48" s="15" t="n">
        <v>1</v>
      </c>
    </row>
    <row r="49" customFormat="false" ht="15" hidden="false" customHeight="false" outlineLevel="0" collapsed="false">
      <c r="A49" s="15" t="n">
        <v>45</v>
      </c>
      <c r="B49" s="16" t="n">
        <v>4.726</v>
      </c>
      <c r="C49" s="15" t="n">
        <v>2</v>
      </c>
      <c r="D49" s="15" t="n">
        <v>5</v>
      </c>
      <c r="E49" s="15" t="n">
        <v>3</v>
      </c>
      <c r="F49" s="15" t="n">
        <v>4</v>
      </c>
      <c r="G49" s="15" t="n">
        <v>3</v>
      </c>
      <c r="H49" s="15" t="n">
        <v>5</v>
      </c>
      <c r="I49" s="15" t="n">
        <v>1</v>
      </c>
      <c r="J49" s="15" t="n">
        <v>4</v>
      </c>
      <c r="K49" s="15" t="n">
        <v>5</v>
      </c>
      <c r="L49" s="16" t="n">
        <v>3.038</v>
      </c>
      <c r="M49" s="16" t="n">
        <v>4</v>
      </c>
      <c r="N49" s="15" t="n">
        <v>1</v>
      </c>
      <c r="O49" s="15" t="n">
        <v>1</v>
      </c>
      <c r="P49" s="15" t="n">
        <v>1</v>
      </c>
      <c r="Q49" s="15" t="n">
        <v>1</v>
      </c>
    </row>
    <row r="50" customFormat="false" ht="15" hidden="false" customHeight="false" outlineLevel="0" collapsed="false">
      <c r="A50" s="15" t="n">
        <v>46</v>
      </c>
      <c r="B50" s="16" t="n">
        <v>4.826</v>
      </c>
      <c r="C50" s="15" t="n">
        <v>3</v>
      </c>
      <c r="D50" s="15" t="n">
        <v>5</v>
      </c>
      <c r="E50" s="15" t="n">
        <v>3</v>
      </c>
      <c r="F50" s="15" t="n">
        <v>5</v>
      </c>
      <c r="G50" s="15" t="n">
        <v>3</v>
      </c>
      <c r="H50" s="15" t="n">
        <v>5</v>
      </c>
      <c r="I50" s="15" t="n">
        <v>1</v>
      </c>
      <c r="J50" s="15" t="n">
        <v>4</v>
      </c>
      <c r="K50" s="15" t="n">
        <v>5</v>
      </c>
      <c r="L50" s="16" t="n">
        <v>3.055</v>
      </c>
      <c r="M50" s="16" t="n">
        <v>4</v>
      </c>
      <c r="N50" s="15" t="n">
        <v>1</v>
      </c>
      <c r="O50" s="15" t="n">
        <v>1</v>
      </c>
      <c r="P50" s="15" t="n">
        <v>1</v>
      </c>
      <c r="Q50" s="15" t="n">
        <v>1</v>
      </c>
    </row>
    <row r="51" customFormat="false" ht="15" hidden="false" customHeight="false" outlineLevel="0" collapsed="false">
      <c r="A51" s="15" t="n">
        <v>47</v>
      </c>
      <c r="B51" s="16" t="n">
        <v>4.925</v>
      </c>
      <c r="C51" s="15" t="n">
        <v>3</v>
      </c>
      <c r="D51" s="15" t="n">
        <v>5</v>
      </c>
      <c r="E51" s="15" t="n">
        <v>4</v>
      </c>
      <c r="F51" s="15" t="n">
        <v>4</v>
      </c>
      <c r="G51" s="15" t="n">
        <v>3</v>
      </c>
      <c r="H51" s="15" t="n">
        <v>5</v>
      </c>
      <c r="I51" s="15" t="n">
        <v>1</v>
      </c>
      <c r="J51" s="15" t="n">
        <v>4</v>
      </c>
      <c r="K51" s="15" t="n">
        <v>5</v>
      </c>
      <c r="L51" s="16" t="n">
        <v>2.834</v>
      </c>
      <c r="M51" s="16" t="n">
        <v>4</v>
      </c>
      <c r="N51" s="15" t="n">
        <v>1</v>
      </c>
      <c r="O51" s="15" t="n">
        <v>1</v>
      </c>
      <c r="P51" s="15" t="n">
        <v>1</v>
      </c>
      <c r="Q51" s="15" t="n">
        <v>1</v>
      </c>
    </row>
    <row r="52" customFormat="false" ht="15" hidden="false" customHeight="false" outlineLevel="0" collapsed="false">
      <c r="A52" s="15" t="n">
        <v>48</v>
      </c>
      <c r="B52" s="16" t="n">
        <v>5.023</v>
      </c>
      <c r="C52" s="15" t="n">
        <v>3</v>
      </c>
      <c r="D52" s="15" t="n">
        <v>5</v>
      </c>
      <c r="E52" s="15" t="n">
        <v>3</v>
      </c>
      <c r="F52" s="15" t="n">
        <v>4</v>
      </c>
      <c r="G52" s="15" t="n">
        <v>3</v>
      </c>
      <c r="H52" s="15" t="n">
        <v>5</v>
      </c>
      <c r="I52" s="15" t="n">
        <v>1</v>
      </c>
      <c r="J52" s="15" t="n">
        <v>4</v>
      </c>
      <c r="K52" s="15" t="n">
        <v>5</v>
      </c>
      <c r="L52" s="16" t="n">
        <v>2.468</v>
      </c>
      <c r="M52" s="16" t="n">
        <v>4</v>
      </c>
      <c r="N52" s="15" t="n">
        <v>1</v>
      </c>
      <c r="O52" s="15" t="n">
        <v>1</v>
      </c>
      <c r="P52" s="15" t="n">
        <v>1</v>
      </c>
      <c r="Q52" s="15" t="n">
        <v>1</v>
      </c>
    </row>
    <row r="53" customFormat="false" ht="15" hidden="false" customHeight="false" outlineLevel="0" collapsed="false">
      <c r="A53" s="15" t="n">
        <v>49</v>
      </c>
      <c r="B53" s="16" t="n">
        <v>5.12</v>
      </c>
      <c r="C53" s="15" t="n">
        <v>3</v>
      </c>
      <c r="D53" s="15" t="n">
        <v>5</v>
      </c>
      <c r="E53" s="15" t="n">
        <v>3</v>
      </c>
      <c r="F53" s="15" t="n">
        <v>5</v>
      </c>
      <c r="G53" s="15" t="n">
        <v>3</v>
      </c>
      <c r="H53" s="15" t="n">
        <v>5</v>
      </c>
      <c r="I53" s="15" t="n">
        <v>1</v>
      </c>
      <c r="J53" s="15" t="n">
        <v>4</v>
      </c>
      <c r="K53" s="15" t="n">
        <v>5</v>
      </c>
      <c r="L53" s="16" t="n">
        <v>2.482</v>
      </c>
      <c r="M53" s="16" t="n">
        <v>3.862</v>
      </c>
      <c r="N53" s="15" t="n">
        <v>1</v>
      </c>
      <c r="O53" s="15" t="n">
        <v>1</v>
      </c>
      <c r="P53" s="15" t="n">
        <v>1</v>
      </c>
      <c r="Q53" s="15" t="n">
        <v>1</v>
      </c>
    </row>
    <row r="54" customFormat="false" ht="15" hidden="false" customHeight="false" outlineLevel="0" collapsed="false">
      <c r="A54" s="15" t="n">
        <v>50</v>
      </c>
      <c r="B54" s="16" t="n">
        <v>5.216</v>
      </c>
      <c r="C54" s="15" t="n">
        <v>3</v>
      </c>
      <c r="D54" s="15" t="n">
        <v>5</v>
      </c>
      <c r="E54" s="15" t="n">
        <v>3</v>
      </c>
      <c r="F54" s="15" t="n">
        <v>4</v>
      </c>
      <c r="G54" s="15" t="n">
        <v>3</v>
      </c>
      <c r="H54" s="15" t="n">
        <v>5</v>
      </c>
      <c r="I54" s="15" t="n">
        <v>1</v>
      </c>
      <c r="J54" s="15" t="n">
        <v>4</v>
      </c>
      <c r="K54" s="15" t="n">
        <v>5</v>
      </c>
      <c r="L54" s="16" t="n">
        <v>2.506</v>
      </c>
      <c r="M54" s="16" t="n">
        <v>3.417</v>
      </c>
      <c r="N54" s="15" t="n">
        <v>1</v>
      </c>
      <c r="O54" s="15" t="n">
        <v>1</v>
      </c>
      <c r="P54" s="15" t="n">
        <v>1</v>
      </c>
      <c r="Q54" s="15" t="n">
        <v>1</v>
      </c>
    </row>
    <row r="55" customFormat="false" ht="15" hidden="false" customHeight="false" outlineLevel="0" collapsed="false">
      <c r="A55" s="15" t="n">
        <v>51</v>
      </c>
      <c r="B55" s="16" t="n">
        <v>5.31</v>
      </c>
      <c r="C55" s="15" t="n">
        <v>3</v>
      </c>
      <c r="D55" s="15" t="n">
        <v>5</v>
      </c>
      <c r="E55" s="15" t="n">
        <v>3</v>
      </c>
      <c r="F55" s="15" t="n">
        <v>4</v>
      </c>
      <c r="G55" s="15" t="n">
        <v>3</v>
      </c>
      <c r="H55" s="15" t="n">
        <v>5</v>
      </c>
      <c r="I55" s="15" t="n">
        <v>1</v>
      </c>
      <c r="J55" s="15" t="n">
        <v>4</v>
      </c>
      <c r="K55" s="15" t="n">
        <v>5</v>
      </c>
      <c r="L55" s="16" t="n">
        <v>2.929</v>
      </c>
      <c r="M55" s="16" t="n">
        <v>3.266</v>
      </c>
      <c r="N55" s="15" t="n">
        <v>1</v>
      </c>
      <c r="O55" s="15" t="n">
        <v>1</v>
      </c>
      <c r="P55" s="15" t="n">
        <v>1</v>
      </c>
      <c r="Q55" s="15" t="n">
        <v>1</v>
      </c>
    </row>
    <row r="56" customFormat="false" ht="15" hidden="false" customHeight="false" outlineLevel="0" collapsed="false">
      <c r="A56" s="15" t="n">
        <v>52</v>
      </c>
      <c r="B56" s="16" t="n">
        <v>5.403</v>
      </c>
      <c r="C56" s="15" t="n">
        <v>3</v>
      </c>
      <c r="D56" s="15" t="n">
        <v>4</v>
      </c>
      <c r="E56" s="15" t="n">
        <v>3</v>
      </c>
      <c r="F56" s="15" t="n">
        <v>4</v>
      </c>
      <c r="G56" s="15" t="n">
        <v>3</v>
      </c>
      <c r="H56" s="15" t="n">
        <v>5</v>
      </c>
      <c r="I56" s="15" t="n">
        <v>1</v>
      </c>
      <c r="J56" s="15" t="n">
        <v>4</v>
      </c>
      <c r="K56" s="15" t="n">
        <v>5</v>
      </c>
      <c r="L56" s="16" t="n">
        <v>2.764</v>
      </c>
      <c r="M56" s="16" t="n">
        <v>3.203</v>
      </c>
      <c r="N56" s="15" t="n">
        <v>1</v>
      </c>
      <c r="O56" s="15" t="n">
        <v>1</v>
      </c>
      <c r="P56" s="15" t="n">
        <v>1</v>
      </c>
      <c r="Q56" s="15" t="n">
        <v>1</v>
      </c>
    </row>
    <row r="57" customFormat="false" ht="15" hidden="false" customHeight="false" outlineLevel="0" collapsed="false">
      <c r="A57" s="15" t="n">
        <v>53</v>
      </c>
      <c r="B57" s="16" t="n">
        <v>5.496</v>
      </c>
      <c r="C57" s="15" t="n">
        <v>3</v>
      </c>
      <c r="D57" s="15" t="n">
        <v>4</v>
      </c>
      <c r="E57" s="15" t="n">
        <v>3</v>
      </c>
      <c r="F57" s="15" t="n">
        <v>4</v>
      </c>
      <c r="G57" s="15" t="n">
        <v>3</v>
      </c>
      <c r="H57" s="15" t="n">
        <v>5</v>
      </c>
      <c r="I57" s="15" t="n">
        <v>1</v>
      </c>
      <c r="J57" s="15" t="n">
        <v>4</v>
      </c>
      <c r="K57" s="15" t="n">
        <v>5</v>
      </c>
      <c r="L57" s="16" t="n">
        <v>2.387</v>
      </c>
      <c r="M57" s="16" t="n">
        <v>3.423</v>
      </c>
      <c r="N57" s="15" t="n">
        <v>1</v>
      </c>
      <c r="O57" s="15" t="n">
        <v>1</v>
      </c>
      <c r="P57" s="15" t="n">
        <v>1</v>
      </c>
      <c r="Q57" s="15" t="n">
        <v>1</v>
      </c>
    </row>
    <row r="58" customFormat="false" ht="15" hidden="false" customHeight="false" outlineLevel="0" collapsed="false">
      <c r="A58" s="15" t="n">
        <v>54</v>
      </c>
      <c r="B58" s="16" t="n">
        <v>5.589</v>
      </c>
      <c r="C58" s="15" t="n">
        <v>3</v>
      </c>
      <c r="D58" s="15" t="n">
        <v>4</v>
      </c>
      <c r="E58" s="15" t="n">
        <v>2</v>
      </c>
      <c r="F58" s="15" t="n">
        <v>4</v>
      </c>
      <c r="G58" s="15" t="n">
        <v>3</v>
      </c>
      <c r="H58" s="15" t="n">
        <v>5</v>
      </c>
      <c r="I58" s="15" t="n">
        <v>1</v>
      </c>
      <c r="J58" s="15" t="n">
        <v>4</v>
      </c>
      <c r="K58" s="15" t="n">
        <v>5</v>
      </c>
      <c r="L58" s="16" t="n">
        <v>2.411</v>
      </c>
      <c r="M58" s="16" t="n">
        <v>3.75</v>
      </c>
      <c r="N58" s="15" t="n">
        <v>1</v>
      </c>
      <c r="O58" s="15" t="n">
        <v>1</v>
      </c>
      <c r="P58" s="15" t="n">
        <v>1</v>
      </c>
      <c r="Q58" s="15" t="n">
        <v>1</v>
      </c>
    </row>
    <row r="59" customFormat="false" ht="15" hidden="false" customHeight="false" outlineLevel="0" collapsed="false">
      <c r="A59" s="15" t="n">
        <v>55</v>
      </c>
      <c r="B59" s="16" t="n">
        <v>5.682</v>
      </c>
      <c r="C59" s="15" t="n">
        <v>3</v>
      </c>
      <c r="D59" s="15" t="n">
        <v>4</v>
      </c>
      <c r="E59" s="15" t="n">
        <v>2</v>
      </c>
      <c r="F59" s="15" t="n">
        <v>4</v>
      </c>
      <c r="G59" s="15" t="n">
        <v>3</v>
      </c>
      <c r="H59" s="15" t="n">
        <v>5</v>
      </c>
      <c r="I59" s="15" t="n">
        <v>1</v>
      </c>
      <c r="J59" s="15" t="n">
        <v>4</v>
      </c>
      <c r="K59" s="15" t="n">
        <v>5</v>
      </c>
      <c r="L59" s="16" t="n">
        <v>2.422</v>
      </c>
      <c r="M59" s="16" t="n">
        <v>3.885</v>
      </c>
      <c r="N59" s="15" t="n">
        <v>1</v>
      </c>
      <c r="O59" s="15" t="n">
        <v>1</v>
      </c>
      <c r="P59" s="15" t="n">
        <v>1</v>
      </c>
      <c r="Q59" s="15" t="n">
        <v>1</v>
      </c>
    </row>
    <row r="60" customFormat="false" ht="15" hidden="false" customHeight="false" outlineLevel="0" collapsed="false">
      <c r="A60" s="15" t="n">
        <v>56</v>
      </c>
      <c r="B60" s="16" t="n">
        <v>5.777</v>
      </c>
      <c r="C60" s="15" t="n">
        <v>3</v>
      </c>
      <c r="D60" s="15" t="n">
        <v>4</v>
      </c>
      <c r="E60" s="15" t="n">
        <v>2</v>
      </c>
      <c r="F60" s="15" t="n">
        <v>4</v>
      </c>
      <c r="G60" s="15" t="n">
        <v>3</v>
      </c>
      <c r="H60" s="15" t="n">
        <v>5</v>
      </c>
      <c r="I60" s="15" t="n">
        <v>1</v>
      </c>
      <c r="J60" s="15" t="n">
        <v>4</v>
      </c>
      <c r="K60" s="15" t="n">
        <v>5</v>
      </c>
      <c r="L60" s="16" t="n">
        <v>2.358</v>
      </c>
      <c r="M60" s="16" t="n">
        <v>3.811</v>
      </c>
      <c r="N60" s="15" t="n">
        <v>1</v>
      </c>
      <c r="O60" s="15" t="n">
        <v>1</v>
      </c>
      <c r="P60" s="15" t="n">
        <v>1</v>
      </c>
      <c r="Q60" s="15" t="n">
        <v>1</v>
      </c>
    </row>
    <row r="61" customFormat="false" ht="15" hidden="false" customHeight="false" outlineLevel="0" collapsed="false">
      <c r="A61" s="15" t="n">
        <v>57</v>
      </c>
      <c r="B61" s="16" t="n">
        <v>5.872</v>
      </c>
      <c r="C61" s="15" t="n">
        <v>3</v>
      </c>
      <c r="D61" s="15" t="n">
        <v>4</v>
      </c>
      <c r="E61" s="15" t="n">
        <v>2</v>
      </c>
      <c r="F61" s="15" t="n">
        <v>5</v>
      </c>
      <c r="G61" s="15" t="n">
        <v>3</v>
      </c>
      <c r="H61" s="15" t="n">
        <v>5</v>
      </c>
      <c r="I61" s="15" t="n">
        <v>1</v>
      </c>
      <c r="J61" s="15" t="n">
        <v>4</v>
      </c>
      <c r="K61" s="15" t="n">
        <v>5</v>
      </c>
      <c r="L61" s="16" t="n">
        <v>2.183</v>
      </c>
      <c r="M61" s="16" t="n">
        <v>3.903</v>
      </c>
      <c r="N61" s="15" t="n">
        <v>1</v>
      </c>
      <c r="O61" s="15" t="n">
        <v>1</v>
      </c>
      <c r="P61" s="15" t="n">
        <v>1</v>
      </c>
      <c r="Q61" s="15" t="n">
        <v>1</v>
      </c>
    </row>
    <row r="62" customFormat="false" ht="15" hidden="false" customHeight="false" outlineLevel="0" collapsed="false">
      <c r="A62" s="15" t="n">
        <v>58</v>
      </c>
      <c r="B62" s="16" t="n">
        <v>5.969</v>
      </c>
      <c r="C62" s="15" t="n">
        <v>4</v>
      </c>
      <c r="D62" s="15" t="n">
        <v>4</v>
      </c>
      <c r="E62" s="15" t="n">
        <v>2</v>
      </c>
      <c r="F62" s="15" t="n">
        <v>4</v>
      </c>
      <c r="G62" s="15" t="n">
        <v>3</v>
      </c>
      <c r="H62" s="15" t="n">
        <v>5</v>
      </c>
      <c r="I62" s="15" t="n">
        <v>1</v>
      </c>
      <c r="J62" s="15" t="n">
        <v>4</v>
      </c>
      <c r="K62" s="15" t="n">
        <v>5</v>
      </c>
      <c r="L62" s="16" t="n">
        <v>2.096</v>
      </c>
      <c r="M62" s="16" t="n">
        <v>3.683</v>
      </c>
      <c r="N62" s="15" t="n">
        <v>1</v>
      </c>
      <c r="O62" s="15" t="n">
        <v>1</v>
      </c>
      <c r="P62" s="15" t="n">
        <v>1</v>
      </c>
      <c r="Q62" s="15" t="n">
        <v>1</v>
      </c>
    </row>
    <row r="63" customFormat="false" ht="15" hidden="false" customHeight="false" outlineLevel="0" collapsed="false">
      <c r="A63" s="15" t="n">
        <v>59</v>
      </c>
      <c r="B63" s="16" t="n">
        <v>6.066</v>
      </c>
      <c r="C63" s="15" t="n">
        <v>4</v>
      </c>
      <c r="D63" s="15" t="n">
        <v>4</v>
      </c>
      <c r="E63" s="15" t="n">
        <v>2</v>
      </c>
      <c r="F63" s="15" t="n">
        <v>4</v>
      </c>
      <c r="G63" s="15" t="n">
        <v>3</v>
      </c>
      <c r="H63" s="15" t="n">
        <v>5</v>
      </c>
      <c r="I63" s="15" t="n">
        <v>1</v>
      </c>
      <c r="J63" s="15" t="n">
        <v>4</v>
      </c>
      <c r="K63" s="15" t="n">
        <v>5</v>
      </c>
      <c r="L63" s="16" t="n">
        <v>2.303</v>
      </c>
      <c r="M63" s="16" t="n">
        <v>3.547</v>
      </c>
      <c r="N63" s="15" t="n">
        <v>1</v>
      </c>
      <c r="O63" s="15" t="n">
        <v>1</v>
      </c>
      <c r="P63" s="15" t="n">
        <v>1</v>
      </c>
      <c r="Q63" s="15" t="n">
        <v>1</v>
      </c>
    </row>
    <row r="64" customFormat="false" ht="15" hidden="false" customHeight="false" outlineLevel="0" collapsed="false">
      <c r="A64" s="15" t="n">
        <v>60</v>
      </c>
      <c r="B64" s="16" t="n">
        <v>6.164</v>
      </c>
      <c r="C64" s="15" t="n">
        <v>4</v>
      </c>
      <c r="D64" s="15" t="n">
        <v>4</v>
      </c>
      <c r="E64" s="15" t="n">
        <v>2</v>
      </c>
      <c r="F64" s="15" t="n">
        <v>4</v>
      </c>
      <c r="G64" s="15" t="n">
        <v>3</v>
      </c>
      <c r="H64" s="15" t="n">
        <v>5</v>
      </c>
      <c r="I64" s="15" t="n">
        <v>1</v>
      </c>
      <c r="J64" s="15" t="n">
        <v>4</v>
      </c>
      <c r="K64" s="15" t="n">
        <v>5</v>
      </c>
      <c r="L64" s="16" t="n">
        <v>2.128</v>
      </c>
      <c r="M64" s="16" t="n">
        <v>3.594</v>
      </c>
      <c r="N64" s="15" t="n">
        <v>1</v>
      </c>
      <c r="O64" s="15" t="n">
        <v>1</v>
      </c>
      <c r="P64" s="15" t="n">
        <v>1</v>
      </c>
      <c r="Q64" s="15" t="n">
        <v>1</v>
      </c>
    </row>
    <row r="65" customFormat="false" ht="15" hidden="false" customHeight="false" outlineLevel="0" collapsed="false">
      <c r="A65" s="15" t="n">
        <v>61</v>
      </c>
      <c r="B65" s="16" t="n">
        <v>6.262</v>
      </c>
      <c r="C65" s="15" t="n">
        <v>4</v>
      </c>
      <c r="D65" s="15" t="n">
        <v>4</v>
      </c>
      <c r="E65" s="15" t="n">
        <v>3</v>
      </c>
      <c r="F65" s="15" t="n">
        <v>4</v>
      </c>
      <c r="G65" s="15" t="n">
        <v>3</v>
      </c>
      <c r="H65" s="15" t="n">
        <v>5</v>
      </c>
      <c r="I65" s="15" t="n">
        <v>1</v>
      </c>
      <c r="J65" s="15" t="n">
        <v>4</v>
      </c>
      <c r="K65" s="15" t="n">
        <v>5</v>
      </c>
      <c r="L65" s="16" t="n">
        <v>2.073</v>
      </c>
      <c r="M65" s="16" t="n">
        <v>3.502</v>
      </c>
      <c r="N65" s="15" t="n">
        <v>1</v>
      </c>
      <c r="O65" s="15" t="n">
        <v>1</v>
      </c>
      <c r="P65" s="15" t="n">
        <v>1</v>
      </c>
      <c r="Q65" s="15" t="n">
        <v>3</v>
      </c>
    </row>
    <row r="66" customFormat="false" ht="15" hidden="false" customHeight="false" outlineLevel="0" collapsed="false">
      <c r="A66" s="15" t="n">
        <v>62</v>
      </c>
      <c r="B66" s="16" t="n">
        <v>6.36</v>
      </c>
      <c r="C66" s="15" t="n">
        <v>4</v>
      </c>
      <c r="D66" s="15" t="n">
        <v>5</v>
      </c>
      <c r="E66" s="15" t="n">
        <v>3</v>
      </c>
      <c r="F66" s="15" t="n">
        <v>4</v>
      </c>
      <c r="G66" s="15" t="n">
        <v>3</v>
      </c>
      <c r="H66" s="15" t="n">
        <v>5</v>
      </c>
      <c r="I66" s="15" t="n">
        <v>1</v>
      </c>
      <c r="J66" s="15" t="n">
        <v>4</v>
      </c>
      <c r="K66" s="15" t="n">
        <v>5</v>
      </c>
      <c r="L66" s="16" t="n">
        <v>2.321</v>
      </c>
      <c r="M66" s="16" t="n">
        <v>3.35</v>
      </c>
      <c r="N66" s="15" t="n">
        <v>1</v>
      </c>
      <c r="O66" s="15" t="n">
        <v>1</v>
      </c>
      <c r="P66" s="15" t="n">
        <v>1</v>
      </c>
      <c r="Q66" s="15" t="n">
        <v>3</v>
      </c>
    </row>
    <row r="67" customFormat="false" ht="15" hidden="false" customHeight="false" outlineLevel="0" collapsed="false">
      <c r="A67" s="15" t="n">
        <v>63</v>
      </c>
      <c r="B67" s="16" t="n">
        <v>6.46</v>
      </c>
      <c r="C67" s="15" t="n">
        <v>4</v>
      </c>
      <c r="D67" s="15" t="n">
        <v>5</v>
      </c>
      <c r="E67" s="15" t="n">
        <v>3</v>
      </c>
      <c r="F67" s="15" t="n">
        <v>4</v>
      </c>
      <c r="G67" s="15" t="n">
        <v>3</v>
      </c>
      <c r="H67" s="15" t="n">
        <v>5</v>
      </c>
      <c r="I67" s="15" t="n">
        <v>1</v>
      </c>
      <c r="J67" s="15" t="n">
        <v>4</v>
      </c>
      <c r="K67" s="15" t="n">
        <v>5</v>
      </c>
      <c r="L67" s="16" t="n">
        <v>2.651</v>
      </c>
      <c r="M67" s="16" t="n">
        <v>3.33</v>
      </c>
      <c r="N67" s="15" t="n">
        <v>1</v>
      </c>
      <c r="O67" s="15" t="n">
        <v>1</v>
      </c>
      <c r="P67" s="15" t="n">
        <v>1</v>
      </c>
      <c r="Q67" s="15" t="n">
        <v>3</v>
      </c>
    </row>
    <row r="68" customFormat="false" ht="15" hidden="false" customHeight="false" outlineLevel="0" collapsed="false">
      <c r="A68" s="15" t="n">
        <v>64</v>
      </c>
      <c r="B68" s="16" t="n">
        <v>6.564</v>
      </c>
      <c r="C68" s="15" t="n">
        <v>4</v>
      </c>
      <c r="D68" s="15" t="n">
        <v>5</v>
      </c>
      <c r="E68" s="15" t="n">
        <v>3</v>
      </c>
      <c r="F68" s="15" t="n">
        <v>4</v>
      </c>
      <c r="G68" s="15" t="n">
        <v>3</v>
      </c>
      <c r="H68" s="15" t="n">
        <v>5</v>
      </c>
      <c r="I68" s="15" t="n">
        <v>1</v>
      </c>
      <c r="J68" s="15" t="n">
        <v>4</v>
      </c>
      <c r="K68" s="15" t="n">
        <v>5</v>
      </c>
      <c r="L68" s="16" t="n">
        <v>2.525</v>
      </c>
      <c r="M68" s="16" t="n">
        <v>3.428</v>
      </c>
      <c r="N68" s="15" t="n">
        <v>1</v>
      </c>
      <c r="O68" s="15" t="n">
        <v>1</v>
      </c>
      <c r="P68" s="15" t="n">
        <v>1</v>
      </c>
      <c r="Q68" s="15" t="n">
        <v>3</v>
      </c>
    </row>
    <row r="69" customFormat="false" ht="15" hidden="false" customHeight="false" outlineLevel="0" collapsed="false">
      <c r="A69" s="15" t="n">
        <v>65</v>
      </c>
      <c r="B69" s="16" t="n">
        <v>6.671</v>
      </c>
      <c r="C69" s="15" t="n">
        <v>4</v>
      </c>
      <c r="D69" s="15" t="n">
        <v>5</v>
      </c>
      <c r="E69" s="15" t="n">
        <v>3</v>
      </c>
      <c r="F69" s="15" t="n">
        <v>4</v>
      </c>
      <c r="G69" s="15" t="n">
        <v>3</v>
      </c>
      <c r="H69" s="15" t="n">
        <v>5</v>
      </c>
      <c r="I69" s="15" t="n">
        <v>1</v>
      </c>
      <c r="J69" s="15" t="n">
        <v>4</v>
      </c>
      <c r="K69" s="15" t="n">
        <v>5</v>
      </c>
      <c r="L69" s="16" t="n">
        <v>2.242</v>
      </c>
      <c r="M69" s="16" t="n">
        <v>3.363</v>
      </c>
      <c r="N69" s="15" t="n">
        <v>1</v>
      </c>
      <c r="O69" s="15" t="n">
        <v>1</v>
      </c>
      <c r="P69" s="15" t="n">
        <v>1</v>
      </c>
      <c r="Q69" s="15" t="n">
        <v>3</v>
      </c>
    </row>
    <row r="70" customFormat="false" ht="15" hidden="false" customHeight="false" outlineLevel="0" collapsed="false">
      <c r="A70" s="15" t="n">
        <v>66</v>
      </c>
      <c r="B70" s="16" t="n">
        <v>6.782</v>
      </c>
      <c r="C70" s="15" t="n">
        <v>3</v>
      </c>
      <c r="D70" s="15" t="n">
        <v>5</v>
      </c>
      <c r="E70" s="15" t="n">
        <v>3</v>
      </c>
      <c r="F70" s="15" t="n">
        <v>4</v>
      </c>
      <c r="G70" s="15" t="n">
        <v>3</v>
      </c>
      <c r="H70" s="15" t="n">
        <v>5</v>
      </c>
      <c r="I70" s="15" t="n">
        <v>1</v>
      </c>
      <c r="J70" s="15" t="n">
        <v>4</v>
      </c>
      <c r="K70" s="15" t="n">
        <v>5</v>
      </c>
      <c r="L70" s="16" t="n">
        <v>1.794</v>
      </c>
      <c r="M70" s="16" t="n">
        <v>3.831</v>
      </c>
      <c r="N70" s="15" t="n">
        <v>1</v>
      </c>
      <c r="O70" s="15" t="n">
        <v>1</v>
      </c>
      <c r="P70" s="15" t="n">
        <v>1</v>
      </c>
      <c r="Q70" s="15" t="n">
        <v>1</v>
      </c>
    </row>
    <row r="71" customFormat="false" ht="15" hidden="false" customHeight="false" outlineLevel="0" collapsed="false">
      <c r="A71" s="15" t="n">
        <v>67</v>
      </c>
      <c r="B71" s="16" t="n">
        <v>6.894</v>
      </c>
      <c r="C71" s="15" t="n">
        <v>4</v>
      </c>
      <c r="D71" s="15" t="n">
        <v>5</v>
      </c>
      <c r="E71" s="15" t="n">
        <v>3</v>
      </c>
      <c r="F71" s="15" t="n">
        <v>4</v>
      </c>
      <c r="G71" s="15" t="n">
        <v>3</v>
      </c>
      <c r="H71" s="15" t="n">
        <v>5</v>
      </c>
      <c r="I71" s="15" t="n">
        <v>1</v>
      </c>
      <c r="J71" s="15" t="n">
        <v>4</v>
      </c>
      <c r="K71" s="15" t="n">
        <v>5</v>
      </c>
      <c r="L71" s="16" t="n">
        <v>1.412</v>
      </c>
      <c r="M71" s="16" t="n">
        <v>4</v>
      </c>
      <c r="N71" s="15" t="n">
        <v>1</v>
      </c>
      <c r="O71" s="15" t="n">
        <v>1</v>
      </c>
      <c r="P71" s="15" t="n">
        <v>1</v>
      </c>
      <c r="Q71" s="15" t="n">
        <v>1</v>
      </c>
    </row>
    <row r="72" customFormat="false" ht="15" hidden="false" customHeight="false" outlineLevel="0" collapsed="false">
      <c r="A72" s="15" t="n">
        <v>68</v>
      </c>
      <c r="B72" s="16" t="n">
        <v>7.004</v>
      </c>
      <c r="C72" s="15" t="n">
        <v>4</v>
      </c>
      <c r="D72" s="15" t="n">
        <v>5</v>
      </c>
      <c r="E72" s="15" t="n">
        <v>3</v>
      </c>
      <c r="F72" s="15" t="n">
        <v>4</v>
      </c>
      <c r="G72" s="15" t="n">
        <v>3</v>
      </c>
      <c r="H72" s="15" t="n">
        <v>5</v>
      </c>
      <c r="I72" s="15" t="n">
        <v>1</v>
      </c>
      <c r="J72" s="15" t="n">
        <v>4</v>
      </c>
      <c r="K72" s="15" t="n">
        <v>5</v>
      </c>
      <c r="L72" s="16" t="n">
        <v>1.351</v>
      </c>
      <c r="M72" s="16" t="n">
        <v>4</v>
      </c>
      <c r="N72" s="15" t="n">
        <v>1</v>
      </c>
      <c r="O72" s="15" t="n">
        <v>1</v>
      </c>
      <c r="P72" s="15" t="n">
        <v>1</v>
      </c>
      <c r="Q72" s="15" t="n">
        <v>1</v>
      </c>
    </row>
    <row r="73" customFormat="false" ht="15" hidden="false" customHeight="false" outlineLevel="0" collapsed="false">
      <c r="A73" s="15" t="n">
        <v>69</v>
      </c>
      <c r="B73" s="16" t="n">
        <v>7.111</v>
      </c>
      <c r="C73" s="15" t="n">
        <v>5</v>
      </c>
      <c r="D73" s="15" t="n">
        <v>5</v>
      </c>
      <c r="E73" s="15" t="n">
        <v>3</v>
      </c>
      <c r="F73" s="15" t="n">
        <v>4</v>
      </c>
      <c r="G73" s="15" t="n">
        <v>3</v>
      </c>
      <c r="H73" s="15" t="n">
        <v>5</v>
      </c>
      <c r="I73" s="15" t="n">
        <v>1</v>
      </c>
      <c r="J73" s="15" t="n">
        <v>4</v>
      </c>
      <c r="K73" s="15" t="n">
        <v>5</v>
      </c>
      <c r="L73" s="16" t="n">
        <v>1.466</v>
      </c>
      <c r="M73" s="16" t="n">
        <v>4</v>
      </c>
      <c r="N73" s="15" t="n">
        <v>1</v>
      </c>
      <c r="O73" s="15" t="n">
        <v>1</v>
      </c>
      <c r="P73" s="15" t="n">
        <v>1</v>
      </c>
      <c r="Q73" s="15" t="n">
        <v>1</v>
      </c>
    </row>
    <row r="74" customFormat="false" ht="15" hidden="false" customHeight="false" outlineLevel="0" collapsed="false">
      <c r="A74" s="15" t="n">
        <v>70</v>
      </c>
      <c r="B74" s="16" t="n">
        <v>7.215</v>
      </c>
      <c r="C74" s="15" t="n">
        <v>5</v>
      </c>
      <c r="D74" s="15" t="n">
        <v>5</v>
      </c>
      <c r="E74" s="15" t="n">
        <v>3</v>
      </c>
      <c r="F74" s="15" t="n">
        <v>4</v>
      </c>
      <c r="G74" s="15" t="n">
        <v>3</v>
      </c>
      <c r="H74" s="15" t="n">
        <v>5</v>
      </c>
      <c r="I74" s="15" t="n">
        <v>1</v>
      </c>
      <c r="J74" s="15" t="n">
        <v>4</v>
      </c>
      <c r="K74" s="15" t="n">
        <v>5</v>
      </c>
      <c r="L74" s="16" t="n">
        <v>1.729</v>
      </c>
      <c r="M74" s="16" t="n">
        <v>4</v>
      </c>
      <c r="N74" s="15" t="n">
        <v>1</v>
      </c>
      <c r="O74" s="15" t="n">
        <v>1</v>
      </c>
      <c r="P74" s="15" t="n">
        <v>1</v>
      </c>
      <c r="Q74" s="15" t="n">
        <v>1</v>
      </c>
    </row>
    <row r="75" customFormat="false" ht="15" hidden="false" customHeight="false" outlineLevel="0" collapsed="false">
      <c r="A75" s="15" t="n">
        <v>71</v>
      </c>
      <c r="B75" s="16" t="n">
        <v>7.316</v>
      </c>
      <c r="C75" s="15" t="n">
        <v>5</v>
      </c>
      <c r="D75" s="15" t="n">
        <v>5</v>
      </c>
      <c r="E75" s="15" t="n">
        <v>3</v>
      </c>
      <c r="F75" s="15" t="n">
        <v>5</v>
      </c>
      <c r="G75" s="15" t="n">
        <v>3</v>
      </c>
      <c r="H75" s="15" t="n">
        <v>5</v>
      </c>
      <c r="I75" s="15" t="n">
        <v>1</v>
      </c>
      <c r="J75" s="15" t="n">
        <v>4</v>
      </c>
      <c r="K75" s="15" t="n">
        <v>5</v>
      </c>
      <c r="L75" s="16" t="n">
        <v>1.794</v>
      </c>
      <c r="M75" s="16" t="n">
        <v>4</v>
      </c>
      <c r="N75" s="15" t="n">
        <v>1</v>
      </c>
      <c r="O75" s="15" t="n">
        <v>1</v>
      </c>
      <c r="P75" s="15" t="n">
        <v>1</v>
      </c>
      <c r="Q75" s="15" t="n">
        <v>1</v>
      </c>
    </row>
    <row r="76" customFormat="false" ht="15" hidden="false" customHeight="false" outlineLevel="0" collapsed="false">
      <c r="A76" s="15" t="n">
        <v>72</v>
      </c>
      <c r="B76" s="16" t="n">
        <v>7.416</v>
      </c>
      <c r="C76" s="15" t="n">
        <v>5</v>
      </c>
      <c r="D76" s="15" t="n">
        <v>5</v>
      </c>
      <c r="E76" s="15" t="n">
        <v>3</v>
      </c>
      <c r="F76" s="15" t="n">
        <v>5</v>
      </c>
      <c r="G76" s="15" t="n">
        <v>3</v>
      </c>
      <c r="H76" s="15" t="n">
        <v>5</v>
      </c>
      <c r="I76" s="15" t="n">
        <v>1</v>
      </c>
      <c r="J76" s="15" t="n">
        <v>4</v>
      </c>
      <c r="K76" s="15" t="n">
        <v>5</v>
      </c>
      <c r="L76" s="16" t="n">
        <v>2.228</v>
      </c>
      <c r="M76" s="16" t="n">
        <v>4</v>
      </c>
      <c r="N76" s="15" t="n">
        <v>1</v>
      </c>
      <c r="O76" s="15" t="n">
        <v>1</v>
      </c>
      <c r="P76" s="15" t="n">
        <v>1</v>
      </c>
      <c r="Q76" s="15" t="n">
        <v>1</v>
      </c>
    </row>
    <row r="77" customFormat="false" ht="15" hidden="false" customHeight="false" outlineLevel="0" collapsed="false">
      <c r="A77" s="15" t="n">
        <v>73</v>
      </c>
      <c r="B77" s="16" t="n">
        <v>7.515</v>
      </c>
      <c r="C77" s="15" t="n">
        <v>5</v>
      </c>
      <c r="D77" s="15" t="n">
        <v>5</v>
      </c>
      <c r="E77" s="15" t="n">
        <v>3</v>
      </c>
      <c r="F77" s="15" t="n">
        <v>5</v>
      </c>
      <c r="G77" s="15" t="n">
        <v>3</v>
      </c>
      <c r="H77" s="15" t="n">
        <v>5</v>
      </c>
      <c r="I77" s="15" t="n">
        <v>1</v>
      </c>
      <c r="J77" s="15" t="n">
        <v>4</v>
      </c>
      <c r="K77" s="15" t="n">
        <v>5</v>
      </c>
      <c r="L77" s="16" t="n">
        <v>2.4</v>
      </c>
      <c r="M77" s="16" t="n">
        <v>4</v>
      </c>
      <c r="N77" s="15" t="n">
        <v>1</v>
      </c>
      <c r="O77" s="15" t="n">
        <v>1</v>
      </c>
      <c r="P77" s="15" t="n">
        <v>1</v>
      </c>
      <c r="Q77" s="15" t="n">
        <v>1</v>
      </c>
    </row>
    <row r="78" customFormat="false" ht="15" hidden="false" customHeight="false" outlineLevel="0" collapsed="false">
      <c r="A78" s="15" t="n">
        <v>74</v>
      </c>
      <c r="B78" s="16" t="n">
        <v>7.616</v>
      </c>
      <c r="C78" s="15" t="n">
        <v>5</v>
      </c>
      <c r="D78" s="15" t="n">
        <v>5</v>
      </c>
      <c r="E78" s="15" t="n">
        <v>4</v>
      </c>
      <c r="F78" s="15" t="n">
        <v>4</v>
      </c>
      <c r="G78" s="15" t="n">
        <v>3</v>
      </c>
      <c r="H78" s="15" t="n">
        <v>5</v>
      </c>
      <c r="I78" s="15" t="n">
        <v>1</v>
      </c>
      <c r="J78" s="15" t="n">
        <v>4</v>
      </c>
      <c r="K78" s="15" t="n">
        <v>5</v>
      </c>
      <c r="L78" s="16" t="n">
        <v>2.729</v>
      </c>
      <c r="M78" s="16" t="n">
        <v>3.628</v>
      </c>
      <c r="N78" s="15" t="n">
        <v>1</v>
      </c>
      <c r="O78" s="15" t="n">
        <v>1</v>
      </c>
      <c r="P78" s="15" t="n">
        <v>1</v>
      </c>
      <c r="Q78" s="15" t="n">
        <v>2</v>
      </c>
    </row>
    <row r="79" customFormat="false" ht="15" hidden="false" customHeight="false" outlineLevel="0" collapsed="false">
      <c r="A79" s="15" t="n">
        <v>75</v>
      </c>
      <c r="B79" s="16" t="n">
        <v>7.718</v>
      </c>
      <c r="C79" s="15" t="n">
        <v>5</v>
      </c>
      <c r="D79" s="15" t="n">
        <v>5</v>
      </c>
      <c r="E79" s="15" t="n">
        <v>4</v>
      </c>
      <c r="F79" s="15" t="n">
        <v>5</v>
      </c>
      <c r="G79" s="15" t="n">
        <v>3</v>
      </c>
      <c r="H79" s="15" t="n">
        <v>5</v>
      </c>
      <c r="I79" s="15" t="n">
        <v>2</v>
      </c>
      <c r="J79" s="15" t="n">
        <v>4</v>
      </c>
      <c r="K79" s="15" t="n">
        <v>5</v>
      </c>
      <c r="L79" s="16" t="n">
        <v>2.497</v>
      </c>
      <c r="M79" s="16" t="n">
        <v>3.419</v>
      </c>
      <c r="N79" s="15" t="n">
        <v>1</v>
      </c>
      <c r="O79" s="15" t="n">
        <v>1</v>
      </c>
      <c r="P79" s="15" t="n">
        <v>1</v>
      </c>
      <c r="Q79" s="15" t="n">
        <v>3</v>
      </c>
    </row>
    <row r="80" customFormat="false" ht="15" hidden="false" customHeight="false" outlineLevel="0" collapsed="false">
      <c r="A80" s="15" t="n">
        <v>76</v>
      </c>
      <c r="B80" s="16" t="n">
        <v>7.821</v>
      </c>
      <c r="C80" s="15" t="n">
        <v>5</v>
      </c>
      <c r="D80" s="15" t="n">
        <v>5</v>
      </c>
      <c r="E80" s="15" t="n">
        <v>4</v>
      </c>
      <c r="F80" s="15" t="n">
        <v>5</v>
      </c>
      <c r="G80" s="15" t="n">
        <v>3</v>
      </c>
      <c r="H80" s="15" t="n">
        <v>5</v>
      </c>
      <c r="I80" s="15" t="n">
        <v>3</v>
      </c>
      <c r="J80" s="15" t="n">
        <v>4</v>
      </c>
      <c r="K80" s="15" t="n">
        <v>5</v>
      </c>
      <c r="L80" s="16" t="n">
        <v>2.238</v>
      </c>
      <c r="M80" s="16" t="n">
        <v>3.488</v>
      </c>
      <c r="N80" s="15" t="n">
        <v>1</v>
      </c>
      <c r="O80" s="15" t="n">
        <v>1</v>
      </c>
      <c r="P80" s="15" t="n">
        <v>1</v>
      </c>
      <c r="Q80" s="15" t="n">
        <v>3</v>
      </c>
    </row>
    <row r="81" customFormat="false" ht="15" hidden="false" customHeight="false" outlineLevel="0" collapsed="false">
      <c r="A81" s="15" t="n">
        <v>77</v>
      </c>
      <c r="B81" s="16" t="n">
        <v>7.924</v>
      </c>
      <c r="C81" s="15" t="n">
        <v>4</v>
      </c>
      <c r="D81" s="15" t="n">
        <v>5</v>
      </c>
      <c r="E81" s="15" t="n">
        <v>4</v>
      </c>
      <c r="F81" s="15" t="n">
        <v>5</v>
      </c>
      <c r="G81" s="15" t="n">
        <v>3</v>
      </c>
      <c r="H81" s="15" t="n">
        <v>5</v>
      </c>
      <c r="I81" s="15" t="n">
        <v>3</v>
      </c>
      <c r="J81" s="15" t="n">
        <v>4</v>
      </c>
      <c r="K81" s="15" t="n">
        <v>5</v>
      </c>
      <c r="L81" s="16" t="n">
        <v>1.878</v>
      </c>
      <c r="M81" s="16" t="n">
        <v>3.572</v>
      </c>
      <c r="N81" s="15" t="n">
        <v>1</v>
      </c>
      <c r="O81" s="15" t="n">
        <v>1</v>
      </c>
      <c r="P81" s="15" t="n">
        <v>1</v>
      </c>
      <c r="Q81" s="15" t="n">
        <v>4</v>
      </c>
    </row>
    <row r="82" customFormat="false" ht="15" hidden="false" customHeight="false" outlineLevel="0" collapsed="false">
      <c r="A82" s="15" t="n">
        <v>78</v>
      </c>
      <c r="B82" s="16" t="n">
        <v>8.026</v>
      </c>
      <c r="C82" s="15" t="n">
        <v>4</v>
      </c>
      <c r="D82" s="15" t="n">
        <v>5</v>
      </c>
      <c r="E82" s="15" t="n">
        <v>4</v>
      </c>
      <c r="F82" s="15" t="n">
        <v>4</v>
      </c>
      <c r="G82" s="15" t="n">
        <v>3</v>
      </c>
      <c r="H82" s="15" t="n">
        <v>5</v>
      </c>
      <c r="I82" s="15" t="n">
        <v>3</v>
      </c>
      <c r="J82" s="15" t="n">
        <v>4</v>
      </c>
      <c r="K82" s="15" t="n">
        <v>5</v>
      </c>
      <c r="L82" s="16" t="n">
        <v>1.548</v>
      </c>
      <c r="M82" s="16" t="n">
        <v>3.807</v>
      </c>
      <c r="N82" s="15" t="n">
        <v>1</v>
      </c>
      <c r="O82" s="15" t="n">
        <v>1</v>
      </c>
      <c r="P82" s="15" t="n">
        <v>1</v>
      </c>
      <c r="Q82" s="15" t="n">
        <v>1</v>
      </c>
    </row>
    <row r="83" customFormat="false" ht="15" hidden="false" customHeight="false" outlineLevel="0" collapsed="false">
      <c r="A83" s="15" t="n">
        <v>79</v>
      </c>
      <c r="B83" s="16" t="n">
        <v>8.125</v>
      </c>
      <c r="C83" s="15" t="n">
        <v>4</v>
      </c>
      <c r="D83" s="15" t="n">
        <v>5</v>
      </c>
      <c r="E83" s="15" t="n">
        <v>4</v>
      </c>
      <c r="F83" s="15" t="n">
        <v>4</v>
      </c>
      <c r="G83" s="15" t="n">
        <v>3</v>
      </c>
      <c r="H83" s="15" t="n">
        <v>5</v>
      </c>
      <c r="I83" s="15" t="n">
        <v>1</v>
      </c>
      <c r="J83" s="15" t="n">
        <v>4</v>
      </c>
      <c r="K83" s="15" t="n">
        <v>5</v>
      </c>
      <c r="L83" s="16" t="n">
        <v>1.909</v>
      </c>
      <c r="M83" s="16" t="n">
        <v>3.922</v>
      </c>
      <c r="N83" s="15" t="n">
        <v>1</v>
      </c>
      <c r="O83" s="15" t="n">
        <v>1</v>
      </c>
      <c r="P83" s="15" t="n">
        <v>1</v>
      </c>
      <c r="Q83" s="15" t="n">
        <v>1</v>
      </c>
    </row>
    <row r="84" customFormat="false" ht="15" hidden="false" customHeight="false" outlineLevel="0" collapsed="false">
      <c r="A84" s="15" t="n">
        <v>80</v>
      </c>
      <c r="B84" s="16" t="n">
        <v>8.223</v>
      </c>
      <c r="C84" s="15" t="n">
        <v>4</v>
      </c>
      <c r="D84" s="15" t="n">
        <v>5</v>
      </c>
      <c r="E84" s="15" t="n">
        <v>3</v>
      </c>
      <c r="F84" s="15" t="n">
        <v>4</v>
      </c>
      <c r="G84" s="15" t="n">
        <v>3</v>
      </c>
      <c r="H84" s="15" t="n">
        <v>5</v>
      </c>
      <c r="I84" s="15" t="n">
        <v>1</v>
      </c>
      <c r="J84" s="15" t="n">
        <v>4</v>
      </c>
      <c r="K84" s="15" t="n">
        <v>5</v>
      </c>
      <c r="L84" s="16" t="n">
        <v>1.966</v>
      </c>
      <c r="M84" s="16" t="n">
        <v>3.785</v>
      </c>
      <c r="N84" s="15" t="n">
        <v>1</v>
      </c>
      <c r="O84" s="15" t="n">
        <v>1</v>
      </c>
      <c r="P84" s="15" t="n">
        <v>1</v>
      </c>
      <c r="Q84" s="15" t="n">
        <v>1</v>
      </c>
    </row>
    <row r="85" customFormat="false" ht="15" hidden="false" customHeight="false" outlineLevel="0" collapsed="false">
      <c r="A85" s="15" t="n">
        <v>81</v>
      </c>
      <c r="B85" s="16" t="n">
        <v>8.319</v>
      </c>
      <c r="C85" s="15" t="n">
        <v>4</v>
      </c>
      <c r="D85" s="15" t="n">
        <v>5</v>
      </c>
      <c r="E85" s="15" t="n">
        <v>2</v>
      </c>
      <c r="F85" s="15" t="n">
        <v>5</v>
      </c>
      <c r="G85" s="15" t="n">
        <v>3</v>
      </c>
      <c r="H85" s="15" t="n">
        <v>5</v>
      </c>
      <c r="I85" s="15" t="n">
        <v>1</v>
      </c>
      <c r="J85" s="15" t="n">
        <v>4</v>
      </c>
      <c r="K85" s="15" t="n">
        <v>5</v>
      </c>
      <c r="L85" s="16" t="n">
        <v>1.793</v>
      </c>
      <c r="M85" s="16" t="n">
        <v>3.997</v>
      </c>
      <c r="N85" s="15" t="n">
        <v>1</v>
      </c>
      <c r="O85" s="15" t="n">
        <v>1</v>
      </c>
      <c r="P85" s="15" t="n">
        <v>1</v>
      </c>
      <c r="Q85" s="15" t="n">
        <v>1</v>
      </c>
    </row>
    <row r="86" customFormat="false" ht="15" hidden="false" customHeight="false" outlineLevel="0" collapsed="false">
      <c r="A86" s="15" t="n">
        <v>82</v>
      </c>
      <c r="B86" s="16" t="n">
        <v>8.413</v>
      </c>
      <c r="C86" s="15" t="n">
        <v>4</v>
      </c>
      <c r="D86" s="15" t="n">
        <v>5</v>
      </c>
      <c r="E86" s="15" t="n">
        <v>2</v>
      </c>
      <c r="F86" s="15" t="n">
        <v>5</v>
      </c>
      <c r="G86" s="15" t="n">
        <v>3</v>
      </c>
      <c r="H86" s="15" t="n">
        <v>5</v>
      </c>
      <c r="I86" s="15" t="n">
        <v>1</v>
      </c>
      <c r="J86" s="15" t="n">
        <v>4</v>
      </c>
      <c r="K86" s="15" t="n">
        <v>5</v>
      </c>
      <c r="L86" s="16" t="n">
        <v>2.283</v>
      </c>
      <c r="M86" s="16" t="n">
        <v>4</v>
      </c>
      <c r="N86" s="15" t="n">
        <v>1</v>
      </c>
      <c r="O86" s="15" t="n">
        <v>1</v>
      </c>
      <c r="P86" s="15" t="n">
        <v>1</v>
      </c>
      <c r="Q86" s="15" t="n">
        <v>1</v>
      </c>
    </row>
    <row r="87" customFormat="false" ht="15" hidden="false" customHeight="false" outlineLevel="0" collapsed="false">
      <c r="A87" s="15" t="n">
        <v>83</v>
      </c>
      <c r="B87" s="16" t="n">
        <v>8.508</v>
      </c>
      <c r="C87" s="15" t="n">
        <v>4</v>
      </c>
      <c r="D87" s="15" t="n">
        <v>5</v>
      </c>
      <c r="E87" s="15" t="n">
        <v>2</v>
      </c>
      <c r="F87" s="15" t="n">
        <v>5</v>
      </c>
      <c r="G87" s="15" t="n">
        <v>3</v>
      </c>
      <c r="H87" s="15" t="n">
        <v>5</v>
      </c>
      <c r="I87" s="15" t="n">
        <v>1</v>
      </c>
      <c r="J87" s="15" t="n">
        <v>4</v>
      </c>
      <c r="K87" s="15" t="n">
        <v>5</v>
      </c>
      <c r="L87" s="16" t="n">
        <v>2.309</v>
      </c>
      <c r="M87" s="16" t="n">
        <v>4</v>
      </c>
      <c r="N87" s="15" t="n">
        <v>1</v>
      </c>
      <c r="O87" s="15" t="n">
        <v>1</v>
      </c>
      <c r="P87" s="15" t="n">
        <v>1</v>
      </c>
      <c r="Q87" s="15" t="n">
        <v>1</v>
      </c>
    </row>
    <row r="88" customFormat="false" ht="15" hidden="false" customHeight="false" outlineLevel="0" collapsed="false">
      <c r="A88" s="15" t="n">
        <v>84</v>
      </c>
      <c r="B88" s="16" t="n">
        <v>8.604</v>
      </c>
      <c r="C88" s="15" t="n">
        <v>4</v>
      </c>
      <c r="D88" s="15" t="n">
        <v>5</v>
      </c>
      <c r="E88" s="15" t="n">
        <v>2</v>
      </c>
      <c r="F88" s="15" t="n">
        <v>5</v>
      </c>
      <c r="G88" s="15" t="n">
        <v>3</v>
      </c>
      <c r="H88" s="15" t="n">
        <v>5</v>
      </c>
      <c r="I88" s="15" t="n">
        <v>1</v>
      </c>
      <c r="J88" s="15" t="n">
        <v>4</v>
      </c>
      <c r="K88" s="15" t="n">
        <v>5</v>
      </c>
      <c r="L88" s="16" t="n">
        <v>2.288</v>
      </c>
      <c r="M88" s="16" t="n">
        <v>4</v>
      </c>
      <c r="N88" s="15" t="n">
        <v>1</v>
      </c>
      <c r="O88" s="15" t="n">
        <v>1</v>
      </c>
      <c r="P88" s="15" t="n">
        <v>1</v>
      </c>
      <c r="Q88" s="15" t="n">
        <v>1</v>
      </c>
    </row>
    <row r="89" customFormat="false" ht="15" hidden="false" customHeight="false" outlineLevel="0" collapsed="false">
      <c r="A89" s="15" t="n">
        <v>85</v>
      </c>
      <c r="B89" s="16" t="n">
        <v>8.703</v>
      </c>
      <c r="C89" s="15" t="n">
        <v>4</v>
      </c>
      <c r="D89" s="15" t="n">
        <v>5</v>
      </c>
      <c r="E89" s="15" t="n">
        <v>2</v>
      </c>
      <c r="F89" s="15" t="n">
        <v>5</v>
      </c>
      <c r="G89" s="15" t="n">
        <v>3</v>
      </c>
      <c r="H89" s="15" t="n">
        <v>5</v>
      </c>
      <c r="I89" s="15" t="n">
        <v>1</v>
      </c>
      <c r="J89" s="15" t="n">
        <v>4</v>
      </c>
      <c r="K89" s="15" t="n">
        <v>5</v>
      </c>
      <c r="L89" s="16" t="n">
        <v>2.156</v>
      </c>
      <c r="M89" s="16" t="n">
        <v>4</v>
      </c>
      <c r="N89" s="15" t="n">
        <v>1</v>
      </c>
      <c r="O89" s="15" t="n">
        <v>1</v>
      </c>
      <c r="P89" s="15" t="n">
        <v>1</v>
      </c>
      <c r="Q89" s="15" t="n">
        <v>1</v>
      </c>
    </row>
    <row r="90" customFormat="false" ht="15" hidden="false" customHeight="false" outlineLevel="0" collapsed="false">
      <c r="A90" s="15" t="n">
        <v>86</v>
      </c>
      <c r="B90" s="16" t="n">
        <v>8.803</v>
      </c>
      <c r="C90" s="15" t="n">
        <v>3</v>
      </c>
      <c r="D90" s="15" t="n">
        <v>5</v>
      </c>
      <c r="E90" s="15" t="n">
        <v>2</v>
      </c>
      <c r="F90" s="15" t="n">
        <v>4</v>
      </c>
      <c r="G90" s="15" t="n">
        <v>3</v>
      </c>
      <c r="H90" s="15" t="n">
        <v>5</v>
      </c>
      <c r="I90" s="15" t="n">
        <v>1</v>
      </c>
      <c r="J90" s="15" t="n">
        <v>4</v>
      </c>
      <c r="K90" s="15" t="n">
        <v>5</v>
      </c>
      <c r="L90" s="16" t="n">
        <v>2.044</v>
      </c>
      <c r="M90" s="16" t="n">
        <v>4</v>
      </c>
      <c r="N90" s="15" t="n">
        <v>1</v>
      </c>
      <c r="O90" s="15" t="n">
        <v>1</v>
      </c>
      <c r="P90" s="15" t="n">
        <v>1</v>
      </c>
      <c r="Q90" s="15" t="n">
        <v>1</v>
      </c>
    </row>
    <row r="91" customFormat="false" ht="15" hidden="false" customHeight="false" outlineLevel="0" collapsed="false">
      <c r="A91" s="15" t="n">
        <v>87</v>
      </c>
      <c r="B91" s="16" t="n">
        <v>8.906</v>
      </c>
      <c r="C91" s="15" t="n">
        <v>3</v>
      </c>
      <c r="D91" s="15" t="n">
        <v>5</v>
      </c>
      <c r="E91" s="15" t="n">
        <v>2</v>
      </c>
      <c r="F91" s="15" t="n">
        <v>3</v>
      </c>
      <c r="G91" s="15" t="n">
        <v>3</v>
      </c>
      <c r="H91" s="15" t="n">
        <v>5</v>
      </c>
      <c r="I91" s="15" t="n">
        <v>1</v>
      </c>
      <c r="J91" s="15" t="n">
        <v>4</v>
      </c>
      <c r="K91" s="15" t="n">
        <v>5</v>
      </c>
      <c r="L91" s="16" t="n">
        <v>1.937</v>
      </c>
      <c r="M91" s="16" t="n">
        <v>4</v>
      </c>
      <c r="N91" s="15" t="n">
        <v>1</v>
      </c>
      <c r="O91" s="15" t="n">
        <v>1</v>
      </c>
      <c r="P91" s="15" t="n">
        <v>1</v>
      </c>
      <c r="Q91" s="15" t="n">
        <v>1</v>
      </c>
    </row>
    <row r="92" customFormat="false" ht="15" hidden="false" customHeight="false" outlineLevel="0" collapsed="false">
      <c r="A92" s="15" t="n">
        <v>88</v>
      </c>
      <c r="B92" s="16" t="n">
        <v>9.011</v>
      </c>
      <c r="C92" s="15" t="n">
        <v>4</v>
      </c>
      <c r="D92" s="15" t="n">
        <v>5</v>
      </c>
      <c r="E92" s="15" t="n">
        <v>2</v>
      </c>
      <c r="F92" s="15" t="n">
        <v>4</v>
      </c>
      <c r="G92" s="15" t="n">
        <v>3</v>
      </c>
      <c r="H92" s="15" t="n">
        <v>5</v>
      </c>
      <c r="I92" s="15" t="n">
        <v>1</v>
      </c>
      <c r="J92" s="15" t="n">
        <v>4</v>
      </c>
      <c r="K92" s="15" t="n">
        <v>5</v>
      </c>
      <c r="L92" s="16" t="n">
        <v>1.806</v>
      </c>
      <c r="M92" s="16" t="n">
        <v>4</v>
      </c>
      <c r="N92" s="15" t="n">
        <v>1</v>
      </c>
      <c r="O92" s="15" t="n">
        <v>1</v>
      </c>
      <c r="P92" s="15" t="n">
        <v>1</v>
      </c>
      <c r="Q92" s="15" t="n">
        <v>1</v>
      </c>
    </row>
    <row r="93" customFormat="false" ht="15" hidden="false" customHeight="false" outlineLevel="0" collapsed="false">
      <c r="A93" s="15" t="n">
        <v>89</v>
      </c>
      <c r="B93" s="16" t="n">
        <v>9.116</v>
      </c>
      <c r="C93" s="15" t="n">
        <v>4</v>
      </c>
      <c r="D93" s="15" t="n">
        <v>5</v>
      </c>
      <c r="E93" s="15" t="n">
        <v>2</v>
      </c>
      <c r="F93" s="15" t="n">
        <v>4</v>
      </c>
      <c r="G93" s="15" t="n">
        <v>3</v>
      </c>
      <c r="H93" s="15" t="n">
        <v>5</v>
      </c>
      <c r="I93" s="15" t="n">
        <v>1</v>
      </c>
      <c r="J93" s="15" t="n">
        <v>4</v>
      </c>
      <c r="K93" s="15" t="n">
        <v>5</v>
      </c>
      <c r="L93" s="16" t="n">
        <v>1.691</v>
      </c>
      <c r="M93" s="16" t="n">
        <v>4</v>
      </c>
      <c r="N93" s="15" t="n">
        <v>1</v>
      </c>
      <c r="O93" s="15" t="n">
        <v>1</v>
      </c>
      <c r="P93" s="15" t="n">
        <v>1</v>
      </c>
      <c r="Q93" s="15" t="n">
        <v>1</v>
      </c>
    </row>
    <row r="94" customFormat="false" ht="15" hidden="false" customHeight="false" outlineLevel="0" collapsed="false">
      <c r="A94" s="15" t="n">
        <v>90</v>
      </c>
      <c r="B94" s="16" t="n">
        <v>9.222</v>
      </c>
      <c r="C94" s="15" t="n">
        <v>4</v>
      </c>
      <c r="D94" s="15" t="n">
        <v>5</v>
      </c>
      <c r="E94" s="15" t="n">
        <v>2</v>
      </c>
      <c r="F94" s="15" t="n">
        <v>4</v>
      </c>
      <c r="G94" s="15" t="n">
        <v>3</v>
      </c>
      <c r="H94" s="15" t="n">
        <v>5</v>
      </c>
      <c r="I94" s="15" t="n">
        <v>1</v>
      </c>
      <c r="J94" s="15" t="n">
        <v>4</v>
      </c>
      <c r="K94" s="15" t="n">
        <v>5</v>
      </c>
      <c r="L94" s="16" t="n">
        <v>1.649</v>
      </c>
      <c r="M94" s="16" t="n">
        <v>4</v>
      </c>
      <c r="N94" s="15" t="n">
        <v>1</v>
      </c>
      <c r="O94" s="15" t="n">
        <v>1</v>
      </c>
      <c r="P94" s="15" t="n">
        <v>1</v>
      </c>
      <c r="Q94" s="15" t="n">
        <v>1</v>
      </c>
    </row>
    <row r="95" customFormat="false" ht="15" hidden="false" customHeight="false" outlineLevel="0" collapsed="false">
      <c r="A95" s="15" t="n">
        <v>91</v>
      </c>
      <c r="B95" s="16" t="n">
        <v>9.326</v>
      </c>
      <c r="C95" s="15" t="n">
        <v>5</v>
      </c>
      <c r="D95" s="15" t="n">
        <v>5</v>
      </c>
      <c r="E95" s="15" t="n">
        <v>2</v>
      </c>
      <c r="F95" s="15" t="n">
        <v>3</v>
      </c>
      <c r="G95" s="15" t="n">
        <v>3</v>
      </c>
      <c r="H95" s="15" t="n">
        <v>5</v>
      </c>
      <c r="I95" s="15" t="n">
        <v>1</v>
      </c>
      <c r="J95" s="15" t="n">
        <v>4</v>
      </c>
      <c r="K95" s="15" t="n">
        <v>5</v>
      </c>
      <c r="L95" s="16" t="n">
        <v>1.921</v>
      </c>
      <c r="M95" s="16" t="n">
        <v>3.704</v>
      </c>
      <c r="N95" s="15" t="n">
        <v>1</v>
      </c>
      <c r="O95" s="15" t="n">
        <v>1</v>
      </c>
      <c r="P95" s="15" t="n">
        <v>1</v>
      </c>
      <c r="Q95" s="15" t="n">
        <v>4</v>
      </c>
    </row>
    <row r="96" customFormat="false" ht="15" hidden="false" customHeight="false" outlineLevel="0" collapsed="false">
      <c r="A96" s="15" t="n">
        <v>92</v>
      </c>
      <c r="B96" s="16" t="n">
        <v>9.429</v>
      </c>
      <c r="C96" s="15" t="n">
        <v>5</v>
      </c>
      <c r="D96" s="15" t="n">
        <v>4</v>
      </c>
      <c r="E96" s="15" t="n">
        <v>2</v>
      </c>
      <c r="F96" s="15" t="n">
        <v>3</v>
      </c>
      <c r="G96" s="15" t="n">
        <v>3</v>
      </c>
      <c r="H96" s="15" t="n">
        <v>5</v>
      </c>
      <c r="I96" s="15" t="n">
        <v>1</v>
      </c>
      <c r="J96" s="15" t="n">
        <v>4</v>
      </c>
      <c r="K96" s="15" t="n">
        <v>5</v>
      </c>
      <c r="L96" s="16" t="n">
        <v>2.515</v>
      </c>
      <c r="M96" s="16" t="n">
        <v>3.195</v>
      </c>
      <c r="N96" s="15" t="n">
        <v>1</v>
      </c>
      <c r="O96" s="15" t="n">
        <v>1</v>
      </c>
      <c r="P96" s="15" t="n">
        <v>1</v>
      </c>
      <c r="Q96" s="15" t="n">
        <v>5</v>
      </c>
    </row>
    <row r="97" customFormat="false" ht="15" hidden="false" customHeight="false" outlineLevel="0" collapsed="false">
      <c r="A97" s="15" t="n">
        <v>93</v>
      </c>
      <c r="B97" s="16" t="n">
        <v>9.531</v>
      </c>
      <c r="C97" s="15" t="n">
        <v>5</v>
      </c>
      <c r="D97" s="15" t="n">
        <v>4</v>
      </c>
      <c r="E97" s="15" t="n">
        <v>2</v>
      </c>
      <c r="F97" s="15" t="n">
        <v>3</v>
      </c>
      <c r="G97" s="15" t="n">
        <v>3</v>
      </c>
      <c r="H97" s="15" t="n">
        <v>5</v>
      </c>
      <c r="I97" s="15" t="n">
        <v>1</v>
      </c>
      <c r="J97" s="15" t="n">
        <v>4</v>
      </c>
      <c r="K97" s="15" t="n">
        <v>5</v>
      </c>
      <c r="L97" s="16" t="n">
        <v>2.706</v>
      </c>
      <c r="M97" s="16" t="n">
        <v>3.088</v>
      </c>
      <c r="N97" s="15" t="n">
        <v>1</v>
      </c>
      <c r="O97" s="15" t="n">
        <v>1</v>
      </c>
      <c r="P97" s="15" t="n">
        <v>1</v>
      </c>
      <c r="Q97" s="15" t="n">
        <v>4</v>
      </c>
    </row>
    <row r="98" customFormat="false" ht="15" hidden="false" customHeight="false" outlineLevel="0" collapsed="false">
      <c r="A98" s="15" t="n">
        <v>94</v>
      </c>
      <c r="B98" s="16" t="n">
        <v>9.632</v>
      </c>
      <c r="C98" s="15" t="n">
        <v>5</v>
      </c>
      <c r="D98" s="15" t="n">
        <v>4</v>
      </c>
      <c r="E98" s="15" t="n">
        <v>2</v>
      </c>
      <c r="F98" s="15" t="n">
        <v>3</v>
      </c>
      <c r="G98" s="15" t="n">
        <v>3</v>
      </c>
      <c r="H98" s="15" t="n">
        <v>5</v>
      </c>
      <c r="I98" s="15" t="n">
        <v>1</v>
      </c>
      <c r="J98" s="15" t="n">
        <v>4</v>
      </c>
      <c r="K98" s="15" t="n">
        <v>5</v>
      </c>
      <c r="L98" s="16" t="n">
        <v>2.79</v>
      </c>
      <c r="M98" s="16" t="n">
        <v>3.131</v>
      </c>
      <c r="N98" s="15" t="n">
        <v>1</v>
      </c>
      <c r="O98" s="15" t="n">
        <v>1</v>
      </c>
      <c r="P98" s="15" t="n">
        <v>1</v>
      </c>
      <c r="Q98" s="15" t="n">
        <v>2</v>
      </c>
    </row>
    <row r="99" customFormat="false" ht="15" hidden="false" customHeight="false" outlineLevel="0" collapsed="false">
      <c r="A99" s="15" t="n">
        <v>95</v>
      </c>
      <c r="B99" s="16" t="n">
        <v>9.733</v>
      </c>
      <c r="C99" s="15" t="n">
        <v>5</v>
      </c>
      <c r="D99" s="15" t="n">
        <v>5</v>
      </c>
      <c r="E99" s="15" t="n">
        <v>2</v>
      </c>
      <c r="F99" s="15" t="n">
        <v>3</v>
      </c>
      <c r="G99" s="15" t="n">
        <v>3</v>
      </c>
      <c r="H99" s="15" t="n">
        <v>5</v>
      </c>
      <c r="I99" s="15" t="n">
        <v>1</v>
      </c>
      <c r="J99" s="15" t="n">
        <v>4</v>
      </c>
      <c r="K99" s="15" t="n">
        <v>5</v>
      </c>
      <c r="L99" s="16" t="n">
        <v>2.216</v>
      </c>
      <c r="M99" s="16" t="n">
        <v>3.446</v>
      </c>
      <c r="N99" s="15" t="n">
        <v>1</v>
      </c>
      <c r="O99" s="15" t="n">
        <v>1</v>
      </c>
      <c r="P99" s="15" t="n">
        <v>1</v>
      </c>
      <c r="Q99" s="15" t="n">
        <v>1</v>
      </c>
    </row>
    <row r="100" customFormat="false" ht="15" hidden="false" customHeight="false" outlineLevel="0" collapsed="false">
      <c r="A100" s="15" t="n">
        <v>96</v>
      </c>
      <c r="B100" s="16" t="n">
        <v>9.834</v>
      </c>
      <c r="C100" s="15" t="n">
        <v>5</v>
      </c>
      <c r="D100" s="15" t="n">
        <v>5</v>
      </c>
      <c r="E100" s="15" t="n">
        <v>2</v>
      </c>
      <c r="F100" s="15" t="n">
        <v>4</v>
      </c>
      <c r="G100" s="15" t="n">
        <v>3</v>
      </c>
      <c r="H100" s="15" t="n">
        <v>5</v>
      </c>
      <c r="I100" s="15" t="n">
        <v>1</v>
      </c>
      <c r="J100" s="15" t="n">
        <v>4</v>
      </c>
      <c r="K100" s="15" t="n">
        <v>5</v>
      </c>
      <c r="L100" s="16" t="n">
        <v>1.306</v>
      </c>
      <c r="M100" s="16" t="n">
        <v>3.956</v>
      </c>
      <c r="N100" s="15" t="n">
        <v>1</v>
      </c>
      <c r="O100" s="15" t="n">
        <v>1</v>
      </c>
      <c r="P100" s="15" t="n">
        <v>1</v>
      </c>
      <c r="Q100" s="15" t="n">
        <v>1</v>
      </c>
    </row>
    <row r="101" customFormat="false" ht="15" hidden="false" customHeight="false" outlineLevel="0" collapsed="false">
      <c r="A101" s="15" t="n">
        <v>97</v>
      </c>
      <c r="B101" s="16" t="n">
        <v>9.936</v>
      </c>
      <c r="C101" s="15" t="n">
        <v>5</v>
      </c>
      <c r="D101" s="15" t="n">
        <v>5</v>
      </c>
      <c r="E101" s="15" t="n">
        <v>1</v>
      </c>
      <c r="F101" s="15" t="n">
        <v>4</v>
      </c>
      <c r="G101" s="15" t="n">
        <v>3</v>
      </c>
      <c r="H101" s="15" t="n">
        <v>5</v>
      </c>
      <c r="I101" s="15" t="n">
        <v>1</v>
      </c>
      <c r="J101" s="15" t="n">
        <v>4</v>
      </c>
      <c r="K101" s="15" t="n">
        <v>4</v>
      </c>
      <c r="L101" s="16" t="n">
        <v>1.372</v>
      </c>
      <c r="M101" s="16" t="n">
        <v>3.601</v>
      </c>
      <c r="N101" s="15" t="n">
        <v>1</v>
      </c>
      <c r="O101" s="15" t="n">
        <v>1</v>
      </c>
      <c r="P101" s="15" t="n">
        <v>1</v>
      </c>
      <c r="Q101" s="15" t="n">
        <v>1</v>
      </c>
    </row>
    <row r="102" customFormat="false" ht="15" hidden="false" customHeight="false" outlineLevel="0" collapsed="false">
      <c r="A102" s="15" t="n">
        <v>98</v>
      </c>
      <c r="B102" s="16" t="n">
        <v>10.038</v>
      </c>
      <c r="C102" s="15" t="n">
        <v>5</v>
      </c>
      <c r="D102" s="15" t="n">
        <v>5</v>
      </c>
      <c r="E102" s="15" t="n">
        <v>1</v>
      </c>
      <c r="F102" s="15" t="n">
        <v>4</v>
      </c>
      <c r="G102" s="15" t="n">
        <v>3</v>
      </c>
      <c r="H102" s="15" t="n">
        <v>5</v>
      </c>
      <c r="I102" s="15" t="n">
        <v>1</v>
      </c>
      <c r="J102" s="15" t="n">
        <v>4</v>
      </c>
      <c r="K102" s="15" t="n">
        <v>4</v>
      </c>
      <c r="L102" s="16" t="n">
        <v>1.507</v>
      </c>
      <c r="M102" s="16" t="n">
        <v>3.711</v>
      </c>
      <c r="N102" s="15" t="n">
        <v>1</v>
      </c>
      <c r="O102" s="15" t="n">
        <v>1</v>
      </c>
      <c r="P102" s="15" t="n">
        <v>1</v>
      </c>
      <c r="Q102" s="15" t="n">
        <v>1</v>
      </c>
    </row>
    <row r="103" customFormat="false" ht="15" hidden="false" customHeight="false" outlineLevel="0" collapsed="false">
      <c r="A103" s="15" t="n">
        <v>99</v>
      </c>
      <c r="B103" s="16" t="n">
        <v>10.141</v>
      </c>
      <c r="C103" s="15" t="n">
        <v>5</v>
      </c>
      <c r="D103" s="15" t="n">
        <v>4</v>
      </c>
      <c r="E103" s="15" t="n">
        <v>2</v>
      </c>
      <c r="F103" s="15" t="n">
        <v>3</v>
      </c>
      <c r="G103" s="15" t="n">
        <v>3</v>
      </c>
      <c r="H103" s="15" t="n">
        <v>5</v>
      </c>
      <c r="I103" s="15" t="n">
        <v>1</v>
      </c>
      <c r="J103" s="15" t="n">
        <v>4</v>
      </c>
      <c r="K103" s="15" t="n">
        <v>5</v>
      </c>
      <c r="L103" s="16" t="n">
        <v>1.51</v>
      </c>
      <c r="M103" s="16" t="n">
        <v>3.892</v>
      </c>
      <c r="N103" s="15" t="n">
        <v>1</v>
      </c>
      <c r="O103" s="15" t="n">
        <v>1</v>
      </c>
      <c r="P103" s="15" t="n">
        <v>1</v>
      </c>
      <c r="Q103" s="15" t="n">
        <v>1</v>
      </c>
    </row>
    <row r="104" customFormat="false" ht="15" hidden="false" customHeight="false" outlineLevel="0" collapsed="false">
      <c r="A104" s="15" t="n">
        <v>100</v>
      </c>
      <c r="B104" s="16" t="n">
        <v>10.243</v>
      </c>
      <c r="C104" s="15" t="n">
        <v>5</v>
      </c>
      <c r="D104" s="15" t="n">
        <v>4</v>
      </c>
      <c r="E104" s="15" t="n">
        <v>1</v>
      </c>
      <c r="F104" s="15" t="n">
        <v>3</v>
      </c>
      <c r="G104" s="15" t="n">
        <v>3</v>
      </c>
      <c r="H104" s="15" t="n">
        <v>5</v>
      </c>
      <c r="I104" s="15" t="n">
        <v>1</v>
      </c>
      <c r="J104" s="15" t="n">
        <v>4</v>
      </c>
      <c r="K104" s="15" t="n">
        <v>5</v>
      </c>
      <c r="L104" s="16" t="n">
        <v>1.716</v>
      </c>
      <c r="M104" s="16" t="n">
        <v>3.65</v>
      </c>
      <c r="N104" s="15" t="n">
        <v>1</v>
      </c>
      <c r="O104" s="15" t="n">
        <v>1</v>
      </c>
      <c r="P104" s="15" t="n">
        <v>1</v>
      </c>
      <c r="Q104" s="15" t="n">
        <v>1</v>
      </c>
    </row>
    <row r="105" customFormat="false" ht="15" hidden="false" customHeight="false" outlineLevel="0" collapsed="false">
      <c r="A105" s="15" t="n">
        <v>101</v>
      </c>
      <c r="B105" s="16" t="n">
        <v>10.346</v>
      </c>
      <c r="C105" s="15" t="n">
        <v>5</v>
      </c>
      <c r="D105" s="15" t="n">
        <v>4</v>
      </c>
      <c r="E105" s="15" t="n">
        <v>1</v>
      </c>
      <c r="F105" s="15" t="n">
        <v>3</v>
      </c>
      <c r="G105" s="15" t="n">
        <v>3</v>
      </c>
      <c r="H105" s="15" t="n">
        <v>5</v>
      </c>
      <c r="I105" s="15" t="n">
        <v>1</v>
      </c>
      <c r="J105" s="15" t="n">
        <v>4</v>
      </c>
      <c r="K105" s="15" t="n">
        <v>5</v>
      </c>
      <c r="L105" s="16" t="n">
        <v>1.858</v>
      </c>
      <c r="M105" s="16" t="n">
        <v>3.769</v>
      </c>
      <c r="N105" s="15" t="n">
        <v>1</v>
      </c>
      <c r="O105" s="15" t="n">
        <v>1</v>
      </c>
      <c r="P105" s="15" t="n">
        <v>1</v>
      </c>
      <c r="Q105" s="15" t="n">
        <v>1</v>
      </c>
    </row>
    <row r="106" customFormat="false" ht="15" hidden="false" customHeight="false" outlineLevel="0" collapsed="false">
      <c r="A106" s="15" t="n">
        <v>102</v>
      </c>
      <c r="B106" s="16" t="n">
        <v>10.447</v>
      </c>
      <c r="C106" s="15" t="n">
        <v>5</v>
      </c>
      <c r="D106" s="15" t="n">
        <v>4</v>
      </c>
      <c r="E106" s="15" t="n">
        <v>2</v>
      </c>
      <c r="F106" s="15" t="n">
        <v>4</v>
      </c>
      <c r="G106" s="15" t="n">
        <v>3</v>
      </c>
      <c r="H106" s="15" t="n">
        <v>5</v>
      </c>
      <c r="I106" s="15" t="n">
        <v>1</v>
      </c>
      <c r="J106" s="15" t="n">
        <v>4</v>
      </c>
      <c r="K106" s="15" t="n">
        <v>5</v>
      </c>
      <c r="L106" s="16" t="n">
        <v>2.016</v>
      </c>
      <c r="M106" s="16" t="n">
        <v>3.808</v>
      </c>
      <c r="N106" s="15" t="n">
        <v>1</v>
      </c>
      <c r="O106" s="15" t="n">
        <v>1</v>
      </c>
      <c r="P106" s="15" t="n">
        <v>1</v>
      </c>
      <c r="Q106" s="15" t="n">
        <v>1</v>
      </c>
    </row>
    <row r="107" customFormat="false" ht="15" hidden="false" customHeight="false" outlineLevel="0" collapsed="false">
      <c r="A107" s="15" t="n">
        <v>103</v>
      </c>
      <c r="B107" s="16" t="n">
        <v>10.548</v>
      </c>
      <c r="C107" s="15" t="n">
        <v>5</v>
      </c>
      <c r="D107" s="15" t="n">
        <v>4</v>
      </c>
      <c r="E107" s="15" t="n">
        <v>2</v>
      </c>
      <c r="F107" s="15" t="n">
        <v>4</v>
      </c>
      <c r="G107" s="15" t="n">
        <v>3</v>
      </c>
      <c r="H107" s="15" t="n">
        <v>5</v>
      </c>
      <c r="I107" s="15" t="n">
        <v>1</v>
      </c>
      <c r="J107" s="15" t="n">
        <v>4</v>
      </c>
      <c r="K107" s="15" t="n">
        <v>5</v>
      </c>
      <c r="L107" s="16" t="n">
        <v>2.197</v>
      </c>
      <c r="M107" s="16" t="n">
        <v>3.737</v>
      </c>
      <c r="N107" s="15" t="n">
        <v>1</v>
      </c>
      <c r="O107" s="15" t="n">
        <v>1</v>
      </c>
      <c r="P107" s="15" t="n">
        <v>1</v>
      </c>
      <c r="Q107" s="15" t="n">
        <v>1</v>
      </c>
    </row>
    <row r="108" customFormat="false" ht="15" hidden="false" customHeight="false" outlineLevel="0" collapsed="false">
      <c r="A108" s="15" t="n">
        <v>104</v>
      </c>
      <c r="B108" s="16" t="n">
        <v>10.648</v>
      </c>
      <c r="C108" s="15" t="n">
        <v>5</v>
      </c>
      <c r="D108" s="15" t="n">
        <v>4</v>
      </c>
      <c r="E108" s="15" t="n">
        <v>4</v>
      </c>
      <c r="F108" s="15" t="n">
        <v>3</v>
      </c>
      <c r="G108" s="15" t="n">
        <v>3</v>
      </c>
      <c r="H108" s="15" t="n">
        <v>5</v>
      </c>
      <c r="I108" s="15" t="n">
        <v>1</v>
      </c>
      <c r="J108" s="15" t="n">
        <v>4</v>
      </c>
      <c r="K108" s="15" t="n">
        <v>5</v>
      </c>
      <c r="L108" s="16" t="n">
        <v>2.479</v>
      </c>
      <c r="M108" s="16" t="n">
        <v>3.387</v>
      </c>
      <c r="N108" s="15" t="n">
        <v>1</v>
      </c>
      <c r="O108" s="15" t="n">
        <v>1</v>
      </c>
      <c r="P108" s="15" t="n">
        <v>1</v>
      </c>
      <c r="Q108" s="15" t="n">
        <v>1</v>
      </c>
    </row>
    <row r="109" customFormat="false" ht="15" hidden="false" customHeight="false" outlineLevel="0" collapsed="false">
      <c r="A109" s="15" t="n">
        <v>105</v>
      </c>
      <c r="B109" s="16" t="n">
        <v>10.748</v>
      </c>
      <c r="C109" s="15" t="n">
        <v>5</v>
      </c>
      <c r="D109" s="15" t="n">
        <v>4</v>
      </c>
      <c r="E109" s="15" t="n">
        <v>3</v>
      </c>
      <c r="F109" s="15" t="n">
        <v>3</v>
      </c>
      <c r="G109" s="15" t="n">
        <v>3</v>
      </c>
      <c r="H109" s="15" t="n">
        <v>5</v>
      </c>
      <c r="I109" s="15" t="n">
        <v>1</v>
      </c>
      <c r="J109" s="15" t="n">
        <v>4</v>
      </c>
      <c r="K109" s="15" t="n">
        <v>5</v>
      </c>
      <c r="L109" s="16" t="n">
        <v>2.949</v>
      </c>
      <c r="M109" s="16" t="n">
        <v>2.955</v>
      </c>
      <c r="N109" s="15" t="n">
        <v>1</v>
      </c>
      <c r="O109" s="15" t="n">
        <v>1</v>
      </c>
      <c r="P109" s="15" t="n">
        <v>1</v>
      </c>
      <c r="Q109" s="15" t="n">
        <v>2</v>
      </c>
    </row>
    <row r="110" customFormat="false" ht="15" hidden="false" customHeight="false" outlineLevel="0" collapsed="false">
      <c r="A110" s="15" t="n">
        <v>106</v>
      </c>
      <c r="B110" s="16" t="n">
        <v>10.848</v>
      </c>
      <c r="C110" s="15" t="n">
        <v>5</v>
      </c>
      <c r="D110" s="15" t="n">
        <v>4</v>
      </c>
      <c r="E110" s="15" t="n">
        <v>3</v>
      </c>
      <c r="F110" s="15" t="n">
        <v>4</v>
      </c>
      <c r="G110" s="15" t="n">
        <v>3</v>
      </c>
      <c r="H110" s="15" t="n">
        <v>5</v>
      </c>
      <c r="I110" s="15" t="n">
        <v>1</v>
      </c>
      <c r="J110" s="15" t="n">
        <v>4</v>
      </c>
      <c r="K110" s="15" t="n">
        <v>5</v>
      </c>
      <c r="L110" s="16" t="n">
        <v>3.307</v>
      </c>
      <c r="M110" s="16" t="n">
        <v>2.74</v>
      </c>
      <c r="N110" s="15" t="n">
        <v>1</v>
      </c>
      <c r="O110" s="15" t="n">
        <v>1</v>
      </c>
      <c r="P110" s="15" t="n">
        <v>1</v>
      </c>
      <c r="Q110" s="15" t="n">
        <v>3</v>
      </c>
    </row>
    <row r="111" customFormat="false" ht="15" hidden="false" customHeight="false" outlineLevel="0" collapsed="false">
      <c r="A111" s="15" t="n">
        <v>107</v>
      </c>
      <c r="B111" s="16" t="n">
        <v>10.948</v>
      </c>
      <c r="C111" s="15" t="n">
        <v>5</v>
      </c>
      <c r="D111" s="15" t="n">
        <v>4</v>
      </c>
      <c r="E111" s="15" t="n">
        <v>3</v>
      </c>
      <c r="F111" s="15" t="n">
        <v>3</v>
      </c>
      <c r="G111" s="15" t="n">
        <v>3</v>
      </c>
      <c r="H111" s="15" t="n">
        <v>5</v>
      </c>
      <c r="I111" s="15" t="n">
        <v>1</v>
      </c>
      <c r="J111" s="15" t="n">
        <v>4</v>
      </c>
      <c r="K111" s="15" t="n">
        <v>5</v>
      </c>
      <c r="L111" s="16" t="n">
        <v>3.094</v>
      </c>
      <c r="M111" s="16" t="n">
        <v>2.751</v>
      </c>
      <c r="N111" s="15" t="n">
        <v>1</v>
      </c>
      <c r="O111" s="15" t="n">
        <v>1</v>
      </c>
      <c r="P111" s="15" t="n">
        <v>1</v>
      </c>
      <c r="Q111" s="15" t="n">
        <v>2</v>
      </c>
    </row>
    <row r="112" customFormat="false" ht="15" hidden="false" customHeight="false" outlineLevel="0" collapsed="false">
      <c r="A112" s="15" t="n">
        <v>108</v>
      </c>
      <c r="B112" s="16" t="n">
        <v>11.049</v>
      </c>
      <c r="C112" s="15" t="n">
        <v>5</v>
      </c>
      <c r="D112" s="15" t="n">
        <v>4</v>
      </c>
      <c r="E112" s="15" t="n">
        <v>3</v>
      </c>
      <c r="F112" s="15" t="n">
        <v>4</v>
      </c>
      <c r="G112" s="15" t="n">
        <v>3</v>
      </c>
      <c r="H112" s="15" t="n">
        <v>5</v>
      </c>
      <c r="I112" s="15" t="n">
        <v>1</v>
      </c>
      <c r="J112" s="15" t="n">
        <v>4</v>
      </c>
      <c r="K112" s="15" t="n">
        <v>5</v>
      </c>
      <c r="L112" s="16" t="n">
        <v>2.155</v>
      </c>
      <c r="M112" s="16" t="n">
        <v>3.823</v>
      </c>
      <c r="N112" s="15" t="n">
        <v>1</v>
      </c>
      <c r="O112" s="15" t="n">
        <v>1</v>
      </c>
      <c r="P112" s="15" t="n">
        <v>1</v>
      </c>
      <c r="Q112" s="15" t="n">
        <v>1</v>
      </c>
    </row>
    <row r="113" customFormat="false" ht="15" hidden="false" customHeight="false" outlineLevel="0" collapsed="false">
      <c r="A113" s="15" t="n">
        <v>109</v>
      </c>
      <c r="B113" s="16" t="n">
        <v>11.15</v>
      </c>
      <c r="C113" s="15" t="n">
        <v>5</v>
      </c>
      <c r="D113" s="15" t="n">
        <v>4</v>
      </c>
      <c r="E113" s="15" t="n">
        <v>3</v>
      </c>
      <c r="F113" s="15" t="n">
        <v>5</v>
      </c>
      <c r="G113" s="15" t="n">
        <v>3</v>
      </c>
      <c r="H113" s="15" t="n">
        <v>5</v>
      </c>
      <c r="I113" s="15" t="n">
        <v>1</v>
      </c>
      <c r="J113" s="15" t="n">
        <v>4</v>
      </c>
      <c r="K113" s="15" t="n">
        <v>5</v>
      </c>
      <c r="L113" s="16" t="n">
        <v>2.138</v>
      </c>
      <c r="M113" s="16" t="n">
        <v>4</v>
      </c>
      <c r="N113" s="15" t="n">
        <v>1</v>
      </c>
      <c r="O113" s="15" t="n">
        <v>1</v>
      </c>
      <c r="P113" s="15" t="n">
        <v>1</v>
      </c>
      <c r="Q113" s="15" t="n">
        <v>1</v>
      </c>
    </row>
    <row r="114" customFormat="false" ht="15" hidden="false" customHeight="false" outlineLevel="0" collapsed="false">
      <c r="A114" s="15" t="n">
        <v>110</v>
      </c>
      <c r="B114" s="16" t="n">
        <v>11.253</v>
      </c>
      <c r="C114" s="15" t="n">
        <v>5</v>
      </c>
      <c r="D114" s="15" t="n">
        <v>4</v>
      </c>
      <c r="E114" s="15" t="n">
        <v>3</v>
      </c>
      <c r="F114" s="15" t="n">
        <v>4</v>
      </c>
      <c r="G114" s="15" t="n">
        <v>3</v>
      </c>
      <c r="H114" s="15" t="n">
        <v>4</v>
      </c>
      <c r="I114" s="15" t="n">
        <v>1</v>
      </c>
      <c r="J114" s="15" t="n">
        <v>4</v>
      </c>
      <c r="K114" s="15" t="n">
        <v>5</v>
      </c>
      <c r="L114" s="16" t="n">
        <v>2.141</v>
      </c>
      <c r="M114" s="16" t="n">
        <v>4</v>
      </c>
      <c r="N114" s="15" t="n">
        <v>1</v>
      </c>
      <c r="O114" s="15" t="n">
        <v>1</v>
      </c>
      <c r="P114" s="15" t="n">
        <v>1</v>
      </c>
      <c r="Q114" s="15" t="n">
        <v>1</v>
      </c>
    </row>
    <row r="115" customFormat="false" ht="15" hidden="false" customHeight="false" outlineLevel="0" collapsed="false">
      <c r="A115" s="15" t="n">
        <v>111</v>
      </c>
      <c r="B115" s="16" t="n">
        <v>11.356</v>
      </c>
      <c r="C115" s="15" t="n">
        <v>5</v>
      </c>
      <c r="D115" s="15" t="n">
        <v>4</v>
      </c>
      <c r="E115" s="15" t="n">
        <v>3</v>
      </c>
      <c r="F115" s="15" t="n">
        <v>4</v>
      </c>
      <c r="G115" s="15" t="n">
        <v>3</v>
      </c>
      <c r="H115" s="15" t="n">
        <v>4</v>
      </c>
      <c r="I115" s="15" t="n">
        <v>1</v>
      </c>
      <c r="J115" s="15" t="n">
        <v>4</v>
      </c>
      <c r="K115" s="15" t="n">
        <v>5</v>
      </c>
      <c r="L115" s="16" t="n">
        <v>2.267</v>
      </c>
      <c r="M115" s="16" t="n">
        <v>4</v>
      </c>
      <c r="N115" s="15" t="n">
        <v>1</v>
      </c>
      <c r="O115" s="15" t="n">
        <v>1</v>
      </c>
      <c r="P115" s="15" t="n">
        <v>1</v>
      </c>
      <c r="Q115" s="15" t="n">
        <v>1</v>
      </c>
    </row>
    <row r="116" customFormat="false" ht="15" hidden="false" customHeight="false" outlineLevel="0" collapsed="false">
      <c r="A116" s="15" t="n">
        <v>112</v>
      </c>
      <c r="B116" s="16" t="n">
        <v>11.459</v>
      </c>
      <c r="C116" s="15" t="n">
        <v>5</v>
      </c>
      <c r="D116" s="15" t="n">
        <v>4</v>
      </c>
      <c r="E116" s="15" t="n">
        <v>3</v>
      </c>
      <c r="F116" s="15" t="n">
        <v>4</v>
      </c>
      <c r="G116" s="15" t="n">
        <v>3</v>
      </c>
      <c r="H116" s="15" t="n">
        <v>4</v>
      </c>
      <c r="I116" s="15" t="n">
        <v>1</v>
      </c>
      <c r="J116" s="15" t="n">
        <v>4</v>
      </c>
      <c r="K116" s="15" t="n">
        <v>5</v>
      </c>
      <c r="L116" s="16" t="n">
        <v>2.313</v>
      </c>
      <c r="M116" s="16" t="n">
        <v>3.902</v>
      </c>
      <c r="N116" s="15" t="n">
        <v>1</v>
      </c>
      <c r="O116" s="15" t="n">
        <v>1</v>
      </c>
      <c r="P116" s="15" t="n">
        <v>1</v>
      </c>
      <c r="Q116" s="15" t="n">
        <v>1</v>
      </c>
    </row>
    <row r="117" customFormat="false" ht="15" hidden="false" customHeight="false" outlineLevel="0" collapsed="false">
      <c r="A117" s="15" t="n">
        <v>113</v>
      </c>
      <c r="B117" s="16" t="n">
        <v>11.562</v>
      </c>
      <c r="C117" s="15" t="n">
        <v>5</v>
      </c>
      <c r="D117" s="15" t="n">
        <v>4</v>
      </c>
      <c r="E117" s="15" t="n">
        <v>3</v>
      </c>
      <c r="F117" s="15" t="n">
        <v>4</v>
      </c>
      <c r="G117" s="15" t="n">
        <v>3</v>
      </c>
      <c r="H117" s="15" t="n">
        <v>4</v>
      </c>
      <c r="I117" s="15" t="n">
        <v>1</v>
      </c>
      <c r="J117" s="15" t="n">
        <v>4</v>
      </c>
      <c r="K117" s="15" t="n">
        <v>5</v>
      </c>
      <c r="L117" s="16" t="n">
        <v>2.021</v>
      </c>
      <c r="M117" s="16" t="n">
        <v>3.782</v>
      </c>
      <c r="N117" s="15" t="n">
        <v>1</v>
      </c>
      <c r="O117" s="15" t="n">
        <v>1</v>
      </c>
      <c r="P117" s="15" t="n">
        <v>1</v>
      </c>
      <c r="Q117" s="15" t="n">
        <v>1</v>
      </c>
    </row>
    <row r="118" customFormat="false" ht="15" hidden="false" customHeight="false" outlineLevel="0" collapsed="false">
      <c r="A118" s="15" t="n">
        <v>114</v>
      </c>
      <c r="B118" s="16" t="n">
        <v>11.665</v>
      </c>
      <c r="C118" s="15" t="n">
        <v>5</v>
      </c>
      <c r="D118" s="15" t="n">
        <v>5</v>
      </c>
      <c r="E118" s="15" t="n">
        <v>2</v>
      </c>
      <c r="F118" s="15" t="n">
        <v>4</v>
      </c>
      <c r="G118" s="15" t="n">
        <v>3</v>
      </c>
      <c r="H118" s="15" t="n">
        <v>4</v>
      </c>
      <c r="I118" s="15" t="n">
        <v>1</v>
      </c>
      <c r="J118" s="15" t="n">
        <v>4</v>
      </c>
      <c r="K118" s="15" t="n">
        <v>5</v>
      </c>
      <c r="L118" s="16" t="n">
        <v>1.947</v>
      </c>
      <c r="M118" s="16" t="n">
        <v>3.821</v>
      </c>
      <c r="N118" s="15" t="n">
        <v>1</v>
      </c>
      <c r="O118" s="15" t="n">
        <v>1</v>
      </c>
      <c r="P118" s="15" t="n">
        <v>1</v>
      </c>
      <c r="Q118" s="15" t="n">
        <v>1</v>
      </c>
    </row>
    <row r="119" customFormat="false" ht="15" hidden="false" customHeight="false" outlineLevel="0" collapsed="false">
      <c r="A119" s="15" t="n">
        <v>115</v>
      </c>
      <c r="B119" s="16" t="n">
        <v>11.767</v>
      </c>
      <c r="C119" s="15" t="n">
        <v>5</v>
      </c>
      <c r="D119" s="15" t="n">
        <v>4</v>
      </c>
      <c r="E119" s="15" t="n">
        <v>2</v>
      </c>
      <c r="F119" s="15" t="n">
        <v>4</v>
      </c>
      <c r="G119" s="15" t="n">
        <v>3</v>
      </c>
      <c r="H119" s="15" t="n">
        <v>4</v>
      </c>
      <c r="I119" s="15" t="n">
        <v>1</v>
      </c>
      <c r="J119" s="15" t="n">
        <v>4</v>
      </c>
      <c r="K119" s="15" t="n">
        <v>5</v>
      </c>
      <c r="L119" s="16" t="n">
        <v>1.959</v>
      </c>
      <c r="M119" s="16" t="n">
        <v>4</v>
      </c>
      <c r="N119" s="15" t="n">
        <v>1</v>
      </c>
      <c r="O119" s="15" t="n">
        <v>1</v>
      </c>
      <c r="P119" s="15" t="n">
        <v>1</v>
      </c>
      <c r="Q119" s="15" t="n">
        <v>1</v>
      </c>
    </row>
    <row r="120" customFormat="false" ht="15" hidden="false" customHeight="false" outlineLevel="0" collapsed="false">
      <c r="A120" s="15" t="n">
        <v>116</v>
      </c>
      <c r="B120" s="16" t="n">
        <v>11.868</v>
      </c>
      <c r="C120" s="15" t="n">
        <v>5</v>
      </c>
      <c r="D120" s="15" t="n">
        <v>4</v>
      </c>
      <c r="E120" s="15" t="n">
        <v>2</v>
      </c>
      <c r="F120" s="15" t="n">
        <v>4</v>
      </c>
      <c r="G120" s="15" t="n">
        <v>3</v>
      </c>
      <c r="H120" s="15" t="n">
        <v>4</v>
      </c>
      <c r="I120" s="15" t="n">
        <v>1</v>
      </c>
      <c r="J120" s="15" t="n">
        <v>4</v>
      </c>
      <c r="K120" s="15" t="n">
        <v>5</v>
      </c>
      <c r="L120" s="16" t="n">
        <v>2.249</v>
      </c>
      <c r="M120" s="16" t="n">
        <v>3.965</v>
      </c>
      <c r="N120" s="15" t="n">
        <v>1</v>
      </c>
      <c r="O120" s="15" t="n">
        <v>1</v>
      </c>
      <c r="P120" s="15" t="n">
        <v>1</v>
      </c>
      <c r="Q120" s="15" t="n">
        <v>1</v>
      </c>
    </row>
    <row r="121" customFormat="false" ht="15" hidden="false" customHeight="false" outlineLevel="0" collapsed="false">
      <c r="A121" s="15" t="n">
        <v>117</v>
      </c>
      <c r="B121" s="16" t="n">
        <v>11.968</v>
      </c>
      <c r="C121" s="15" t="n">
        <v>5</v>
      </c>
      <c r="D121" s="15" t="n">
        <v>4</v>
      </c>
      <c r="E121" s="15" t="n">
        <v>3</v>
      </c>
      <c r="F121" s="15" t="n">
        <v>3</v>
      </c>
      <c r="G121" s="15" t="n">
        <v>3</v>
      </c>
      <c r="H121" s="15" t="n">
        <v>4</v>
      </c>
      <c r="I121" s="15" t="n">
        <v>1</v>
      </c>
      <c r="J121" s="15" t="n">
        <v>4</v>
      </c>
      <c r="K121" s="15" t="n">
        <v>5</v>
      </c>
      <c r="L121" s="16" t="n">
        <v>2.636</v>
      </c>
      <c r="M121" s="16" t="n">
        <v>3.148</v>
      </c>
      <c r="N121" s="15" t="n">
        <v>1</v>
      </c>
      <c r="O121" s="15" t="n">
        <v>1</v>
      </c>
      <c r="P121" s="15" t="n">
        <v>1</v>
      </c>
      <c r="Q121" s="15" t="n">
        <v>2</v>
      </c>
    </row>
    <row r="122" customFormat="false" ht="15" hidden="false" customHeight="false" outlineLevel="0" collapsed="false">
      <c r="A122" s="15" t="n">
        <v>118</v>
      </c>
      <c r="B122" s="16" t="n">
        <v>12.067</v>
      </c>
      <c r="C122" s="15" t="n">
        <v>5</v>
      </c>
      <c r="D122" s="15" t="n">
        <v>4</v>
      </c>
      <c r="E122" s="15" t="n">
        <v>3</v>
      </c>
      <c r="F122" s="15" t="n">
        <v>3</v>
      </c>
      <c r="G122" s="15" t="n">
        <v>3</v>
      </c>
      <c r="H122" s="15" t="n">
        <v>4</v>
      </c>
      <c r="I122" s="15" t="n">
        <v>1</v>
      </c>
      <c r="J122" s="15" t="n">
        <v>4</v>
      </c>
      <c r="K122" s="15" t="n">
        <v>5</v>
      </c>
      <c r="L122" s="16" t="n">
        <v>3.419</v>
      </c>
      <c r="M122" s="16" t="n">
        <v>2.559</v>
      </c>
      <c r="N122" s="15" t="n">
        <v>1</v>
      </c>
      <c r="O122" s="15" t="n">
        <v>1</v>
      </c>
      <c r="P122" s="15" t="n">
        <v>1</v>
      </c>
      <c r="Q122" s="15" t="n">
        <v>3</v>
      </c>
    </row>
    <row r="123" customFormat="false" ht="15" hidden="false" customHeight="false" outlineLevel="0" collapsed="false">
      <c r="A123" s="15" t="n">
        <v>119</v>
      </c>
      <c r="B123" s="16" t="n">
        <v>12.164</v>
      </c>
      <c r="C123" s="15" t="n">
        <v>5</v>
      </c>
      <c r="D123" s="15" t="n">
        <v>4</v>
      </c>
      <c r="E123" s="15" t="n">
        <v>2</v>
      </c>
      <c r="F123" s="15" t="n">
        <v>4</v>
      </c>
      <c r="G123" s="15" t="n">
        <v>3</v>
      </c>
      <c r="H123" s="15" t="n">
        <v>4</v>
      </c>
      <c r="I123" s="15" t="n">
        <v>1</v>
      </c>
      <c r="J123" s="15" t="n">
        <v>4</v>
      </c>
      <c r="K123" s="15" t="n">
        <v>5</v>
      </c>
      <c r="L123" s="16" t="n">
        <v>3.598</v>
      </c>
      <c r="M123" s="16" t="n">
        <v>2.414</v>
      </c>
      <c r="N123" s="15" t="n">
        <v>1</v>
      </c>
      <c r="O123" s="15" t="n">
        <v>1</v>
      </c>
      <c r="P123" s="15" t="n">
        <v>1</v>
      </c>
      <c r="Q123" s="15" t="n">
        <v>3</v>
      </c>
    </row>
    <row r="124" customFormat="false" ht="15" hidden="false" customHeight="false" outlineLevel="0" collapsed="false">
      <c r="A124" s="15" t="n">
        <v>120</v>
      </c>
      <c r="B124" s="16" t="n">
        <v>12.261</v>
      </c>
      <c r="C124" s="15" t="n">
        <v>5</v>
      </c>
      <c r="D124" s="15" t="n">
        <v>4</v>
      </c>
      <c r="E124" s="15" t="n">
        <v>2</v>
      </c>
      <c r="F124" s="15" t="n">
        <v>4</v>
      </c>
      <c r="G124" s="15" t="n">
        <v>3</v>
      </c>
      <c r="H124" s="15" t="n">
        <v>4</v>
      </c>
      <c r="I124" s="15" t="n">
        <v>1</v>
      </c>
      <c r="J124" s="15" t="n">
        <v>4</v>
      </c>
      <c r="K124" s="15" t="n">
        <v>5</v>
      </c>
      <c r="L124" s="16" t="n">
        <v>3.761</v>
      </c>
      <c r="M124" s="16" t="n">
        <v>2.212</v>
      </c>
      <c r="N124" s="15" t="n">
        <v>1</v>
      </c>
      <c r="O124" s="15" t="n">
        <v>1</v>
      </c>
      <c r="P124" s="15" t="n">
        <v>1</v>
      </c>
      <c r="Q124" s="15" t="n">
        <v>4</v>
      </c>
    </row>
    <row r="125" customFormat="false" ht="15" hidden="false" customHeight="false" outlineLevel="0" collapsed="false">
      <c r="A125" s="15" t="n">
        <v>121</v>
      </c>
      <c r="B125" s="16" t="n">
        <v>12.357</v>
      </c>
      <c r="C125" s="15" t="n">
        <v>5</v>
      </c>
      <c r="D125" s="15" t="n">
        <v>4</v>
      </c>
      <c r="E125" s="15" t="n">
        <v>2</v>
      </c>
      <c r="F125" s="15" t="n">
        <v>4</v>
      </c>
      <c r="G125" s="15" t="n">
        <v>3</v>
      </c>
      <c r="H125" s="15" t="n">
        <v>4</v>
      </c>
      <c r="I125" s="15" t="n">
        <v>1</v>
      </c>
      <c r="J125" s="15" t="n">
        <v>4</v>
      </c>
      <c r="K125" s="15" t="n">
        <v>5</v>
      </c>
      <c r="L125" s="16" t="n">
        <v>3.858</v>
      </c>
      <c r="M125" s="16" t="n">
        <v>2.02</v>
      </c>
      <c r="N125" s="15" t="n">
        <v>1</v>
      </c>
      <c r="O125" s="15" t="n">
        <v>1</v>
      </c>
      <c r="P125" s="15" t="n">
        <v>1</v>
      </c>
      <c r="Q125" s="15" t="n">
        <v>5</v>
      </c>
    </row>
    <row r="126" customFormat="false" ht="15" hidden="false" customHeight="false" outlineLevel="0" collapsed="false">
      <c r="A126" s="15" t="n">
        <v>122</v>
      </c>
      <c r="B126" s="16" t="n">
        <v>12.451</v>
      </c>
      <c r="C126" s="15" t="n">
        <v>5</v>
      </c>
      <c r="D126" s="15" t="n">
        <v>4</v>
      </c>
      <c r="E126" s="15" t="n">
        <v>2</v>
      </c>
      <c r="F126" s="15" t="n">
        <v>4</v>
      </c>
      <c r="G126" s="15" t="n">
        <v>3</v>
      </c>
      <c r="H126" s="15" t="n">
        <v>4</v>
      </c>
      <c r="I126" s="15" t="n">
        <v>1</v>
      </c>
      <c r="J126" s="15" t="n">
        <v>4</v>
      </c>
      <c r="K126" s="15" t="n">
        <v>5</v>
      </c>
      <c r="L126" s="16" t="n">
        <v>3.502</v>
      </c>
      <c r="M126" s="16" t="n">
        <v>2.256</v>
      </c>
      <c r="N126" s="15" t="n">
        <v>1</v>
      </c>
      <c r="O126" s="15" t="n">
        <v>1</v>
      </c>
      <c r="P126" s="15" t="n">
        <v>1</v>
      </c>
      <c r="Q126" s="15" t="n">
        <v>4</v>
      </c>
    </row>
    <row r="127" customFormat="false" ht="15" hidden="false" customHeight="false" outlineLevel="0" collapsed="false">
      <c r="A127" s="15" t="n">
        <v>123</v>
      </c>
      <c r="B127" s="16" t="n">
        <v>12.546</v>
      </c>
      <c r="C127" s="15" t="n">
        <v>5</v>
      </c>
      <c r="D127" s="15" t="n">
        <v>4</v>
      </c>
      <c r="E127" s="15" t="n">
        <v>3</v>
      </c>
      <c r="F127" s="15" t="n">
        <v>4</v>
      </c>
      <c r="G127" s="15" t="n">
        <v>3</v>
      </c>
      <c r="H127" s="15" t="n">
        <v>4</v>
      </c>
      <c r="I127" s="15" t="n">
        <v>1</v>
      </c>
      <c r="J127" s="15" t="n">
        <v>4</v>
      </c>
      <c r="K127" s="15" t="n">
        <v>5</v>
      </c>
      <c r="L127" s="16" t="n">
        <v>2.976</v>
      </c>
      <c r="M127" s="16" t="n">
        <v>2.817</v>
      </c>
      <c r="N127" s="15" t="n">
        <v>1</v>
      </c>
      <c r="O127" s="15" t="n">
        <v>1</v>
      </c>
      <c r="P127" s="15" t="n">
        <v>1</v>
      </c>
      <c r="Q127" s="15" t="n">
        <v>5</v>
      </c>
    </row>
    <row r="128" customFormat="false" ht="15" hidden="false" customHeight="false" outlineLevel="0" collapsed="false">
      <c r="A128" s="15" t="n">
        <v>124</v>
      </c>
      <c r="B128" s="16" t="n">
        <v>12.64</v>
      </c>
      <c r="C128" s="15" t="n">
        <v>5</v>
      </c>
      <c r="D128" s="15" t="n">
        <v>4</v>
      </c>
      <c r="E128" s="15" t="n">
        <v>3</v>
      </c>
      <c r="F128" s="15" t="n">
        <v>4</v>
      </c>
      <c r="G128" s="15" t="n">
        <v>3</v>
      </c>
      <c r="H128" s="15" t="n">
        <v>4</v>
      </c>
      <c r="I128" s="15" t="n">
        <v>1</v>
      </c>
      <c r="J128" s="15" t="n">
        <v>4</v>
      </c>
      <c r="K128" s="15" t="n">
        <v>5</v>
      </c>
      <c r="L128" s="16" t="n">
        <v>1.761</v>
      </c>
      <c r="M128" s="16" t="n">
        <v>3.583</v>
      </c>
      <c r="N128" s="15" t="n">
        <v>1</v>
      </c>
      <c r="O128" s="15" t="n">
        <v>1</v>
      </c>
      <c r="P128" s="15" t="n">
        <v>1</v>
      </c>
      <c r="Q128" s="15" t="n">
        <v>1</v>
      </c>
    </row>
    <row r="129" customFormat="false" ht="15" hidden="false" customHeight="false" outlineLevel="0" collapsed="false">
      <c r="A129" s="15" t="n">
        <v>125</v>
      </c>
      <c r="B129" s="16" t="n">
        <v>12.736</v>
      </c>
      <c r="C129" s="15" t="n">
        <v>5</v>
      </c>
      <c r="D129" s="15" t="n">
        <v>4</v>
      </c>
      <c r="E129" s="15" t="n">
        <v>4</v>
      </c>
      <c r="F129" s="15" t="n">
        <v>4</v>
      </c>
      <c r="G129" s="15" t="n">
        <v>3</v>
      </c>
      <c r="H129" s="15" t="n">
        <v>4</v>
      </c>
      <c r="I129" s="15" t="n">
        <v>1</v>
      </c>
      <c r="J129" s="15" t="n">
        <v>4</v>
      </c>
      <c r="K129" s="15" t="n">
        <v>5</v>
      </c>
      <c r="L129" s="16" t="n">
        <v>1.1</v>
      </c>
      <c r="M129" s="16" t="n">
        <v>4</v>
      </c>
      <c r="N129" s="15" t="n">
        <v>1</v>
      </c>
      <c r="O129" s="15" t="n">
        <v>1</v>
      </c>
      <c r="P129" s="15" t="n">
        <v>1</v>
      </c>
      <c r="Q129" s="15" t="n">
        <v>1</v>
      </c>
    </row>
    <row r="130" customFormat="false" ht="15" hidden="false" customHeight="false" outlineLevel="0" collapsed="false">
      <c r="A130" s="15" t="n">
        <v>126</v>
      </c>
      <c r="B130" s="16" t="n">
        <v>12.832</v>
      </c>
      <c r="C130" s="15" t="n">
        <v>5</v>
      </c>
      <c r="D130" s="15" t="n">
        <v>4</v>
      </c>
      <c r="E130" s="15" t="n">
        <v>4</v>
      </c>
      <c r="F130" s="15" t="n">
        <v>3</v>
      </c>
      <c r="G130" s="15" t="n">
        <v>3</v>
      </c>
      <c r="H130" s="15" t="n">
        <v>4</v>
      </c>
      <c r="I130" s="15" t="n">
        <v>1</v>
      </c>
      <c r="J130" s="15" t="n">
        <v>4</v>
      </c>
      <c r="K130" s="15" t="n">
        <v>5</v>
      </c>
      <c r="L130" s="16" t="n">
        <v>1.04</v>
      </c>
      <c r="M130" s="16" t="n">
        <v>4</v>
      </c>
      <c r="N130" s="15" t="n">
        <v>1</v>
      </c>
      <c r="O130" s="15" t="n">
        <v>1</v>
      </c>
      <c r="P130" s="15" t="n">
        <v>1</v>
      </c>
      <c r="Q130" s="15" t="n">
        <v>1</v>
      </c>
    </row>
    <row r="131" customFormat="false" ht="15" hidden="false" customHeight="false" outlineLevel="0" collapsed="false">
      <c r="A131" s="15" t="n">
        <v>127</v>
      </c>
      <c r="B131" s="16" t="n">
        <v>12.93</v>
      </c>
      <c r="C131" s="15" t="n">
        <v>5</v>
      </c>
      <c r="D131" s="15" t="n">
        <v>4</v>
      </c>
      <c r="E131" s="15" t="n">
        <v>5</v>
      </c>
      <c r="F131" s="15" t="n">
        <v>3</v>
      </c>
      <c r="G131" s="15" t="n">
        <v>3</v>
      </c>
      <c r="H131" s="15" t="n">
        <v>4</v>
      </c>
      <c r="I131" s="15" t="n">
        <v>2</v>
      </c>
      <c r="J131" s="15" t="n">
        <v>4</v>
      </c>
      <c r="K131" s="15" t="n">
        <v>5</v>
      </c>
      <c r="L131" s="16" t="n">
        <v>1.02</v>
      </c>
      <c r="M131" s="16" t="n">
        <v>4</v>
      </c>
      <c r="N131" s="15" t="n">
        <v>1</v>
      </c>
      <c r="O131" s="15" t="n">
        <v>1</v>
      </c>
      <c r="P131" s="15" t="n">
        <v>1</v>
      </c>
      <c r="Q131" s="15" t="n">
        <v>1</v>
      </c>
    </row>
    <row r="132" customFormat="false" ht="15" hidden="false" customHeight="false" outlineLevel="0" collapsed="false">
      <c r="A132" s="15" t="n">
        <v>128</v>
      </c>
      <c r="B132" s="16" t="n">
        <v>13.031</v>
      </c>
      <c r="C132" s="15" t="n">
        <v>5</v>
      </c>
      <c r="D132" s="15" t="n">
        <v>4</v>
      </c>
      <c r="E132" s="15" t="n">
        <v>5</v>
      </c>
      <c r="F132" s="15" t="n">
        <v>4</v>
      </c>
      <c r="G132" s="15" t="n">
        <v>3</v>
      </c>
      <c r="H132" s="15" t="n">
        <v>4</v>
      </c>
      <c r="I132" s="15" t="n">
        <v>2</v>
      </c>
      <c r="J132" s="15" t="n">
        <v>4</v>
      </c>
      <c r="K132" s="15" t="n">
        <v>5</v>
      </c>
      <c r="L132" s="16" t="n">
        <v>1.003</v>
      </c>
      <c r="M132" s="16" t="n">
        <v>3.887</v>
      </c>
      <c r="N132" s="15" t="n">
        <v>1</v>
      </c>
      <c r="O132" s="15" t="n">
        <v>1</v>
      </c>
      <c r="P132" s="15" t="n">
        <v>1</v>
      </c>
      <c r="Q132" s="15" t="n">
        <v>1</v>
      </c>
    </row>
    <row r="133" customFormat="false" ht="15" hidden="false" customHeight="false" outlineLevel="0" collapsed="false">
      <c r="A133" s="15" t="n">
        <v>129</v>
      </c>
      <c r="B133" s="16" t="n">
        <v>13.132</v>
      </c>
      <c r="C133" s="15" t="n">
        <v>5</v>
      </c>
      <c r="D133" s="15" t="n">
        <v>4</v>
      </c>
      <c r="E133" s="15" t="n">
        <v>5</v>
      </c>
      <c r="F133" s="15" t="n">
        <v>4</v>
      </c>
      <c r="G133" s="15" t="n">
        <v>3</v>
      </c>
      <c r="H133" s="15" t="n">
        <v>4</v>
      </c>
      <c r="I133" s="15" t="n">
        <v>2</v>
      </c>
      <c r="J133" s="15" t="n">
        <v>4</v>
      </c>
      <c r="K133" s="15" t="n">
        <v>5</v>
      </c>
      <c r="L133" s="16" t="n">
        <v>1</v>
      </c>
      <c r="M133" s="16" t="n">
        <v>2.961</v>
      </c>
      <c r="N133" s="15" t="n">
        <v>1</v>
      </c>
      <c r="O133" s="15" t="n">
        <v>1</v>
      </c>
      <c r="P133" s="15" t="n">
        <v>1</v>
      </c>
      <c r="Q133" s="15" t="n">
        <v>1</v>
      </c>
    </row>
    <row r="134" customFormat="false" ht="15" hidden="false" customHeight="false" outlineLevel="0" collapsed="false">
      <c r="A134" s="15" t="n">
        <v>130</v>
      </c>
      <c r="B134" s="16" t="n">
        <v>13.234</v>
      </c>
      <c r="C134" s="15" t="n">
        <v>5</v>
      </c>
      <c r="D134" s="15" t="n">
        <v>4</v>
      </c>
      <c r="E134" s="15" t="n">
        <v>4</v>
      </c>
      <c r="F134" s="15" t="n">
        <v>5</v>
      </c>
      <c r="G134" s="15" t="n">
        <v>4</v>
      </c>
      <c r="H134" s="15" t="n">
        <v>4</v>
      </c>
      <c r="I134" s="15" t="n">
        <v>2</v>
      </c>
      <c r="J134" s="15" t="n">
        <v>4</v>
      </c>
      <c r="K134" s="15" t="n">
        <v>5</v>
      </c>
      <c r="L134" s="16" t="n">
        <v>1.102</v>
      </c>
      <c r="M134" s="16" t="n">
        <v>3.271</v>
      </c>
      <c r="N134" s="15" t="n">
        <v>1</v>
      </c>
      <c r="O134" s="15" t="n">
        <v>1</v>
      </c>
      <c r="P134" s="15" t="n">
        <v>1</v>
      </c>
      <c r="Q134" s="15" t="n">
        <v>1</v>
      </c>
    </row>
    <row r="135" customFormat="false" ht="15" hidden="false" customHeight="false" outlineLevel="0" collapsed="false">
      <c r="A135" s="15" t="n">
        <v>131</v>
      </c>
      <c r="B135" s="16" t="n">
        <v>13.337</v>
      </c>
      <c r="C135" s="15" t="n">
        <v>5</v>
      </c>
      <c r="D135" s="15" t="n">
        <v>4</v>
      </c>
      <c r="E135" s="15" t="n">
        <v>4</v>
      </c>
      <c r="F135" s="15" t="n">
        <v>5</v>
      </c>
      <c r="G135" s="15" t="n">
        <v>4</v>
      </c>
      <c r="H135" s="15" t="n">
        <v>4</v>
      </c>
      <c r="I135" s="15" t="n">
        <v>3</v>
      </c>
      <c r="J135" s="15" t="n">
        <v>4</v>
      </c>
      <c r="K135" s="15" t="n">
        <v>5</v>
      </c>
      <c r="L135" s="16" t="n">
        <v>1.73</v>
      </c>
      <c r="M135" s="16" t="n">
        <v>3.401</v>
      </c>
      <c r="N135" s="15" t="n">
        <v>1</v>
      </c>
      <c r="O135" s="15" t="n">
        <v>1</v>
      </c>
      <c r="P135" s="15" t="n">
        <v>1</v>
      </c>
      <c r="Q135" s="15" t="n">
        <v>1</v>
      </c>
    </row>
    <row r="136" customFormat="false" ht="15" hidden="false" customHeight="false" outlineLevel="0" collapsed="false">
      <c r="A136" s="15" t="n">
        <v>132</v>
      </c>
      <c r="B136" s="16" t="n">
        <v>13.439</v>
      </c>
      <c r="C136" s="15" t="n">
        <v>5</v>
      </c>
      <c r="D136" s="15" t="n">
        <v>4</v>
      </c>
      <c r="E136" s="15" t="n">
        <v>5</v>
      </c>
      <c r="F136" s="15" t="n">
        <v>5</v>
      </c>
      <c r="G136" s="15" t="n">
        <v>4</v>
      </c>
      <c r="H136" s="15" t="n">
        <v>4</v>
      </c>
      <c r="I136" s="15" t="n">
        <v>3</v>
      </c>
      <c r="J136" s="15" t="n">
        <v>4</v>
      </c>
      <c r="K136" s="15" t="n">
        <v>5</v>
      </c>
      <c r="L136" s="16" t="n">
        <v>2.704</v>
      </c>
      <c r="M136" s="16" t="n">
        <v>2.879</v>
      </c>
      <c r="N136" s="15" t="n">
        <v>1</v>
      </c>
      <c r="O136" s="15" t="n">
        <v>1</v>
      </c>
      <c r="P136" s="15" t="n">
        <v>1</v>
      </c>
      <c r="Q136" s="15" t="n">
        <v>5</v>
      </c>
    </row>
    <row r="137" customFormat="false" ht="15" hidden="false" customHeight="false" outlineLevel="0" collapsed="false">
      <c r="A137" s="15" t="n">
        <v>133</v>
      </c>
      <c r="B137" s="16" t="n">
        <v>13.542</v>
      </c>
      <c r="C137" s="15" t="n">
        <v>5</v>
      </c>
      <c r="D137" s="15" t="n">
        <v>4</v>
      </c>
      <c r="E137" s="15" t="n">
        <v>5</v>
      </c>
      <c r="F137" s="15" t="n">
        <v>5</v>
      </c>
      <c r="G137" s="15" t="n">
        <v>4</v>
      </c>
      <c r="H137" s="15" t="n">
        <v>4</v>
      </c>
      <c r="I137" s="15" t="n">
        <v>4</v>
      </c>
      <c r="J137" s="15" t="n">
        <v>4</v>
      </c>
      <c r="K137" s="15" t="n">
        <v>5</v>
      </c>
      <c r="L137" s="16" t="n">
        <v>2.954</v>
      </c>
      <c r="M137" s="16" t="n">
        <v>2.579</v>
      </c>
      <c r="N137" s="15" t="n">
        <v>1</v>
      </c>
      <c r="O137" s="15" t="n">
        <v>1</v>
      </c>
      <c r="P137" s="15" t="n">
        <v>1</v>
      </c>
      <c r="Q137" s="15" t="n">
        <v>4</v>
      </c>
    </row>
    <row r="138" customFormat="false" ht="15" hidden="false" customHeight="false" outlineLevel="0" collapsed="false">
      <c r="A138" s="15" t="n">
        <v>134</v>
      </c>
      <c r="B138" s="16" t="n">
        <v>13.645</v>
      </c>
      <c r="C138" s="15" t="n">
        <v>5</v>
      </c>
      <c r="D138" s="15" t="n">
        <v>4</v>
      </c>
      <c r="E138" s="15" t="n">
        <v>5</v>
      </c>
      <c r="F138" s="15" t="n">
        <v>5</v>
      </c>
      <c r="G138" s="15" t="n">
        <v>4</v>
      </c>
      <c r="H138" s="15" t="n">
        <v>4</v>
      </c>
      <c r="I138" s="15" t="n">
        <v>4</v>
      </c>
      <c r="J138" s="15" t="n">
        <v>4</v>
      </c>
      <c r="K138" s="15" t="n">
        <v>5</v>
      </c>
      <c r="L138" s="16" t="n">
        <v>3.252</v>
      </c>
      <c r="M138" s="16" t="n">
        <v>2.391</v>
      </c>
      <c r="N138" s="15" t="n">
        <v>1</v>
      </c>
      <c r="O138" s="15" t="n">
        <v>1</v>
      </c>
      <c r="P138" s="15" t="n">
        <v>1</v>
      </c>
      <c r="Q138" s="15" t="n">
        <v>5</v>
      </c>
    </row>
    <row r="139" customFormat="false" ht="15" hidden="false" customHeight="false" outlineLevel="0" collapsed="false">
      <c r="A139" s="15" t="n">
        <v>135</v>
      </c>
      <c r="B139" s="16" t="n">
        <v>13.748</v>
      </c>
      <c r="C139" s="15" t="n">
        <v>5</v>
      </c>
      <c r="D139" s="15" t="n">
        <v>4</v>
      </c>
      <c r="E139" s="15" t="n">
        <v>5</v>
      </c>
      <c r="F139" s="15" t="n">
        <v>5</v>
      </c>
      <c r="G139" s="15" t="n">
        <v>4</v>
      </c>
      <c r="H139" s="15" t="n">
        <v>4</v>
      </c>
      <c r="I139" s="15" t="n">
        <v>5</v>
      </c>
      <c r="J139" s="15" t="n">
        <v>4</v>
      </c>
      <c r="K139" s="15" t="n">
        <v>5</v>
      </c>
      <c r="L139" s="16" t="n">
        <v>3.356</v>
      </c>
      <c r="M139" s="16" t="n">
        <v>2.241</v>
      </c>
      <c r="N139" s="15" t="n">
        <v>1</v>
      </c>
      <c r="O139" s="15" t="n">
        <v>1</v>
      </c>
      <c r="P139" s="15" t="n">
        <v>1</v>
      </c>
      <c r="Q139" s="15" t="n">
        <v>5</v>
      </c>
    </row>
    <row r="140" customFormat="false" ht="15" hidden="false" customHeight="false" outlineLevel="0" collapsed="false">
      <c r="A140" s="15" t="n">
        <v>136</v>
      </c>
      <c r="B140" s="16" t="n">
        <v>13.852</v>
      </c>
      <c r="C140" s="15" t="n">
        <v>5</v>
      </c>
      <c r="D140" s="15" t="n">
        <v>4</v>
      </c>
      <c r="E140" s="15" t="n">
        <v>5</v>
      </c>
      <c r="F140" s="15" t="n">
        <v>5</v>
      </c>
      <c r="G140" s="15" t="n">
        <v>4</v>
      </c>
      <c r="H140" s="15" t="n">
        <v>4</v>
      </c>
      <c r="I140" s="15" t="n">
        <v>5</v>
      </c>
      <c r="J140" s="15" t="n">
        <v>4</v>
      </c>
      <c r="K140" s="15" t="n">
        <v>5</v>
      </c>
      <c r="L140" s="16" t="n">
        <v>3.216</v>
      </c>
      <c r="M140" s="16" t="n">
        <v>2.368</v>
      </c>
      <c r="N140" s="15" t="n">
        <v>1</v>
      </c>
      <c r="O140" s="15" t="n">
        <v>1</v>
      </c>
      <c r="P140" s="15" t="n">
        <v>1</v>
      </c>
      <c r="Q140" s="15" t="n">
        <v>5</v>
      </c>
    </row>
    <row r="141" customFormat="false" ht="15" hidden="false" customHeight="false" outlineLevel="0" collapsed="false">
      <c r="A141" s="15" t="n">
        <v>137</v>
      </c>
      <c r="B141" s="16" t="n">
        <v>13.957</v>
      </c>
      <c r="C141" s="15" t="n">
        <v>5</v>
      </c>
      <c r="D141" s="15" t="n">
        <v>4</v>
      </c>
      <c r="E141" s="15" t="n">
        <v>4</v>
      </c>
      <c r="F141" s="15" t="n">
        <v>5</v>
      </c>
      <c r="G141" s="15" t="n">
        <v>4</v>
      </c>
      <c r="H141" s="15" t="n">
        <v>4</v>
      </c>
      <c r="I141" s="15" t="n">
        <v>5</v>
      </c>
      <c r="J141" s="15" t="n">
        <v>4</v>
      </c>
      <c r="K141" s="15" t="n">
        <v>5</v>
      </c>
      <c r="L141" s="16" t="n">
        <v>3.306</v>
      </c>
      <c r="M141" s="16" t="n">
        <v>2.424</v>
      </c>
      <c r="N141" s="15" t="n">
        <v>1</v>
      </c>
      <c r="O141" s="15" t="n">
        <v>1</v>
      </c>
      <c r="P141" s="15" t="n">
        <v>1</v>
      </c>
      <c r="Q141" s="15" t="n">
        <v>5</v>
      </c>
    </row>
    <row r="142" customFormat="false" ht="15" hidden="false" customHeight="false" outlineLevel="0" collapsed="false">
      <c r="A142" s="15" t="n">
        <v>138</v>
      </c>
      <c r="B142" s="16" t="n">
        <v>14.062</v>
      </c>
      <c r="C142" s="15" t="n">
        <v>5</v>
      </c>
      <c r="D142" s="15" t="n">
        <v>4</v>
      </c>
      <c r="E142" s="15" t="n">
        <v>4</v>
      </c>
      <c r="F142" s="15" t="n">
        <v>5</v>
      </c>
      <c r="G142" s="15" t="n">
        <v>4</v>
      </c>
      <c r="H142" s="15" t="n">
        <v>4</v>
      </c>
      <c r="I142" s="15" t="n">
        <v>5</v>
      </c>
      <c r="J142" s="15" t="n">
        <v>4</v>
      </c>
      <c r="K142" s="15" t="n">
        <v>5</v>
      </c>
      <c r="L142" s="16" t="n">
        <v>3.643</v>
      </c>
      <c r="M142" s="16" t="n">
        <v>2.174</v>
      </c>
      <c r="N142" s="15" t="n">
        <v>1</v>
      </c>
      <c r="O142" s="15" t="n">
        <v>1</v>
      </c>
      <c r="P142" s="15" t="n">
        <v>1</v>
      </c>
      <c r="Q142" s="15" t="n">
        <v>5</v>
      </c>
    </row>
    <row r="143" customFormat="false" ht="15" hidden="false" customHeight="false" outlineLevel="0" collapsed="false">
      <c r="A143" s="15" t="n">
        <v>139</v>
      </c>
      <c r="B143" s="16" t="n">
        <v>14.167</v>
      </c>
      <c r="C143" s="15" t="n">
        <v>5</v>
      </c>
      <c r="D143" s="15" t="n">
        <v>4</v>
      </c>
      <c r="E143" s="15" t="n">
        <v>4</v>
      </c>
      <c r="F143" s="15" t="n">
        <v>5</v>
      </c>
      <c r="G143" s="15" t="n">
        <v>4</v>
      </c>
      <c r="H143" s="15" t="n">
        <v>4</v>
      </c>
      <c r="I143" s="15" t="n">
        <v>2</v>
      </c>
      <c r="J143" s="15" t="n">
        <v>4</v>
      </c>
      <c r="K143" s="15" t="n">
        <v>5</v>
      </c>
      <c r="L143" s="16" t="n">
        <v>3.339</v>
      </c>
      <c r="M143" s="16" t="n">
        <v>2.313</v>
      </c>
      <c r="N143" s="15" t="n">
        <v>1</v>
      </c>
      <c r="O143" s="15" t="n">
        <v>1</v>
      </c>
      <c r="P143" s="15" t="n">
        <v>1</v>
      </c>
      <c r="Q143" s="15" t="n">
        <v>5</v>
      </c>
    </row>
    <row r="144" customFormat="false" ht="15" hidden="false" customHeight="false" outlineLevel="0" collapsed="false">
      <c r="A144" s="15" t="n">
        <v>140</v>
      </c>
      <c r="B144" s="16" t="n">
        <v>14.27</v>
      </c>
      <c r="C144" s="15" t="n">
        <v>5</v>
      </c>
      <c r="D144" s="15" t="n">
        <v>5</v>
      </c>
      <c r="E144" s="15" t="n">
        <v>4</v>
      </c>
      <c r="F144" s="15" t="n">
        <v>5</v>
      </c>
      <c r="G144" s="15" t="n">
        <v>4</v>
      </c>
      <c r="H144" s="15" t="n">
        <v>4</v>
      </c>
      <c r="I144" s="15" t="n">
        <v>2</v>
      </c>
      <c r="J144" s="15" t="n">
        <v>4</v>
      </c>
      <c r="K144" s="15" t="n">
        <v>5</v>
      </c>
      <c r="L144" s="16" t="n">
        <v>3.248</v>
      </c>
      <c r="M144" s="16" t="n">
        <v>2.298</v>
      </c>
      <c r="N144" s="15" t="n">
        <v>1</v>
      </c>
      <c r="O144" s="15" t="n">
        <v>1</v>
      </c>
      <c r="P144" s="15" t="n">
        <v>1</v>
      </c>
      <c r="Q144" s="15" t="n">
        <v>4</v>
      </c>
    </row>
    <row r="145" customFormat="false" ht="15" hidden="false" customHeight="false" outlineLevel="0" collapsed="false">
      <c r="A145" s="15" t="n">
        <v>141</v>
      </c>
      <c r="B145" s="16" t="n">
        <v>14.371</v>
      </c>
      <c r="C145" s="15" t="n">
        <v>5</v>
      </c>
      <c r="D145" s="15" t="n">
        <v>4</v>
      </c>
      <c r="E145" s="15" t="n">
        <v>4</v>
      </c>
      <c r="F145" s="15" t="n">
        <v>5</v>
      </c>
      <c r="G145" s="15" t="n">
        <v>4</v>
      </c>
      <c r="H145" s="15" t="n">
        <v>4</v>
      </c>
      <c r="I145" s="15" t="n">
        <v>1</v>
      </c>
      <c r="J145" s="15" t="n">
        <v>4</v>
      </c>
      <c r="K145" s="15" t="n">
        <v>5</v>
      </c>
      <c r="L145" s="16" t="n">
        <v>3.749</v>
      </c>
      <c r="M145" s="16" t="n">
        <v>2.163</v>
      </c>
      <c r="N145" s="15" t="n">
        <v>1</v>
      </c>
      <c r="O145" s="15" t="n">
        <v>1</v>
      </c>
      <c r="P145" s="15" t="n">
        <v>1</v>
      </c>
      <c r="Q145" s="15" t="n">
        <v>4</v>
      </c>
    </row>
    <row r="146" customFormat="false" ht="15" hidden="false" customHeight="false" outlineLevel="0" collapsed="false">
      <c r="A146" s="15" t="n">
        <v>142</v>
      </c>
      <c r="B146" s="16" t="n">
        <v>14.47</v>
      </c>
      <c r="C146" s="15" t="n">
        <v>5</v>
      </c>
      <c r="D146" s="15" t="n">
        <v>4</v>
      </c>
      <c r="E146" s="15" t="n">
        <v>4</v>
      </c>
      <c r="F146" s="15" t="n">
        <v>5</v>
      </c>
      <c r="G146" s="15" t="n">
        <v>4</v>
      </c>
      <c r="H146" s="15" t="n">
        <v>4</v>
      </c>
      <c r="I146" s="15" t="n">
        <v>1</v>
      </c>
      <c r="J146" s="15" t="n">
        <v>4</v>
      </c>
      <c r="K146" s="15" t="n">
        <v>5</v>
      </c>
      <c r="L146" s="16" t="n">
        <v>3.859</v>
      </c>
      <c r="M146" s="16" t="n">
        <v>2.154</v>
      </c>
      <c r="N146" s="15" t="n">
        <v>1</v>
      </c>
      <c r="O146" s="15" t="n">
        <v>1</v>
      </c>
      <c r="P146" s="15" t="n">
        <v>1</v>
      </c>
      <c r="Q146" s="15" t="n">
        <v>4</v>
      </c>
    </row>
    <row r="147" customFormat="false" ht="15" hidden="false" customHeight="false" outlineLevel="0" collapsed="false">
      <c r="A147" s="15" t="n">
        <v>143</v>
      </c>
      <c r="B147" s="16" t="n">
        <v>14.568</v>
      </c>
      <c r="C147" s="15" t="n">
        <v>5</v>
      </c>
      <c r="D147" s="15" t="n">
        <v>4</v>
      </c>
      <c r="E147" s="15" t="n">
        <v>4</v>
      </c>
      <c r="F147" s="15" t="n">
        <v>5</v>
      </c>
      <c r="G147" s="15" t="n">
        <v>4</v>
      </c>
      <c r="H147" s="15" t="n">
        <v>4</v>
      </c>
      <c r="I147" s="15" t="n">
        <v>1</v>
      </c>
      <c r="J147" s="15" t="n">
        <v>4</v>
      </c>
      <c r="K147" s="15" t="n">
        <v>5</v>
      </c>
      <c r="L147" s="16" t="n">
        <v>3.612</v>
      </c>
      <c r="M147" s="16" t="n">
        <v>2.061</v>
      </c>
      <c r="N147" s="15" t="n">
        <v>1</v>
      </c>
      <c r="O147" s="15" t="n">
        <v>1</v>
      </c>
      <c r="P147" s="15" t="n">
        <v>1</v>
      </c>
      <c r="Q147" s="15" t="n">
        <v>5</v>
      </c>
    </row>
    <row r="148" customFormat="false" ht="15" hidden="false" customHeight="false" outlineLevel="0" collapsed="false">
      <c r="A148" s="15" t="n">
        <v>144</v>
      </c>
      <c r="B148" s="16" t="n">
        <v>14.665</v>
      </c>
      <c r="C148" s="15" t="n">
        <v>5</v>
      </c>
      <c r="D148" s="15" t="n">
        <v>4</v>
      </c>
      <c r="E148" s="15" t="n">
        <v>4</v>
      </c>
      <c r="F148" s="15" t="n">
        <v>5</v>
      </c>
      <c r="G148" s="15" t="n">
        <v>4</v>
      </c>
      <c r="H148" s="15" t="n">
        <v>4</v>
      </c>
      <c r="I148" s="15" t="n">
        <v>1</v>
      </c>
      <c r="J148" s="15" t="n">
        <v>4</v>
      </c>
      <c r="K148" s="15" t="n">
        <v>5</v>
      </c>
      <c r="L148" s="16" t="n">
        <v>3.604</v>
      </c>
      <c r="M148" s="16" t="n">
        <v>2.004</v>
      </c>
      <c r="N148" s="15" t="n">
        <v>1</v>
      </c>
      <c r="O148" s="15" t="n">
        <v>1</v>
      </c>
      <c r="P148" s="15" t="n">
        <v>1</v>
      </c>
      <c r="Q148" s="15" t="n">
        <v>5</v>
      </c>
    </row>
    <row r="149" customFormat="false" ht="15" hidden="false" customHeight="false" outlineLevel="0" collapsed="false">
      <c r="A149" s="15" t="n">
        <v>145</v>
      </c>
      <c r="B149" s="16" t="n">
        <v>14.761</v>
      </c>
      <c r="C149" s="15" t="n">
        <v>5</v>
      </c>
      <c r="D149" s="15" t="n">
        <v>4</v>
      </c>
      <c r="E149" s="15" t="n">
        <v>4</v>
      </c>
      <c r="F149" s="15" t="n">
        <v>5</v>
      </c>
      <c r="G149" s="15" t="n">
        <v>4</v>
      </c>
      <c r="H149" s="15" t="n">
        <v>4</v>
      </c>
      <c r="I149" s="15" t="n">
        <v>1</v>
      </c>
      <c r="J149" s="15" t="n">
        <v>4</v>
      </c>
      <c r="K149" s="15" t="n">
        <v>5</v>
      </c>
      <c r="L149" s="16" t="n">
        <v>3.802</v>
      </c>
      <c r="M149" s="16" t="n">
        <v>2.122</v>
      </c>
      <c r="N149" s="15" t="n">
        <v>1</v>
      </c>
      <c r="O149" s="15" t="n">
        <v>1</v>
      </c>
      <c r="P149" s="15" t="n">
        <v>1</v>
      </c>
      <c r="Q149" s="15" t="n">
        <v>4</v>
      </c>
    </row>
    <row r="150" customFormat="false" ht="15" hidden="false" customHeight="false" outlineLevel="0" collapsed="false">
      <c r="A150" s="15" t="n">
        <v>146</v>
      </c>
      <c r="B150" s="16" t="n">
        <v>14.857</v>
      </c>
      <c r="C150" s="15" t="n">
        <v>5</v>
      </c>
      <c r="D150" s="15" t="n">
        <v>4</v>
      </c>
      <c r="E150" s="15" t="n">
        <v>4</v>
      </c>
      <c r="F150" s="15" t="n">
        <v>5</v>
      </c>
      <c r="G150" s="15" t="n">
        <v>4</v>
      </c>
      <c r="H150" s="15" t="n">
        <v>4</v>
      </c>
      <c r="I150" s="15" t="n">
        <v>1</v>
      </c>
      <c r="J150" s="15" t="n">
        <v>4</v>
      </c>
      <c r="K150" s="15" t="n">
        <v>5</v>
      </c>
      <c r="L150" s="16" t="n">
        <v>3.908</v>
      </c>
      <c r="M150" s="16" t="n">
        <v>2.016</v>
      </c>
      <c r="N150" s="15" t="n">
        <v>1</v>
      </c>
      <c r="O150" s="15" t="n">
        <v>1</v>
      </c>
      <c r="P150" s="15" t="n">
        <v>1</v>
      </c>
      <c r="Q150" s="15" t="n">
        <v>5</v>
      </c>
    </row>
    <row r="151" customFormat="false" ht="15" hidden="false" customHeight="false" outlineLevel="0" collapsed="false">
      <c r="A151" s="15" t="n">
        <v>147</v>
      </c>
      <c r="B151" s="16" t="n">
        <v>14.954</v>
      </c>
      <c r="C151" s="15" t="n">
        <v>5</v>
      </c>
      <c r="D151" s="15" t="n">
        <v>4</v>
      </c>
      <c r="E151" s="15" t="n">
        <v>4</v>
      </c>
      <c r="F151" s="15" t="n">
        <v>5</v>
      </c>
      <c r="G151" s="15" t="n">
        <v>4</v>
      </c>
      <c r="H151" s="15" t="n">
        <v>4</v>
      </c>
      <c r="I151" s="15" t="n">
        <v>1</v>
      </c>
      <c r="J151" s="15" t="n">
        <v>4</v>
      </c>
      <c r="K151" s="15" t="n">
        <v>5</v>
      </c>
      <c r="L151" s="16" t="n">
        <v>3.91</v>
      </c>
      <c r="M151" s="16" t="n">
        <v>2.08</v>
      </c>
      <c r="N151" s="15" t="n">
        <v>1</v>
      </c>
      <c r="O151" s="15" t="n">
        <v>1</v>
      </c>
      <c r="P151" s="15" t="n">
        <v>1</v>
      </c>
      <c r="Q151" s="15" t="n">
        <v>4</v>
      </c>
    </row>
    <row r="152" customFormat="false" ht="15" hidden="false" customHeight="false" outlineLevel="0" collapsed="false">
      <c r="A152" s="15" t="n">
        <v>148</v>
      </c>
      <c r="B152" s="16" t="n">
        <v>15.052</v>
      </c>
      <c r="C152" s="15" t="n">
        <v>5</v>
      </c>
      <c r="D152" s="15" t="n">
        <v>5</v>
      </c>
      <c r="E152" s="15" t="n">
        <v>4</v>
      </c>
      <c r="F152" s="15" t="n">
        <v>5</v>
      </c>
      <c r="G152" s="15" t="n">
        <v>4</v>
      </c>
      <c r="H152" s="15" t="n">
        <v>4</v>
      </c>
      <c r="I152" s="15" t="n">
        <v>1</v>
      </c>
      <c r="J152" s="15" t="n">
        <v>4</v>
      </c>
      <c r="K152" s="15" t="n">
        <v>5</v>
      </c>
      <c r="L152" s="16" t="n">
        <v>2.863</v>
      </c>
      <c r="M152" s="16" t="n">
        <v>2.77</v>
      </c>
      <c r="N152" s="15" t="n">
        <v>1</v>
      </c>
      <c r="O152" s="15" t="n">
        <v>1</v>
      </c>
      <c r="P152" s="15" t="n">
        <v>1</v>
      </c>
      <c r="Q152" s="15" t="n">
        <v>4</v>
      </c>
    </row>
    <row r="153" customFormat="false" ht="15" hidden="false" customHeight="false" outlineLevel="0" collapsed="false">
      <c r="A153" s="15" t="n">
        <v>149</v>
      </c>
      <c r="B153" s="16" t="n">
        <v>15.151</v>
      </c>
      <c r="C153" s="15" t="n">
        <v>5</v>
      </c>
      <c r="D153" s="15" t="n">
        <v>4</v>
      </c>
      <c r="E153" s="15" t="n">
        <v>4</v>
      </c>
      <c r="F153" s="15" t="n">
        <v>5</v>
      </c>
      <c r="G153" s="15" t="n">
        <v>4</v>
      </c>
      <c r="H153" s="15" t="n">
        <v>4</v>
      </c>
      <c r="I153" s="15" t="n">
        <v>1</v>
      </c>
      <c r="J153" s="15" t="n">
        <v>4</v>
      </c>
      <c r="K153" s="15" t="n">
        <v>5</v>
      </c>
      <c r="L153" s="16" t="n">
        <v>2.067</v>
      </c>
      <c r="M153" s="16" t="n">
        <v>3.206</v>
      </c>
      <c r="N153" s="15" t="n">
        <v>1</v>
      </c>
      <c r="O153" s="15" t="n">
        <v>1</v>
      </c>
      <c r="P153" s="15" t="n">
        <v>1</v>
      </c>
      <c r="Q153" s="15" t="n">
        <v>1</v>
      </c>
    </row>
    <row r="154" customFormat="false" ht="15" hidden="false" customHeight="false" outlineLevel="0" collapsed="false">
      <c r="A154" s="15" t="n">
        <v>150</v>
      </c>
      <c r="B154" s="16" t="n">
        <v>15.251</v>
      </c>
      <c r="C154" s="15" t="n">
        <v>5</v>
      </c>
      <c r="D154" s="15" t="n">
        <v>4</v>
      </c>
      <c r="E154" s="15" t="n">
        <v>4</v>
      </c>
      <c r="F154" s="15" t="n">
        <v>5</v>
      </c>
      <c r="G154" s="15" t="n">
        <v>4</v>
      </c>
      <c r="H154" s="15" t="n">
        <v>4</v>
      </c>
      <c r="I154" s="15" t="n">
        <v>1</v>
      </c>
      <c r="J154" s="15" t="n">
        <v>4</v>
      </c>
      <c r="K154" s="15" t="n">
        <v>5</v>
      </c>
      <c r="L154" s="16" t="n">
        <v>2.758</v>
      </c>
      <c r="M154" s="16" t="n">
        <v>2.961</v>
      </c>
      <c r="N154" s="15" t="n">
        <v>1</v>
      </c>
      <c r="O154" s="15" t="n">
        <v>1</v>
      </c>
      <c r="P154" s="15" t="n">
        <v>1</v>
      </c>
      <c r="Q154" s="15" t="n">
        <v>3</v>
      </c>
    </row>
    <row r="155" customFormat="false" ht="15" hidden="false" customHeight="false" outlineLevel="0" collapsed="false">
      <c r="A155" s="15" t="n">
        <v>151</v>
      </c>
      <c r="B155" s="16" t="n">
        <v>15.352</v>
      </c>
      <c r="C155" s="15" t="n">
        <v>5</v>
      </c>
      <c r="D155" s="15" t="n">
        <v>4</v>
      </c>
      <c r="E155" s="15" t="n">
        <v>4</v>
      </c>
      <c r="F155" s="15" t="n">
        <v>5</v>
      </c>
      <c r="G155" s="15" t="n">
        <v>4</v>
      </c>
      <c r="H155" s="15" t="n">
        <v>4</v>
      </c>
      <c r="I155" s="15" t="n">
        <v>1</v>
      </c>
      <c r="J155" s="15" t="n">
        <v>4</v>
      </c>
      <c r="K155" s="15" t="n">
        <v>5</v>
      </c>
      <c r="L155" s="16" t="n">
        <v>2.99</v>
      </c>
      <c r="M155" s="16" t="n">
        <v>2.59</v>
      </c>
      <c r="N155" s="15" t="n">
        <v>1</v>
      </c>
      <c r="O155" s="15" t="n">
        <v>1</v>
      </c>
      <c r="P155" s="15" t="n">
        <v>1</v>
      </c>
      <c r="Q155" s="15" t="n">
        <v>3</v>
      </c>
    </row>
    <row r="156" customFormat="false" ht="15" hidden="false" customHeight="false" outlineLevel="0" collapsed="false">
      <c r="A156" s="15" t="n">
        <v>152</v>
      </c>
      <c r="B156" s="16" t="n">
        <v>15.454</v>
      </c>
      <c r="C156" s="15" t="n">
        <v>5</v>
      </c>
      <c r="D156" s="15" t="n">
        <v>4</v>
      </c>
      <c r="E156" s="15" t="n">
        <v>4</v>
      </c>
      <c r="F156" s="15" t="n">
        <v>5</v>
      </c>
      <c r="G156" s="15" t="n">
        <v>4</v>
      </c>
      <c r="H156" s="15" t="n">
        <v>4</v>
      </c>
      <c r="I156" s="15" t="n">
        <v>1</v>
      </c>
      <c r="J156" s="15" t="n">
        <v>4</v>
      </c>
      <c r="K156" s="15" t="n">
        <v>5</v>
      </c>
      <c r="L156" s="16" t="n">
        <v>3.369</v>
      </c>
      <c r="M156" s="16" t="n">
        <v>2.473</v>
      </c>
      <c r="N156" s="15" t="n">
        <v>1</v>
      </c>
      <c r="O156" s="15" t="n">
        <v>1</v>
      </c>
      <c r="P156" s="15" t="n">
        <v>1</v>
      </c>
      <c r="Q156" s="15" t="n">
        <v>4</v>
      </c>
    </row>
    <row r="157" customFormat="false" ht="15" hidden="false" customHeight="false" outlineLevel="0" collapsed="false">
      <c r="A157" s="15" t="n">
        <v>153</v>
      </c>
      <c r="B157" s="16" t="n">
        <v>15.555</v>
      </c>
      <c r="C157" s="15" t="n">
        <v>5</v>
      </c>
      <c r="D157" s="15" t="n">
        <v>4</v>
      </c>
      <c r="E157" s="15" t="n">
        <v>4</v>
      </c>
      <c r="F157" s="15" t="n">
        <v>5</v>
      </c>
      <c r="G157" s="15" t="n">
        <v>4</v>
      </c>
      <c r="H157" s="15" t="n">
        <v>4</v>
      </c>
      <c r="I157" s="15" t="n">
        <v>1</v>
      </c>
      <c r="J157" s="15" t="n">
        <v>4</v>
      </c>
      <c r="K157" s="15" t="n">
        <v>5</v>
      </c>
      <c r="L157" s="16" t="n">
        <v>3.725</v>
      </c>
      <c r="M157" s="16" t="n">
        <v>2.148</v>
      </c>
      <c r="N157" s="15" t="n">
        <v>1</v>
      </c>
      <c r="O157" s="15" t="n">
        <v>1</v>
      </c>
      <c r="P157" s="15" t="n">
        <v>1</v>
      </c>
      <c r="Q157" s="15" t="n">
        <v>5</v>
      </c>
    </row>
    <row r="158" customFormat="false" ht="15" hidden="false" customHeight="false" outlineLevel="0" collapsed="false">
      <c r="A158" s="15" t="n">
        <v>154</v>
      </c>
      <c r="B158" s="16" t="n">
        <v>15.657</v>
      </c>
      <c r="C158" s="15" t="n">
        <v>5</v>
      </c>
      <c r="D158" s="15" t="n">
        <v>4</v>
      </c>
      <c r="E158" s="15" t="n">
        <v>4</v>
      </c>
      <c r="F158" s="15" t="n">
        <v>5</v>
      </c>
      <c r="G158" s="15" t="n">
        <v>4</v>
      </c>
      <c r="H158" s="15" t="n">
        <v>4</v>
      </c>
      <c r="I158" s="15" t="n">
        <v>1</v>
      </c>
      <c r="J158" s="15" t="n">
        <v>4</v>
      </c>
      <c r="K158" s="15" t="n">
        <v>5</v>
      </c>
      <c r="L158" s="16" t="n">
        <v>3.675</v>
      </c>
      <c r="M158" s="16" t="n">
        <v>2.094</v>
      </c>
      <c r="N158" s="15" t="n">
        <v>1</v>
      </c>
      <c r="O158" s="15" t="n">
        <v>1</v>
      </c>
      <c r="P158" s="15" t="n">
        <v>1</v>
      </c>
      <c r="Q158" s="15" t="n">
        <v>3</v>
      </c>
    </row>
    <row r="159" customFormat="false" ht="15" hidden="false" customHeight="false" outlineLevel="0" collapsed="false">
      <c r="A159" s="15" t="n">
        <v>155</v>
      </c>
      <c r="B159" s="16" t="n">
        <v>15.758</v>
      </c>
      <c r="C159" s="15" t="n">
        <v>5</v>
      </c>
      <c r="D159" s="15" t="n">
        <v>4</v>
      </c>
      <c r="E159" s="15" t="n">
        <v>4</v>
      </c>
      <c r="F159" s="15" t="n">
        <v>5</v>
      </c>
      <c r="G159" s="15" t="n">
        <v>4</v>
      </c>
      <c r="H159" s="15" t="n">
        <v>4</v>
      </c>
      <c r="I159" s="15" t="n">
        <v>1</v>
      </c>
      <c r="J159" s="15" t="n">
        <v>4</v>
      </c>
      <c r="K159" s="15" t="n">
        <v>5</v>
      </c>
      <c r="L159" s="16" t="n">
        <v>2.995</v>
      </c>
      <c r="M159" s="16" t="n">
        <v>2.559</v>
      </c>
      <c r="N159" s="15" t="n">
        <v>1</v>
      </c>
      <c r="O159" s="15" t="n">
        <v>1</v>
      </c>
      <c r="P159" s="15" t="n">
        <v>1</v>
      </c>
      <c r="Q159" s="15" t="n">
        <v>3</v>
      </c>
    </row>
    <row r="160" customFormat="false" ht="15" hidden="false" customHeight="false" outlineLevel="0" collapsed="false">
      <c r="A160" s="15" t="n">
        <v>156</v>
      </c>
      <c r="B160" s="16" t="n">
        <v>15.858</v>
      </c>
      <c r="C160" s="15" t="n">
        <v>5</v>
      </c>
      <c r="D160" s="15" t="n">
        <v>4</v>
      </c>
      <c r="E160" s="15" t="n">
        <v>4</v>
      </c>
      <c r="F160" s="15" t="n">
        <v>5</v>
      </c>
      <c r="G160" s="15" t="n">
        <v>4</v>
      </c>
      <c r="H160" s="15" t="n">
        <v>4</v>
      </c>
      <c r="I160" s="15" t="n">
        <v>1</v>
      </c>
      <c r="J160" s="15" t="n">
        <v>4</v>
      </c>
      <c r="K160" s="15" t="n">
        <v>5</v>
      </c>
      <c r="L160" s="16" t="n">
        <v>3.292</v>
      </c>
      <c r="M160" s="16" t="n">
        <v>2.511</v>
      </c>
      <c r="N160" s="15" t="n">
        <v>1</v>
      </c>
      <c r="O160" s="15" t="n">
        <v>1</v>
      </c>
      <c r="P160" s="15" t="n">
        <v>1</v>
      </c>
      <c r="Q160" s="15" t="n">
        <v>3</v>
      </c>
    </row>
    <row r="161" customFormat="false" ht="15" hidden="false" customHeight="false" outlineLevel="0" collapsed="false">
      <c r="A161" s="15" t="n">
        <v>157</v>
      </c>
      <c r="B161" s="16" t="n">
        <v>15.957</v>
      </c>
      <c r="C161" s="15" t="n">
        <v>5</v>
      </c>
      <c r="D161" s="15" t="n">
        <v>4</v>
      </c>
      <c r="E161" s="15" t="n">
        <v>4</v>
      </c>
      <c r="F161" s="15" t="n">
        <v>5</v>
      </c>
      <c r="G161" s="15" t="n">
        <v>4</v>
      </c>
      <c r="H161" s="15" t="n">
        <v>4</v>
      </c>
      <c r="I161" s="15" t="n">
        <v>1</v>
      </c>
      <c r="J161" s="15" t="n">
        <v>4</v>
      </c>
      <c r="K161" s="15" t="n">
        <v>5</v>
      </c>
      <c r="L161" s="16" t="n">
        <v>2.466</v>
      </c>
      <c r="M161" s="16" t="n">
        <v>2.774</v>
      </c>
      <c r="N161" s="15" t="n">
        <v>1</v>
      </c>
      <c r="O161" s="15" t="n">
        <v>1</v>
      </c>
      <c r="P161" s="15" t="n">
        <v>1</v>
      </c>
      <c r="Q161" s="15" t="n">
        <v>4</v>
      </c>
    </row>
    <row r="162" customFormat="false" ht="15" hidden="false" customHeight="false" outlineLevel="0" collapsed="false">
      <c r="A162" s="15" t="n">
        <v>158</v>
      </c>
      <c r="B162" s="16" t="n">
        <v>16.056</v>
      </c>
      <c r="C162" s="15" t="n">
        <v>5</v>
      </c>
      <c r="D162" s="15" t="n">
        <v>4</v>
      </c>
      <c r="E162" s="15" t="n">
        <v>4</v>
      </c>
      <c r="F162" s="15" t="n">
        <v>5</v>
      </c>
      <c r="G162" s="15" t="n">
        <v>4</v>
      </c>
      <c r="H162" s="15" t="n">
        <v>4</v>
      </c>
      <c r="I162" s="15" t="n">
        <v>1</v>
      </c>
      <c r="J162" s="15" t="n">
        <v>4</v>
      </c>
      <c r="K162" s="15" t="n">
        <v>4</v>
      </c>
      <c r="L162" s="16" t="n">
        <v>2.052</v>
      </c>
      <c r="M162" s="16" t="n">
        <v>3.491</v>
      </c>
      <c r="N162" s="15" t="n">
        <v>1</v>
      </c>
      <c r="O162" s="15" t="n">
        <v>1</v>
      </c>
      <c r="P162" s="15" t="n">
        <v>1</v>
      </c>
      <c r="Q162" s="15" t="n">
        <v>5</v>
      </c>
    </row>
    <row r="163" customFormat="false" ht="15" hidden="false" customHeight="false" outlineLevel="0" collapsed="false">
      <c r="A163" s="15" t="n">
        <v>159</v>
      </c>
      <c r="B163" s="16" t="n">
        <v>16.153</v>
      </c>
      <c r="C163" s="15" t="n">
        <v>5</v>
      </c>
      <c r="D163" s="15" t="n">
        <v>5</v>
      </c>
      <c r="E163" s="15" t="n">
        <v>4</v>
      </c>
      <c r="F163" s="15" t="n">
        <v>5</v>
      </c>
      <c r="G163" s="15" t="n">
        <v>4</v>
      </c>
      <c r="H163" s="15" t="n">
        <v>4</v>
      </c>
      <c r="I163" s="15" t="n">
        <v>1</v>
      </c>
      <c r="J163" s="15" t="n">
        <v>4</v>
      </c>
      <c r="K163" s="15" t="n">
        <v>4</v>
      </c>
      <c r="L163" s="16" t="n">
        <v>1.848</v>
      </c>
      <c r="M163" s="16" t="n">
        <v>3.487</v>
      </c>
      <c r="N163" s="15" t="n">
        <v>1</v>
      </c>
      <c r="O163" s="15" t="n">
        <v>1</v>
      </c>
      <c r="P163" s="15" t="n">
        <v>1</v>
      </c>
      <c r="Q163" s="15" t="n">
        <v>1</v>
      </c>
    </row>
    <row r="164" customFormat="false" ht="15" hidden="false" customHeight="false" outlineLevel="0" collapsed="false">
      <c r="A164" s="15" t="n">
        <v>160</v>
      </c>
      <c r="B164" s="16" t="n">
        <v>16.251</v>
      </c>
      <c r="C164" s="15" t="n">
        <v>5</v>
      </c>
      <c r="D164" s="15" t="n">
        <v>4</v>
      </c>
      <c r="E164" s="15" t="n">
        <v>4</v>
      </c>
      <c r="F164" s="15" t="n">
        <v>5</v>
      </c>
      <c r="G164" s="15" t="n">
        <v>4</v>
      </c>
      <c r="H164" s="15" t="n">
        <v>4</v>
      </c>
      <c r="I164" s="15" t="n">
        <v>1</v>
      </c>
      <c r="J164" s="15" t="n">
        <v>4</v>
      </c>
      <c r="K164" s="15" t="n">
        <v>5</v>
      </c>
      <c r="L164" s="16" t="n">
        <v>3.048</v>
      </c>
      <c r="M164" s="16" t="n">
        <v>2.116</v>
      </c>
      <c r="N164" s="15" t="n">
        <v>1</v>
      </c>
      <c r="O164" s="15" t="n">
        <v>1</v>
      </c>
      <c r="P164" s="15" t="n">
        <v>1</v>
      </c>
      <c r="Q164" s="15" t="n">
        <v>4</v>
      </c>
    </row>
    <row r="165" customFormat="false" ht="15" hidden="false" customHeight="false" outlineLevel="0" collapsed="false">
      <c r="A165" s="15" t="n">
        <v>161</v>
      </c>
      <c r="B165" s="16" t="n">
        <v>16.348</v>
      </c>
      <c r="C165" s="15" t="n">
        <v>5</v>
      </c>
      <c r="D165" s="15" t="n">
        <v>4</v>
      </c>
      <c r="E165" s="15" t="n">
        <v>4</v>
      </c>
      <c r="F165" s="15" t="n">
        <v>5</v>
      </c>
      <c r="G165" s="15" t="n">
        <v>4</v>
      </c>
      <c r="H165" s="15" t="n">
        <v>4</v>
      </c>
      <c r="I165" s="15" t="n">
        <v>1</v>
      </c>
      <c r="J165" s="15" t="n">
        <v>4</v>
      </c>
      <c r="K165" s="15" t="n">
        <v>5</v>
      </c>
      <c r="L165" s="16" t="n">
        <v>3.42</v>
      </c>
      <c r="M165" s="16" t="n">
        <v>2</v>
      </c>
      <c r="N165" s="15" t="n">
        <v>1</v>
      </c>
      <c r="O165" s="15" t="n">
        <v>1</v>
      </c>
      <c r="P165" s="15" t="n">
        <v>1</v>
      </c>
      <c r="Q165" s="15" t="n">
        <v>3</v>
      </c>
    </row>
    <row r="166" customFormat="false" ht="15" hidden="false" customHeight="false" outlineLevel="0" collapsed="false">
      <c r="A166" s="15" t="n">
        <v>162</v>
      </c>
      <c r="B166" s="16" t="n">
        <v>16.446</v>
      </c>
      <c r="C166" s="15" t="n">
        <v>5</v>
      </c>
      <c r="D166" s="15" t="n">
        <v>4</v>
      </c>
      <c r="E166" s="15" t="n">
        <v>4</v>
      </c>
      <c r="F166" s="15" t="n">
        <v>5</v>
      </c>
      <c r="G166" s="15" t="n">
        <v>4</v>
      </c>
      <c r="H166" s="15" t="n">
        <v>4</v>
      </c>
      <c r="I166" s="15" t="n">
        <v>1</v>
      </c>
      <c r="J166" s="15" t="n">
        <v>4</v>
      </c>
      <c r="K166" s="15" t="n">
        <v>5</v>
      </c>
      <c r="L166" s="16" t="n">
        <v>3.611</v>
      </c>
      <c r="M166" s="16" t="n">
        <v>2</v>
      </c>
      <c r="N166" s="15" t="n">
        <v>1</v>
      </c>
      <c r="O166" s="15" t="n">
        <v>1</v>
      </c>
      <c r="P166" s="15" t="n">
        <v>1</v>
      </c>
      <c r="Q166" s="15" t="n">
        <v>5</v>
      </c>
    </row>
    <row r="167" customFormat="false" ht="15" hidden="false" customHeight="false" outlineLevel="0" collapsed="false">
      <c r="A167" s="15" t="n">
        <v>163</v>
      </c>
      <c r="B167" s="16" t="n">
        <v>16.544</v>
      </c>
      <c r="C167" s="15" t="n">
        <v>5</v>
      </c>
      <c r="D167" s="15" t="n">
        <v>4</v>
      </c>
      <c r="E167" s="15" t="n">
        <v>4</v>
      </c>
      <c r="F167" s="15" t="n">
        <v>5</v>
      </c>
      <c r="G167" s="15" t="n">
        <v>4</v>
      </c>
      <c r="H167" s="15" t="n">
        <v>4</v>
      </c>
      <c r="I167" s="15" t="n">
        <v>1</v>
      </c>
      <c r="J167" s="15" t="n">
        <v>4</v>
      </c>
      <c r="K167" s="15" t="n">
        <v>5</v>
      </c>
      <c r="L167" s="16" t="n">
        <v>3.067</v>
      </c>
      <c r="M167" s="16" t="n">
        <v>2.31</v>
      </c>
      <c r="N167" s="15" t="n">
        <v>1</v>
      </c>
      <c r="O167" s="15" t="n">
        <v>1</v>
      </c>
      <c r="P167" s="15" t="n">
        <v>1</v>
      </c>
      <c r="Q167" s="15" t="n">
        <v>5</v>
      </c>
    </row>
    <row r="168" customFormat="false" ht="15" hidden="false" customHeight="false" outlineLevel="0" collapsed="false">
      <c r="A168" s="15" t="n">
        <v>164</v>
      </c>
      <c r="B168" s="16" t="n">
        <v>16.643</v>
      </c>
      <c r="C168" s="15" t="n">
        <v>5</v>
      </c>
      <c r="D168" s="15" t="n">
        <v>4</v>
      </c>
      <c r="E168" s="15" t="n">
        <v>4</v>
      </c>
      <c r="F168" s="15" t="n">
        <v>5</v>
      </c>
      <c r="G168" s="15" t="n">
        <v>4</v>
      </c>
      <c r="H168" s="15" t="n">
        <v>4</v>
      </c>
      <c r="I168" s="15" t="n">
        <v>2</v>
      </c>
      <c r="J168" s="15" t="n">
        <v>4</v>
      </c>
      <c r="K168" s="15" t="n">
        <v>5</v>
      </c>
      <c r="L168" s="16" t="n">
        <v>1.467</v>
      </c>
      <c r="M168" s="16" t="n">
        <v>3.429</v>
      </c>
      <c r="N168" s="15" t="n">
        <v>1</v>
      </c>
      <c r="O168" s="15" t="n">
        <v>1</v>
      </c>
      <c r="P168" s="15" t="n">
        <v>1</v>
      </c>
      <c r="Q168" s="15" t="n">
        <v>4</v>
      </c>
    </row>
    <row r="169" customFormat="false" ht="15" hidden="false" customHeight="false" outlineLevel="0" collapsed="false">
      <c r="A169" s="15" t="n">
        <v>165</v>
      </c>
      <c r="B169" s="16" t="n">
        <v>16.743</v>
      </c>
      <c r="C169" s="15" t="n">
        <v>5</v>
      </c>
      <c r="D169" s="15" t="n">
        <v>4</v>
      </c>
      <c r="E169" s="15" t="n">
        <v>5</v>
      </c>
      <c r="F169" s="15" t="n">
        <v>5</v>
      </c>
      <c r="G169" s="15" t="n">
        <v>4</v>
      </c>
      <c r="H169" s="15" t="n">
        <v>4</v>
      </c>
      <c r="I169" s="15" t="n">
        <v>5</v>
      </c>
      <c r="J169" s="15" t="n">
        <v>4</v>
      </c>
      <c r="K169" s="15" t="n">
        <v>5</v>
      </c>
      <c r="L169" s="16" t="n">
        <v>1.12</v>
      </c>
      <c r="M169" s="16" t="n">
        <v>4</v>
      </c>
      <c r="N169" s="15" t="n">
        <v>1</v>
      </c>
      <c r="O169" s="15" t="n">
        <v>1</v>
      </c>
      <c r="P169" s="15" t="n">
        <v>1</v>
      </c>
      <c r="Q169" s="15" t="n">
        <v>1</v>
      </c>
    </row>
    <row r="170" customFormat="false" ht="15" hidden="false" customHeight="false" outlineLevel="0" collapsed="false">
      <c r="A170" s="15" t="n">
        <v>166</v>
      </c>
      <c r="B170" s="16" t="n">
        <v>16.844</v>
      </c>
      <c r="C170" s="15" t="n">
        <v>5</v>
      </c>
      <c r="D170" s="15" t="n">
        <v>4</v>
      </c>
      <c r="E170" s="15" t="n">
        <v>5</v>
      </c>
      <c r="F170" s="15" t="n">
        <v>5</v>
      </c>
      <c r="G170" s="15" t="n">
        <v>4</v>
      </c>
      <c r="H170" s="15" t="n">
        <v>4</v>
      </c>
      <c r="I170" s="15" t="n">
        <v>5</v>
      </c>
      <c r="J170" s="15" t="n">
        <v>4</v>
      </c>
      <c r="K170" s="15" t="n">
        <v>5</v>
      </c>
      <c r="L170" s="16" t="n">
        <v>1.612</v>
      </c>
      <c r="M170" s="16" t="n">
        <v>3.683</v>
      </c>
      <c r="N170" s="15" t="n">
        <v>1</v>
      </c>
      <c r="O170" s="15" t="n">
        <v>1</v>
      </c>
      <c r="P170" s="15" t="n">
        <v>1</v>
      </c>
      <c r="Q170" s="15" t="n">
        <v>1</v>
      </c>
    </row>
    <row r="171" customFormat="false" ht="15" hidden="false" customHeight="false" outlineLevel="0" collapsed="false">
      <c r="A171" s="15" t="n">
        <v>167</v>
      </c>
      <c r="B171" s="16" t="n">
        <v>16.944</v>
      </c>
      <c r="C171" s="15" t="n">
        <v>5</v>
      </c>
      <c r="D171" s="15" t="n">
        <v>4</v>
      </c>
      <c r="E171" s="15" t="n">
        <v>5</v>
      </c>
      <c r="F171" s="15" t="n">
        <v>5</v>
      </c>
      <c r="G171" s="15" t="n">
        <v>4</v>
      </c>
      <c r="H171" s="15" t="n">
        <v>4</v>
      </c>
      <c r="I171" s="15" t="n">
        <v>5</v>
      </c>
      <c r="J171" s="15" t="n">
        <v>4</v>
      </c>
      <c r="K171" s="15" t="n">
        <v>5</v>
      </c>
      <c r="L171" s="16" t="n">
        <v>2.129</v>
      </c>
      <c r="M171" s="16" t="n">
        <v>3.202</v>
      </c>
      <c r="N171" s="15" t="n">
        <v>1</v>
      </c>
      <c r="O171" s="15" t="n">
        <v>1</v>
      </c>
      <c r="P171" s="15" t="n">
        <v>1</v>
      </c>
      <c r="Q171" s="15" t="n">
        <v>1</v>
      </c>
    </row>
    <row r="172" customFormat="false" ht="15" hidden="false" customHeight="false" outlineLevel="0" collapsed="false">
      <c r="A172" s="15" t="n">
        <v>168</v>
      </c>
      <c r="B172" s="16" t="n">
        <v>17.045</v>
      </c>
      <c r="C172" s="15" t="n">
        <v>5</v>
      </c>
      <c r="D172" s="15" t="n">
        <v>4</v>
      </c>
      <c r="E172" s="15" t="n">
        <v>5</v>
      </c>
      <c r="F172" s="15" t="n">
        <v>5</v>
      </c>
      <c r="G172" s="15" t="n">
        <v>4</v>
      </c>
      <c r="H172" s="15" t="n">
        <v>4</v>
      </c>
      <c r="I172" s="15" t="n">
        <v>5</v>
      </c>
      <c r="J172" s="15" t="n">
        <v>4</v>
      </c>
      <c r="K172" s="15" t="n">
        <v>5</v>
      </c>
      <c r="L172" s="16" t="n">
        <v>2.615</v>
      </c>
      <c r="M172" s="16" t="n">
        <v>2.915</v>
      </c>
      <c r="N172" s="15" t="n">
        <v>1</v>
      </c>
      <c r="O172" s="15" t="n">
        <v>1</v>
      </c>
      <c r="P172" s="15" t="n">
        <v>1</v>
      </c>
      <c r="Q172" s="15" t="n">
        <v>2</v>
      </c>
    </row>
    <row r="173" customFormat="false" ht="15" hidden="false" customHeight="false" outlineLevel="0" collapsed="false">
      <c r="A173" s="15" t="n">
        <v>169</v>
      </c>
      <c r="B173" s="16" t="n">
        <v>17.145</v>
      </c>
      <c r="C173" s="15" t="n">
        <v>5</v>
      </c>
      <c r="D173" s="15" t="n">
        <v>4</v>
      </c>
      <c r="E173" s="15" t="n">
        <v>5</v>
      </c>
      <c r="F173" s="15" t="n">
        <v>5</v>
      </c>
      <c r="G173" s="15" t="n">
        <v>4</v>
      </c>
      <c r="H173" s="15" t="n">
        <v>4</v>
      </c>
      <c r="I173" s="15" t="n">
        <v>5</v>
      </c>
      <c r="J173" s="15" t="n">
        <v>4</v>
      </c>
      <c r="K173" s="15" t="n">
        <v>5</v>
      </c>
      <c r="L173" s="16" t="n">
        <v>2.92</v>
      </c>
      <c r="M173" s="16" t="n">
        <v>2.874</v>
      </c>
      <c r="N173" s="15" t="n">
        <v>1</v>
      </c>
      <c r="O173" s="15" t="n">
        <v>1</v>
      </c>
      <c r="P173" s="15" t="n">
        <v>1</v>
      </c>
      <c r="Q173" s="15" t="n">
        <v>3</v>
      </c>
    </row>
    <row r="174" customFormat="false" ht="15" hidden="false" customHeight="false" outlineLevel="0" collapsed="false">
      <c r="A174" s="15" t="n">
        <v>170</v>
      </c>
      <c r="B174" s="16" t="n">
        <v>17.245</v>
      </c>
      <c r="C174" s="15" t="n">
        <v>5</v>
      </c>
      <c r="D174" s="15" t="n">
        <v>4</v>
      </c>
      <c r="E174" s="15" t="n">
        <v>5</v>
      </c>
      <c r="F174" s="15" t="n">
        <v>5</v>
      </c>
      <c r="G174" s="15" t="n">
        <v>4</v>
      </c>
      <c r="H174" s="15" t="n">
        <v>4</v>
      </c>
      <c r="I174" s="15" t="n">
        <v>5</v>
      </c>
      <c r="J174" s="15" t="n">
        <v>4</v>
      </c>
      <c r="K174" s="15" t="n">
        <v>5</v>
      </c>
      <c r="L174" s="16" t="n">
        <v>2.824</v>
      </c>
      <c r="M174" s="16" t="n">
        <v>2.989</v>
      </c>
      <c r="N174" s="15" t="n">
        <v>1</v>
      </c>
      <c r="O174" s="15" t="n">
        <v>1</v>
      </c>
      <c r="P174" s="15" t="n">
        <v>1</v>
      </c>
      <c r="Q174" s="15" t="n">
        <v>4</v>
      </c>
    </row>
    <row r="175" customFormat="false" ht="15" hidden="false" customHeight="false" outlineLevel="0" collapsed="false">
      <c r="A175" s="15" t="n">
        <v>171</v>
      </c>
      <c r="B175" s="16" t="n">
        <v>17.345</v>
      </c>
      <c r="C175" s="15" t="n">
        <v>5</v>
      </c>
      <c r="D175" s="15" t="n">
        <v>4</v>
      </c>
      <c r="E175" s="15" t="n">
        <v>5</v>
      </c>
      <c r="F175" s="15" t="n">
        <v>5</v>
      </c>
      <c r="G175" s="15" t="n">
        <v>4</v>
      </c>
      <c r="H175" s="15" t="n">
        <v>4</v>
      </c>
      <c r="I175" s="15" t="n">
        <v>5</v>
      </c>
      <c r="J175" s="15" t="n">
        <v>4</v>
      </c>
      <c r="K175" s="15" t="n">
        <v>5</v>
      </c>
      <c r="L175" s="16" t="n">
        <v>2.713</v>
      </c>
      <c r="M175" s="16" t="n">
        <v>2.902</v>
      </c>
      <c r="N175" s="15" t="n">
        <v>1</v>
      </c>
      <c r="O175" s="15" t="n">
        <v>1</v>
      </c>
      <c r="P175" s="15" t="n">
        <v>1</v>
      </c>
      <c r="Q175" s="15" t="n">
        <v>5</v>
      </c>
    </row>
    <row r="176" customFormat="false" ht="15" hidden="false" customHeight="false" outlineLevel="0" collapsed="false">
      <c r="A176" s="15" t="n">
        <v>172</v>
      </c>
      <c r="B176" s="16" t="n">
        <v>17.445</v>
      </c>
      <c r="C176" s="15" t="n">
        <v>5</v>
      </c>
      <c r="D176" s="15" t="n">
        <v>4</v>
      </c>
      <c r="E176" s="15" t="n">
        <v>5</v>
      </c>
      <c r="F176" s="15" t="n">
        <v>5</v>
      </c>
      <c r="G176" s="15" t="n">
        <v>4</v>
      </c>
      <c r="H176" s="15" t="n">
        <v>4</v>
      </c>
      <c r="I176" s="15" t="n">
        <v>5</v>
      </c>
      <c r="J176" s="15" t="n">
        <v>4</v>
      </c>
      <c r="K176" s="15" t="n">
        <v>5</v>
      </c>
      <c r="L176" s="16" t="n">
        <v>2.962</v>
      </c>
      <c r="M176" s="16" t="n">
        <v>2.643</v>
      </c>
      <c r="N176" s="15" t="n">
        <v>1</v>
      </c>
      <c r="O176" s="15" t="n">
        <v>1</v>
      </c>
      <c r="P176" s="15" t="n">
        <v>1</v>
      </c>
      <c r="Q176" s="15" t="n">
        <v>5</v>
      </c>
    </row>
    <row r="177" customFormat="false" ht="15" hidden="false" customHeight="false" outlineLevel="0" collapsed="false">
      <c r="A177" s="15" t="n">
        <v>173</v>
      </c>
      <c r="B177" s="16" t="n">
        <v>17.546</v>
      </c>
      <c r="C177" s="15" t="n">
        <v>5</v>
      </c>
      <c r="D177" s="15" t="n">
        <v>4</v>
      </c>
      <c r="E177" s="15" t="n">
        <v>5</v>
      </c>
      <c r="F177" s="15" t="n">
        <v>5</v>
      </c>
      <c r="G177" s="15" t="n">
        <v>4</v>
      </c>
      <c r="H177" s="15" t="n">
        <v>4</v>
      </c>
      <c r="I177" s="15" t="n">
        <v>4</v>
      </c>
      <c r="J177" s="15" t="n">
        <v>4</v>
      </c>
      <c r="K177" s="15" t="n">
        <v>5</v>
      </c>
      <c r="L177" s="16" t="n">
        <v>3.097</v>
      </c>
      <c r="M177" s="16" t="n">
        <v>2.514</v>
      </c>
      <c r="N177" s="15" t="n">
        <v>1</v>
      </c>
      <c r="O177" s="15" t="n">
        <v>1</v>
      </c>
      <c r="P177" s="15" t="n">
        <v>1</v>
      </c>
      <c r="Q177" s="15" t="n">
        <v>5</v>
      </c>
    </row>
    <row r="178" customFormat="false" ht="15" hidden="false" customHeight="false" outlineLevel="0" collapsed="false">
      <c r="A178" s="15" t="n">
        <v>174</v>
      </c>
      <c r="B178" s="16" t="n">
        <v>17.646</v>
      </c>
      <c r="C178" s="15" t="n">
        <v>5</v>
      </c>
      <c r="D178" s="15" t="n">
        <v>4</v>
      </c>
      <c r="E178" s="15" t="n">
        <v>5</v>
      </c>
      <c r="F178" s="15" t="n">
        <v>5</v>
      </c>
      <c r="G178" s="15" t="n">
        <v>4</v>
      </c>
      <c r="H178" s="15" t="n">
        <v>4</v>
      </c>
      <c r="I178" s="15" t="n">
        <v>4</v>
      </c>
      <c r="J178" s="15" t="n">
        <v>4</v>
      </c>
      <c r="K178" s="15" t="n">
        <v>5</v>
      </c>
      <c r="L178" s="16" t="n">
        <v>3.348</v>
      </c>
      <c r="M178" s="16" t="n">
        <v>2.273</v>
      </c>
      <c r="N178" s="15" t="n">
        <v>1</v>
      </c>
      <c r="O178" s="15" t="n">
        <v>1</v>
      </c>
      <c r="P178" s="15" t="n">
        <v>1</v>
      </c>
      <c r="Q178" s="15" t="n">
        <v>5</v>
      </c>
    </row>
    <row r="179" customFormat="false" ht="15" hidden="false" customHeight="false" outlineLevel="0" collapsed="false">
      <c r="A179" s="15" t="n">
        <v>175</v>
      </c>
      <c r="B179" s="16" t="n">
        <v>17.746</v>
      </c>
      <c r="C179" s="15" t="n">
        <v>5</v>
      </c>
      <c r="D179" s="15" t="n">
        <v>4</v>
      </c>
      <c r="E179" s="15" t="n">
        <v>5</v>
      </c>
      <c r="F179" s="15" t="n">
        <v>4</v>
      </c>
      <c r="G179" s="15" t="n">
        <v>4</v>
      </c>
      <c r="H179" s="15" t="n">
        <v>4</v>
      </c>
      <c r="I179" s="15" t="n">
        <v>5</v>
      </c>
      <c r="J179" s="15" t="n">
        <v>4</v>
      </c>
      <c r="K179" s="15" t="n">
        <v>5</v>
      </c>
      <c r="L179" s="16" t="n">
        <v>3.482</v>
      </c>
      <c r="M179" s="16" t="n">
        <v>2.282</v>
      </c>
      <c r="N179" s="15" t="n">
        <v>1</v>
      </c>
      <c r="O179" s="15" t="n">
        <v>1</v>
      </c>
      <c r="P179" s="15" t="n">
        <v>1</v>
      </c>
      <c r="Q179" s="15" t="n">
        <v>5</v>
      </c>
    </row>
    <row r="180" customFormat="false" ht="15" hidden="false" customHeight="false" outlineLevel="0" collapsed="false">
      <c r="A180" s="15" t="n">
        <v>176</v>
      </c>
      <c r="B180" s="16" t="n">
        <v>17.846</v>
      </c>
      <c r="C180" s="15" t="n">
        <v>5</v>
      </c>
      <c r="D180" s="15" t="n">
        <v>4</v>
      </c>
      <c r="E180" s="15" t="n">
        <v>5</v>
      </c>
      <c r="F180" s="15" t="n">
        <v>3</v>
      </c>
      <c r="G180" s="15" t="n">
        <v>4</v>
      </c>
      <c r="H180" s="15" t="n">
        <v>4</v>
      </c>
      <c r="I180" s="15" t="n">
        <v>5</v>
      </c>
      <c r="J180" s="15" t="n">
        <v>3</v>
      </c>
      <c r="K180" s="15" t="n">
        <v>5</v>
      </c>
      <c r="L180" s="16" t="n">
        <v>3.561</v>
      </c>
      <c r="M180" s="16" t="n">
        <v>2.084</v>
      </c>
      <c r="N180" s="15" t="n">
        <v>1</v>
      </c>
      <c r="O180" s="15" t="n">
        <v>1</v>
      </c>
      <c r="P180" s="15" t="n">
        <v>1</v>
      </c>
      <c r="Q180" s="15" t="n">
        <v>5</v>
      </c>
    </row>
    <row r="181" customFormat="false" ht="15" hidden="false" customHeight="false" outlineLevel="0" collapsed="false">
      <c r="A181" s="15" t="n">
        <v>177</v>
      </c>
      <c r="B181" s="16" t="n">
        <v>17.946</v>
      </c>
      <c r="C181" s="15" t="n">
        <v>5</v>
      </c>
      <c r="D181" s="15" t="n">
        <v>4</v>
      </c>
      <c r="E181" s="15" t="n">
        <v>5</v>
      </c>
      <c r="F181" s="15" t="n">
        <v>1</v>
      </c>
      <c r="G181" s="15" t="n">
        <v>4</v>
      </c>
      <c r="H181" s="15" t="n">
        <v>4</v>
      </c>
      <c r="I181" s="15" t="n">
        <v>4</v>
      </c>
      <c r="J181" s="15" t="n">
        <v>3</v>
      </c>
      <c r="K181" s="15" t="n">
        <v>5</v>
      </c>
      <c r="L181" s="16" t="n">
        <v>3.648</v>
      </c>
      <c r="M181" s="16" t="n">
        <v>2.063</v>
      </c>
      <c r="N181" s="15" t="n">
        <v>1</v>
      </c>
      <c r="O181" s="15" t="n">
        <v>1</v>
      </c>
      <c r="P181" s="15" t="n">
        <v>1</v>
      </c>
      <c r="Q181" s="15" t="n">
        <v>5</v>
      </c>
    </row>
    <row r="182" customFormat="false" ht="15" hidden="false" customHeight="false" outlineLevel="0" collapsed="false">
      <c r="A182" s="15" t="n">
        <v>178</v>
      </c>
      <c r="B182" s="16" t="n">
        <v>18.047</v>
      </c>
      <c r="C182" s="15" t="n">
        <v>5</v>
      </c>
      <c r="D182" s="15" t="n">
        <v>4</v>
      </c>
      <c r="E182" s="15" t="n">
        <v>4</v>
      </c>
      <c r="F182" s="15" t="n">
        <v>2</v>
      </c>
      <c r="G182" s="15" t="n">
        <v>4</v>
      </c>
      <c r="H182" s="15" t="n">
        <v>4</v>
      </c>
      <c r="I182" s="15" t="n">
        <v>1</v>
      </c>
      <c r="J182" s="15" t="n">
        <v>3</v>
      </c>
      <c r="K182" s="15" t="n">
        <v>5</v>
      </c>
      <c r="L182" s="16" t="n">
        <v>3.778</v>
      </c>
      <c r="M182" s="16" t="n">
        <v>2.181</v>
      </c>
      <c r="N182" s="15" t="n">
        <v>1</v>
      </c>
      <c r="O182" s="15" t="n">
        <v>1</v>
      </c>
      <c r="P182" s="15" t="n">
        <v>1</v>
      </c>
      <c r="Q182" s="15" t="n">
        <v>4</v>
      </c>
    </row>
    <row r="183" customFormat="false" ht="15" hidden="false" customHeight="false" outlineLevel="0" collapsed="false">
      <c r="A183" s="15" t="n">
        <v>179</v>
      </c>
      <c r="B183" s="16" t="n">
        <v>18.147</v>
      </c>
      <c r="C183" s="15" t="n">
        <v>5</v>
      </c>
      <c r="D183" s="15" t="n">
        <v>4</v>
      </c>
      <c r="E183" s="15" t="n">
        <v>4</v>
      </c>
      <c r="F183" s="15" t="n">
        <v>4</v>
      </c>
      <c r="G183" s="15" t="n">
        <v>4</v>
      </c>
      <c r="H183" s="15" t="n">
        <v>4</v>
      </c>
      <c r="I183" s="15" t="n">
        <v>1</v>
      </c>
      <c r="J183" s="15" t="n">
        <v>3</v>
      </c>
      <c r="K183" s="15" t="n">
        <v>5</v>
      </c>
      <c r="L183" s="16" t="n">
        <v>3.788</v>
      </c>
      <c r="M183" s="16" t="n">
        <v>2.04</v>
      </c>
      <c r="N183" s="15" t="n">
        <v>1</v>
      </c>
      <c r="O183" s="15" t="n">
        <v>1</v>
      </c>
      <c r="P183" s="15" t="n">
        <v>1</v>
      </c>
      <c r="Q183" s="15" t="n">
        <v>4</v>
      </c>
    </row>
    <row r="184" customFormat="false" ht="15" hidden="false" customHeight="false" outlineLevel="0" collapsed="false">
      <c r="A184" s="15" t="n">
        <v>180</v>
      </c>
      <c r="B184" s="16" t="n">
        <v>18.247</v>
      </c>
      <c r="C184" s="15" t="n">
        <v>5</v>
      </c>
      <c r="D184" s="15" t="n">
        <v>4</v>
      </c>
      <c r="E184" s="15" t="n">
        <v>4</v>
      </c>
      <c r="F184" s="15" t="n">
        <v>4</v>
      </c>
      <c r="G184" s="15" t="n">
        <v>4</v>
      </c>
      <c r="H184" s="15" t="n">
        <v>4</v>
      </c>
      <c r="I184" s="15" t="n">
        <v>1</v>
      </c>
      <c r="J184" s="15" t="n">
        <v>3</v>
      </c>
      <c r="K184" s="15" t="n">
        <v>5</v>
      </c>
      <c r="L184" s="16" t="n">
        <v>3.74</v>
      </c>
      <c r="M184" s="16" t="n">
        <v>2</v>
      </c>
      <c r="N184" s="15" t="n">
        <v>1</v>
      </c>
      <c r="O184" s="15" t="n">
        <v>1</v>
      </c>
      <c r="P184" s="15" t="n">
        <v>1</v>
      </c>
      <c r="Q184" s="15" t="n">
        <v>5</v>
      </c>
    </row>
    <row r="185" customFormat="false" ht="15" hidden="false" customHeight="false" outlineLevel="0" collapsed="false">
      <c r="A185" s="15" t="n">
        <v>181</v>
      </c>
      <c r="B185" s="16" t="n">
        <v>18.347</v>
      </c>
      <c r="C185" s="15" t="n">
        <v>5</v>
      </c>
      <c r="D185" s="15" t="n">
        <v>4</v>
      </c>
      <c r="E185" s="15" t="n">
        <v>4</v>
      </c>
      <c r="F185" s="15" t="n">
        <v>5</v>
      </c>
      <c r="G185" s="15" t="n">
        <v>4</v>
      </c>
      <c r="H185" s="15" t="n">
        <v>4</v>
      </c>
      <c r="I185" s="15" t="n">
        <v>1</v>
      </c>
      <c r="J185" s="15" t="n">
        <v>3</v>
      </c>
      <c r="K185" s="15" t="n">
        <v>5</v>
      </c>
      <c r="L185" s="16" t="n">
        <v>3.631</v>
      </c>
      <c r="M185" s="16" t="n">
        <v>2.001</v>
      </c>
      <c r="N185" s="15" t="n">
        <v>1</v>
      </c>
      <c r="O185" s="15" t="n">
        <v>1</v>
      </c>
      <c r="P185" s="15" t="n">
        <v>1</v>
      </c>
      <c r="Q185" s="15" t="n">
        <v>5</v>
      </c>
    </row>
    <row r="186" customFormat="false" ht="15" hidden="false" customHeight="false" outlineLevel="0" collapsed="false">
      <c r="A186" s="15" t="n">
        <v>182</v>
      </c>
      <c r="B186" s="16" t="n">
        <v>18.448</v>
      </c>
      <c r="C186" s="15" t="n">
        <v>5</v>
      </c>
      <c r="D186" s="15" t="n">
        <v>4</v>
      </c>
      <c r="E186" s="15" t="n">
        <v>5</v>
      </c>
      <c r="F186" s="15" t="n">
        <v>5</v>
      </c>
      <c r="G186" s="15" t="n">
        <v>4</v>
      </c>
      <c r="H186" s="15" t="n">
        <v>4</v>
      </c>
      <c r="I186" s="15" t="n">
        <v>5</v>
      </c>
      <c r="J186" s="15" t="n">
        <v>3</v>
      </c>
      <c r="K186" s="15" t="n">
        <v>5</v>
      </c>
      <c r="L186" s="16" t="n">
        <v>3.78</v>
      </c>
      <c r="M186" s="16" t="n">
        <v>2</v>
      </c>
      <c r="N186" s="15" t="n">
        <v>1</v>
      </c>
      <c r="O186" s="15" t="n">
        <v>1</v>
      </c>
      <c r="P186" s="15" t="n">
        <v>1</v>
      </c>
      <c r="Q186" s="15" t="n">
        <v>5</v>
      </c>
    </row>
    <row r="187" customFormat="false" ht="15" hidden="false" customHeight="false" outlineLevel="0" collapsed="false">
      <c r="A187" s="15" t="n">
        <v>183</v>
      </c>
      <c r="B187" s="16" t="n">
        <v>18.549</v>
      </c>
      <c r="C187" s="15" t="n">
        <v>5</v>
      </c>
      <c r="D187" s="15" t="n">
        <v>4</v>
      </c>
      <c r="E187" s="15" t="n">
        <v>5</v>
      </c>
      <c r="F187" s="15" t="n">
        <v>5</v>
      </c>
      <c r="G187" s="15" t="n">
        <v>4</v>
      </c>
      <c r="H187" s="15" t="n">
        <v>4</v>
      </c>
      <c r="I187" s="15" t="n">
        <v>5</v>
      </c>
      <c r="J187" s="15" t="n">
        <v>3</v>
      </c>
      <c r="K187" s="15" t="n">
        <v>5</v>
      </c>
      <c r="L187" s="16" t="n">
        <v>3.714</v>
      </c>
      <c r="M187" s="16" t="n">
        <v>2</v>
      </c>
      <c r="N187" s="15" t="n">
        <v>1</v>
      </c>
      <c r="O187" s="15" t="n">
        <v>1</v>
      </c>
      <c r="P187" s="15" t="n">
        <v>1</v>
      </c>
      <c r="Q187" s="15" t="n">
        <v>5</v>
      </c>
    </row>
    <row r="188" customFormat="false" ht="15" hidden="false" customHeight="false" outlineLevel="0" collapsed="false">
      <c r="A188" s="15" t="n">
        <v>184</v>
      </c>
      <c r="B188" s="16" t="n">
        <v>18.65</v>
      </c>
      <c r="C188" s="15" t="n">
        <v>5</v>
      </c>
      <c r="D188" s="15" t="n">
        <v>4</v>
      </c>
      <c r="E188" s="15" t="n">
        <v>5</v>
      </c>
      <c r="F188" s="15" t="n">
        <v>5</v>
      </c>
      <c r="G188" s="15" t="n">
        <v>4</v>
      </c>
      <c r="H188" s="15" t="n">
        <v>4</v>
      </c>
      <c r="I188" s="15" t="n">
        <v>5</v>
      </c>
      <c r="J188" s="15" t="n">
        <v>3</v>
      </c>
      <c r="K188" s="15" t="n">
        <v>5</v>
      </c>
      <c r="L188" s="16" t="n">
        <v>3.716</v>
      </c>
      <c r="M188" s="16" t="n">
        <v>2</v>
      </c>
      <c r="N188" s="15" t="n">
        <v>1</v>
      </c>
      <c r="O188" s="15" t="n">
        <v>1</v>
      </c>
      <c r="P188" s="15" t="n">
        <v>1</v>
      </c>
      <c r="Q188" s="15" t="n">
        <v>5</v>
      </c>
    </row>
    <row r="189" customFormat="false" ht="15" hidden="false" customHeight="false" outlineLevel="0" collapsed="false">
      <c r="A189" s="15" t="n">
        <v>185</v>
      </c>
      <c r="B189" s="16" t="n">
        <v>18.75</v>
      </c>
      <c r="C189" s="15" t="n">
        <v>5</v>
      </c>
      <c r="D189" s="15" t="n">
        <v>4</v>
      </c>
      <c r="E189" s="15" t="n">
        <v>5</v>
      </c>
      <c r="F189" s="15" t="n">
        <v>5</v>
      </c>
      <c r="G189" s="15" t="n">
        <v>4</v>
      </c>
      <c r="H189" s="15" t="n">
        <v>4</v>
      </c>
      <c r="I189" s="15" t="n">
        <v>5</v>
      </c>
      <c r="J189" s="15" t="n">
        <v>3</v>
      </c>
      <c r="K189" s="15" t="n">
        <v>5</v>
      </c>
      <c r="L189" s="16" t="n">
        <v>3.724</v>
      </c>
      <c r="M189" s="16" t="n">
        <v>2</v>
      </c>
      <c r="N189" s="15" t="n">
        <v>1</v>
      </c>
      <c r="O189" s="15" t="n">
        <v>1</v>
      </c>
      <c r="P189" s="15" t="n">
        <v>1</v>
      </c>
      <c r="Q189" s="15" t="n">
        <v>5</v>
      </c>
    </row>
    <row r="190" customFormat="false" ht="15" hidden="false" customHeight="false" outlineLevel="0" collapsed="false">
      <c r="A190" s="15" t="n">
        <v>186</v>
      </c>
      <c r="B190" s="16" t="n">
        <v>18.851</v>
      </c>
      <c r="C190" s="15" t="n">
        <v>5</v>
      </c>
      <c r="D190" s="15" t="n">
        <v>4</v>
      </c>
      <c r="E190" s="15" t="n">
        <v>5</v>
      </c>
      <c r="F190" s="15" t="n">
        <v>5</v>
      </c>
      <c r="G190" s="15" t="n">
        <v>4</v>
      </c>
      <c r="H190" s="15" t="n">
        <v>4</v>
      </c>
      <c r="I190" s="15" t="n">
        <v>5</v>
      </c>
      <c r="J190" s="15" t="n">
        <v>3</v>
      </c>
      <c r="K190" s="15" t="n">
        <v>5</v>
      </c>
      <c r="L190" s="16" t="n">
        <v>3.728</v>
      </c>
      <c r="M190" s="16" t="n">
        <v>2</v>
      </c>
      <c r="N190" s="15" t="n">
        <v>1</v>
      </c>
      <c r="O190" s="15" t="n">
        <v>1</v>
      </c>
      <c r="P190" s="15" t="n">
        <v>1</v>
      </c>
      <c r="Q190" s="15" t="n">
        <v>5</v>
      </c>
    </row>
    <row r="191" customFormat="false" ht="15" hidden="false" customHeight="false" outlineLevel="0" collapsed="false">
      <c r="A191" s="15" t="n">
        <v>187</v>
      </c>
      <c r="B191" s="16" t="n">
        <v>18.951</v>
      </c>
      <c r="C191" s="15" t="n">
        <v>5</v>
      </c>
      <c r="D191" s="15" t="n">
        <v>4</v>
      </c>
      <c r="E191" s="15" t="n">
        <v>5</v>
      </c>
      <c r="F191" s="15" t="n">
        <v>5</v>
      </c>
      <c r="G191" s="15" t="n">
        <v>4</v>
      </c>
      <c r="H191" s="15" t="n">
        <v>4</v>
      </c>
      <c r="I191" s="15" t="n">
        <v>5</v>
      </c>
      <c r="J191" s="15" t="n">
        <v>3</v>
      </c>
      <c r="K191" s="15" t="n">
        <v>5</v>
      </c>
      <c r="L191" s="16" t="n">
        <v>3.719</v>
      </c>
      <c r="M191" s="16" t="n">
        <v>2</v>
      </c>
      <c r="N191" s="15" t="n">
        <v>1</v>
      </c>
      <c r="O191" s="15" t="n">
        <v>1</v>
      </c>
      <c r="P191" s="15" t="n">
        <v>1</v>
      </c>
      <c r="Q191" s="15" t="n">
        <v>5</v>
      </c>
    </row>
    <row r="192" customFormat="false" ht="15" hidden="false" customHeight="false" outlineLevel="0" collapsed="false">
      <c r="A192" s="15" t="n">
        <v>188</v>
      </c>
      <c r="B192" s="16" t="n">
        <v>19.05</v>
      </c>
      <c r="C192" s="15" t="n">
        <v>5</v>
      </c>
      <c r="D192" s="15" t="n">
        <v>4</v>
      </c>
      <c r="E192" s="15" t="n">
        <v>5</v>
      </c>
      <c r="F192" s="15" t="n">
        <v>5</v>
      </c>
      <c r="G192" s="15" t="n">
        <v>4</v>
      </c>
      <c r="H192" s="15" t="n">
        <v>4</v>
      </c>
      <c r="I192" s="15" t="n">
        <v>5</v>
      </c>
      <c r="J192" s="15" t="n">
        <v>3</v>
      </c>
      <c r="K192" s="15" t="n">
        <v>5</v>
      </c>
      <c r="L192" s="16" t="n">
        <v>3.673</v>
      </c>
      <c r="M192" s="16" t="n">
        <v>2</v>
      </c>
      <c r="N192" s="15" t="n">
        <v>1</v>
      </c>
      <c r="O192" s="15" t="n">
        <v>1</v>
      </c>
      <c r="P192" s="15" t="n">
        <v>1</v>
      </c>
      <c r="Q192" s="15" t="n">
        <v>5</v>
      </c>
    </row>
    <row r="193" customFormat="false" ht="15" hidden="false" customHeight="false" outlineLevel="0" collapsed="false">
      <c r="A193" s="15" t="n">
        <v>189</v>
      </c>
      <c r="B193" s="16" t="n">
        <v>19.149</v>
      </c>
      <c r="C193" s="15" t="n">
        <v>5</v>
      </c>
      <c r="D193" s="15" t="n">
        <v>4</v>
      </c>
      <c r="E193" s="15" t="n">
        <v>5</v>
      </c>
      <c r="F193" s="15" t="n">
        <v>5</v>
      </c>
      <c r="G193" s="15" t="n">
        <v>4</v>
      </c>
      <c r="H193" s="15" t="n">
        <v>4</v>
      </c>
      <c r="I193" s="15" t="n">
        <v>5</v>
      </c>
      <c r="J193" s="15" t="n">
        <v>3</v>
      </c>
      <c r="K193" s="15" t="n">
        <v>5</v>
      </c>
      <c r="L193" s="16" t="n">
        <v>3.545</v>
      </c>
      <c r="M193" s="16" t="n">
        <v>2</v>
      </c>
      <c r="N193" s="15" t="n">
        <v>1</v>
      </c>
      <c r="O193" s="15" t="n">
        <v>1</v>
      </c>
      <c r="P193" s="15" t="n">
        <v>1</v>
      </c>
      <c r="Q193" s="15" t="n">
        <v>5</v>
      </c>
    </row>
    <row r="194" customFormat="false" ht="15" hidden="false" customHeight="false" outlineLevel="0" collapsed="false">
      <c r="A194" s="15" t="n">
        <v>190</v>
      </c>
      <c r="B194" s="16" t="n">
        <v>19.248</v>
      </c>
      <c r="C194" s="15" t="n">
        <v>5</v>
      </c>
      <c r="D194" s="15" t="n">
        <v>4</v>
      </c>
      <c r="E194" s="15" t="n">
        <v>5</v>
      </c>
      <c r="F194" s="15" t="n">
        <v>5</v>
      </c>
      <c r="G194" s="15" t="n">
        <v>4</v>
      </c>
      <c r="H194" s="15" t="n">
        <v>4</v>
      </c>
      <c r="I194" s="15" t="n">
        <v>5</v>
      </c>
      <c r="J194" s="15" t="n">
        <v>3</v>
      </c>
      <c r="K194" s="15" t="n">
        <v>5</v>
      </c>
      <c r="L194" s="16" t="n">
        <v>3.564</v>
      </c>
      <c r="M194" s="16" t="n">
        <v>2.013</v>
      </c>
      <c r="N194" s="15" t="n">
        <v>1</v>
      </c>
      <c r="O194" s="15" t="n">
        <v>1</v>
      </c>
      <c r="P194" s="15" t="n">
        <v>1</v>
      </c>
      <c r="Q194" s="15" t="n">
        <v>5</v>
      </c>
    </row>
    <row r="195" customFormat="false" ht="15" hidden="false" customHeight="false" outlineLevel="0" collapsed="false">
      <c r="A195" s="15" t="n">
        <v>191</v>
      </c>
      <c r="B195" s="16" t="n">
        <v>19.347</v>
      </c>
      <c r="C195" s="15" t="n">
        <v>5</v>
      </c>
      <c r="D195" s="15" t="n">
        <v>4</v>
      </c>
      <c r="E195" s="15" t="n">
        <v>5</v>
      </c>
      <c r="F195" s="15" t="n">
        <v>5</v>
      </c>
      <c r="G195" s="15" t="n">
        <v>4</v>
      </c>
      <c r="H195" s="15" t="n">
        <v>4</v>
      </c>
      <c r="I195" s="15" t="n">
        <v>5</v>
      </c>
      <c r="J195" s="15" t="n">
        <v>3</v>
      </c>
      <c r="K195" s="15" t="n">
        <v>5</v>
      </c>
      <c r="L195" s="16" t="n">
        <v>3.35</v>
      </c>
      <c r="M195" s="16" t="n">
        <v>2.148</v>
      </c>
      <c r="N195" s="15" t="n">
        <v>1</v>
      </c>
      <c r="O195" s="15" t="n">
        <v>1</v>
      </c>
      <c r="P195" s="15" t="n">
        <v>1</v>
      </c>
      <c r="Q195" s="15" t="n">
        <v>5</v>
      </c>
    </row>
    <row r="196" customFormat="false" ht="15" hidden="false" customHeight="false" outlineLevel="0" collapsed="false">
      <c r="A196" s="15" t="n">
        <v>192</v>
      </c>
      <c r="B196" s="16" t="n">
        <v>19.447</v>
      </c>
      <c r="C196" s="15" t="n">
        <v>5</v>
      </c>
      <c r="D196" s="15" t="n">
        <v>4</v>
      </c>
      <c r="E196" s="15" t="n">
        <v>5</v>
      </c>
      <c r="F196" s="15" t="n">
        <v>5</v>
      </c>
      <c r="G196" s="15" t="n">
        <v>4</v>
      </c>
      <c r="H196" s="15" t="n">
        <v>4</v>
      </c>
      <c r="I196" s="15" t="n">
        <v>4</v>
      </c>
      <c r="J196" s="15" t="n">
        <v>3</v>
      </c>
      <c r="K196" s="15" t="n">
        <v>5</v>
      </c>
      <c r="L196" s="16" t="n">
        <v>3.154</v>
      </c>
      <c r="M196" s="16" t="n">
        <v>2.451</v>
      </c>
      <c r="N196" s="15" t="n">
        <v>1</v>
      </c>
      <c r="O196" s="15" t="n">
        <v>1</v>
      </c>
      <c r="P196" s="15" t="n">
        <v>1</v>
      </c>
      <c r="Q196" s="15" t="n">
        <v>5</v>
      </c>
    </row>
    <row r="197" customFormat="false" ht="15" hidden="false" customHeight="false" outlineLevel="0" collapsed="false">
      <c r="A197" s="15" t="n">
        <v>193</v>
      </c>
      <c r="B197" s="16" t="n">
        <v>19.547</v>
      </c>
      <c r="C197" s="15" t="n">
        <v>5</v>
      </c>
      <c r="D197" s="15" t="n">
        <v>4</v>
      </c>
      <c r="E197" s="15" t="n">
        <v>4</v>
      </c>
      <c r="F197" s="15" t="n">
        <v>5</v>
      </c>
      <c r="G197" s="15" t="n">
        <v>4</v>
      </c>
      <c r="H197" s="15" t="n">
        <v>4</v>
      </c>
      <c r="I197" s="15" t="n">
        <v>2</v>
      </c>
      <c r="J197" s="15" t="n">
        <v>3</v>
      </c>
      <c r="K197" s="15" t="n">
        <v>5</v>
      </c>
      <c r="L197" s="16" t="n">
        <v>2.63</v>
      </c>
      <c r="M197" s="16" t="n">
        <v>2.711</v>
      </c>
      <c r="N197" s="15" t="n">
        <v>1</v>
      </c>
      <c r="O197" s="15" t="n">
        <v>1</v>
      </c>
      <c r="P197" s="15" t="n">
        <v>1</v>
      </c>
      <c r="Q197" s="15" t="n">
        <v>5</v>
      </c>
    </row>
    <row r="198" customFormat="false" ht="15" hidden="false" customHeight="false" outlineLevel="0" collapsed="false">
      <c r="A198" s="15" t="n">
        <v>194</v>
      </c>
      <c r="B198" s="16" t="n">
        <v>19.647</v>
      </c>
      <c r="C198" s="15" t="n">
        <v>5</v>
      </c>
      <c r="D198" s="15" t="n">
        <v>4</v>
      </c>
      <c r="E198" s="15" t="n">
        <v>4</v>
      </c>
      <c r="F198" s="15" t="n">
        <v>5</v>
      </c>
      <c r="G198" s="15" t="n">
        <v>4</v>
      </c>
      <c r="H198" s="15" t="n">
        <v>4</v>
      </c>
      <c r="I198" s="15" t="n">
        <v>3</v>
      </c>
      <c r="J198" s="15" t="n">
        <v>3</v>
      </c>
      <c r="K198" s="15" t="n">
        <v>5</v>
      </c>
      <c r="L198" s="16" t="n">
        <v>2.265</v>
      </c>
      <c r="M198" s="16" t="n">
        <v>3.04</v>
      </c>
      <c r="N198" s="15" t="n">
        <v>1</v>
      </c>
      <c r="O198" s="15" t="n">
        <v>1</v>
      </c>
      <c r="P198" s="15" t="n">
        <v>1</v>
      </c>
      <c r="Q198" s="15" t="n">
        <v>5</v>
      </c>
    </row>
    <row r="199" customFormat="false" ht="15" hidden="false" customHeight="false" outlineLevel="0" collapsed="false">
      <c r="A199" s="15" t="n">
        <v>195</v>
      </c>
      <c r="B199" s="16" t="n">
        <v>19.748</v>
      </c>
      <c r="C199" s="15" t="n">
        <v>5</v>
      </c>
      <c r="D199" s="15" t="n">
        <v>4</v>
      </c>
      <c r="E199" s="15" t="n">
        <v>4</v>
      </c>
      <c r="F199" s="15" t="n">
        <v>5</v>
      </c>
      <c r="G199" s="15" t="n">
        <v>4</v>
      </c>
      <c r="H199" s="15" t="n">
        <v>4</v>
      </c>
      <c r="I199" s="15" t="n">
        <v>1</v>
      </c>
      <c r="J199" s="15" t="n">
        <v>3</v>
      </c>
      <c r="K199" s="15" t="n">
        <v>5</v>
      </c>
      <c r="L199" s="16" t="n">
        <v>2.168</v>
      </c>
      <c r="M199" s="16" t="n">
        <v>3.106</v>
      </c>
      <c r="N199" s="15" t="n">
        <v>1</v>
      </c>
      <c r="O199" s="15" t="n">
        <v>1</v>
      </c>
      <c r="P199" s="15" t="n">
        <v>1</v>
      </c>
      <c r="Q199" s="15" t="n">
        <v>5</v>
      </c>
    </row>
    <row r="200" customFormat="false" ht="15" hidden="false" customHeight="false" outlineLevel="0" collapsed="false">
      <c r="A200" s="15" t="n">
        <v>196</v>
      </c>
      <c r="B200" s="16" t="n">
        <v>19.849</v>
      </c>
      <c r="C200" s="15" t="n">
        <v>5</v>
      </c>
      <c r="D200" s="15" t="n">
        <v>4</v>
      </c>
      <c r="E200" s="15" t="n">
        <v>4</v>
      </c>
      <c r="F200" s="15" t="n">
        <v>5</v>
      </c>
      <c r="G200" s="15" t="n">
        <v>4</v>
      </c>
      <c r="H200" s="15" t="n">
        <v>4</v>
      </c>
      <c r="I200" s="15" t="n">
        <v>2</v>
      </c>
      <c r="J200" s="15" t="n">
        <v>3</v>
      </c>
      <c r="K200" s="15" t="n">
        <v>5</v>
      </c>
      <c r="L200" s="16" t="n">
        <v>2.244</v>
      </c>
      <c r="M200" s="16" t="n">
        <v>3.219</v>
      </c>
      <c r="N200" s="15" t="n">
        <v>1</v>
      </c>
      <c r="O200" s="15" t="n">
        <v>1</v>
      </c>
      <c r="P200" s="15" t="n">
        <v>1</v>
      </c>
      <c r="Q200" s="15" t="n">
        <v>5</v>
      </c>
    </row>
    <row r="201" customFormat="false" ht="15" hidden="false" customHeight="false" outlineLevel="0" collapsed="false">
      <c r="A201" s="15" t="n">
        <v>197</v>
      </c>
      <c r="B201" s="16" t="n">
        <v>19.95</v>
      </c>
      <c r="C201" s="15" t="n">
        <v>5</v>
      </c>
      <c r="D201" s="15" t="n">
        <v>4</v>
      </c>
      <c r="E201" s="15" t="n">
        <v>4</v>
      </c>
      <c r="F201" s="15" t="n">
        <v>5</v>
      </c>
      <c r="G201" s="15" t="n">
        <v>4</v>
      </c>
      <c r="H201" s="15" t="n">
        <v>4</v>
      </c>
      <c r="I201" s="15" t="n">
        <v>2</v>
      </c>
      <c r="J201" s="15" t="n">
        <v>3</v>
      </c>
      <c r="K201" s="15" t="n">
        <v>5</v>
      </c>
      <c r="L201" s="16" t="n">
        <v>2.345</v>
      </c>
      <c r="M201" s="16" t="n">
        <v>3.165</v>
      </c>
      <c r="N201" s="15" t="n">
        <v>1</v>
      </c>
      <c r="O201" s="15" t="n">
        <v>1</v>
      </c>
      <c r="P201" s="15" t="n">
        <v>1</v>
      </c>
      <c r="Q201" s="15" t="n">
        <v>5</v>
      </c>
    </row>
    <row r="202" customFormat="false" ht="15" hidden="false" customHeight="false" outlineLevel="0" collapsed="false">
      <c r="A202" s="15" t="n">
        <v>198</v>
      </c>
      <c r="B202" s="16" t="n">
        <v>20.05</v>
      </c>
      <c r="C202" s="15" t="n">
        <v>5</v>
      </c>
      <c r="D202" s="15" t="n">
        <v>4</v>
      </c>
      <c r="E202" s="15" t="n">
        <v>4</v>
      </c>
      <c r="F202" s="15" t="n">
        <v>5</v>
      </c>
      <c r="G202" s="15" t="n">
        <v>4</v>
      </c>
      <c r="H202" s="15" t="n">
        <v>4</v>
      </c>
      <c r="I202" s="15" t="n">
        <v>1</v>
      </c>
      <c r="J202" s="15" t="n">
        <v>3</v>
      </c>
      <c r="K202" s="15" t="n">
        <v>5</v>
      </c>
      <c r="L202" s="16" t="n">
        <v>1.777</v>
      </c>
      <c r="M202" s="16" t="n">
        <v>3.437</v>
      </c>
      <c r="N202" s="15" t="n">
        <v>1</v>
      </c>
      <c r="O202" s="15" t="n">
        <v>1</v>
      </c>
      <c r="P202" s="15" t="n">
        <v>1</v>
      </c>
      <c r="Q202" s="15" t="n">
        <v>5</v>
      </c>
    </row>
    <row r="203" customFormat="false" ht="15" hidden="false" customHeight="false" outlineLevel="0" collapsed="false">
      <c r="A203" s="15" t="n">
        <v>199</v>
      </c>
      <c r="B203" s="16" t="n">
        <v>20.15</v>
      </c>
      <c r="C203" s="15" t="n">
        <v>5</v>
      </c>
      <c r="D203" s="15" t="n">
        <v>5</v>
      </c>
      <c r="E203" s="15" t="n">
        <v>4</v>
      </c>
      <c r="F203" s="15" t="n">
        <v>5</v>
      </c>
      <c r="G203" s="15" t="n">
        <v>4</v>
      </c>
      <c r="H203" s="15" t="n">
        <v>4</v>
      </c>
      <c r="I203" s="15" t="n">
        <v>1</v>
      </c>
      <c r="J203" s="15" t="n">
        <v>3</v>
      </c>
      <c r="K203" s="15" t="n">
        <v>5</v>
      </c>
      <c r="L203" s="16" t="n">
        <v>1.386</v>
      </c>
      <c r="M203" s="16" t="n">
        <v>3.907</v>
      </c>
      <c r="N203" s="15" t="n">
        <v>1</v>
      </c>
      <c r="O203" s="15" t="n">
        <v>1</v>
      </c>
      <c r="P203" s="15" t="n">
        <v>1</v>
      </c>
      <c r="Q203" s="15" t="n">
        <v>1</v>
      </c>
    </row>
    <row r="204" customFormat="false" ht="15" hidden="false" customHeight="false" outlineLevel="0" collapsed="false">
      <c r="A204" s="15" t="n">
        <v>200</v>
      </c>
      <c r="B204" s="16" t="n">
        <v>20.248</v>
      </c>
      <c r="C204" s="15" t="n">
        <v>5</v>
      </c>
      <c r="D204" s="15" t="n">
        <v>5</v>
      </c>
      <c r="E204" s="15" t="n">
        <v>4</v>
      </c>
      <c r="F204" s="15" t="n">
        <v>5</v>
      </c>
      <c r="G204" s="15" t="n">
        <v>4</v>
      </c>
      <c r="H204" s="15" t="n">
        <v>4</v>
      </c>
      <c r="I204" s="15" t="n">
        <v>1</v>
      </c>
      <c r="J204" s="15" t="n">
        <v>3</v>
      </c>
      <c r="K204" s="15" t="n">
        <v>4</v>
      </c>
      <c r="L204" s="16" t="n">
        <v>1.263</v>
      </c>
      <c r="M204" s="16" t="n">
        <v>4</v>
      </c>
      <c r="N204" s="15" t="n">
        <v>1</v>
      </c>
      <c r="O204" s="15" t="n">
        <v>1</v>
      </c>
      <c r="P204" s="15" t="n">
        <v>1</v>
      </c>
      <c r="Q204" s="15" t="n">
        <v>1</v>
      </c>
    </row>
    <row r="205" customFormat="false" ht="15" hidden="false" customHeight="false" outlineLevel="0" collapsed="false">
      <c r="A205" s="15" t="n">
        <v>201</v>
      </c>
      <c r="B205" s="16" t="n">
        <v>20.347</v>
      </c>
      <c r="C205" s="15" t="n">
        <v>5</v>
      </c>
      <c r="D205" s="15" t="n">
        <v>5</v>
      </c>
      <c r="E205" s="15" t="n">
        <v>4</v>
      </c>
      <c r="F205" s="15" t="n">
        <v>5</v>
      </c>
      <c r="G205" s="15" t="n">
        <v>4</v>
      </c>
      <c r="H205" s="15" t="n">
        <v>4</v>
      </c>
      <c r="I205" s="15" t="n">
        <v>1</v>
      </c>
      <c r="J205" s="15" t="n">
        <v>3</v>
      </c>
      <c r="K205" s="15" t="n">
        <v>4</v>
      </c>
      <c r="L205" s="16" t="n">
        <v>1.197</v>
      </c>
      <c r="M205" s="16" t="n">
        <v>4</v>
      </c>
      <c r="N205" s="15" t="n">
        <v>1</v>
      </c>
      <c r="O205" s="15" t="n">
        <v>1</v>
      </c>
      <c r="P205" s="15" t="n">
        <v>1</v>
      </c>
      <c r="Q205" s="15" t="n">
        <v>1</v>
      </c>
    </row>
    <row r="206" customFormat="false" ht="15" hidden="false" customHeight="false" outlineLevel="0" collapsed="false">
      <c r="A206" s="15" t="n">
        <v>202</v>
      </c>
      <c r="B206" s="16" t="n">
        <v>20.445</v>
      </c>
      <c r="C206" s="15" t="n">
        <v>5</v>
      </c>
      <c r="D206" s="15" t="n">
        <v>5</v>
      </c>
      <c r="E206" s="15" t="n">
        <v>4</v>
      </c>
      <c r="F206" s="15" t="n">
        <v>5</v>
      </c>
      <c r="G206" s="15" t="n">
        <v>4</v>
      </c>
      <c r="H206" s="15" t="n">
        <v>4</v>
      </c>
      <c r="I206" s="15" t="n">
        <v>1</v>
      </c>
      <c r="J206" s="15" t="n">
        <v>3</v>
      </c>
      <c r="K206" s="15" t="n">
        <v>4</v>
      </c>
      <c r="L206" s="16" t="n">
        <v>1.157</v>
      </c>
      <c r="M206" s="16" t="n">
        <v>4</v>
      </c>
      <c r="N206" s="15" t="n">
        <v>1</v>
      </c>
      <c r="O206" s="15" t="n">
        <v>1</v>
      </c>
      <c r="P206" s="15" t="n">
        <v>1</v>
      </c>
      <c r="Q206" s="15" t="n">
        <v>1</v>
      </c>
    </row>
    <row r="207" customFormat="false" ht="15" hidden="false" customHeight="false" outlineLevel="0" collapsed="false">
      <c r="A207" s="15" t="n">
        <v>203</v>
      </c>
      <c r="B207" s="16" t="n">
        <v>20.543</v>
      </c>
      <c r="C207" s="15" t="n">
        <v>5</v>
      </c>
      <c r="D207" s="15" t="n">
        <v>5</v>
      </c>
      <c r="E207" s="15" t="n">
        <v>4</v>
      </c>
      <c r="F207" s="15" t="n">
        <v>5</v>
      </c>
      <c r="G207" s="15" t="n">
        <v>4</v>
      </c>
      <c r="H207" s="15" t="n">
        <v>4</v>
      </c>
      <c r="I207" s="15" t="n">
        <v>1</v>
      </c>
      <c r="J207" s="15" t="n">
        <v>3</v>
      </c>
      <c r="K207" s="15" t="n">
        <v>4</v>
      </c>
      <c r="L207" s="16" t="n">
        <v>1.219</v>
      </c>
      <c r="M207" s="16" t="n">
        <v>4</v>
      </c>
      <c r="N207" s="15" t="n">
        <v>1</v>
      </c>
      <c r="O207" s="15" t="n">
        <v>1</v>
      </c>
      <c r="P207" s="15" t="n">
        <v>1</v>
      </c>
      <c r="Q207" s="15" t="n">
        <v>1</v>
      </c>
    </row>
    <row r="208" customFormat="false" ht="15" hidden="false" customHeight="false" outlineLevel="0" collapsed="false">
      <c r="A208" s="15" t="n">
        <v>204</v>
      </c>
      <c r="B208" s="16" t="n">
        <v>20.641</v>
      </c>
      <c r="C208" s="15" t="n">
        <v>5</v>
      </c>
      <c r="D208" s="15" t="n">
        <v>5</v>
      </c>
      <c r="E208" s="15" t="n">
        <v>4</v>
      </c>
      <c r="F208" s="15" t="n">
        <v>5</v>
      </c>
      <c r="G208" s="15" t="n">
        <v>4</v>
      </c>
      <c r="H208" s="15" t="n">
        <v>4</v>
      </c>
      <c r="I208" s="15" t="n">
        <v>1</v>
      </c>
      <c r="J208" s="15" t="n">
        <v>3</v>
      </c>
      <c r="K208" s="15" t="n">
        <v>4</v>
      </c>
      <c r="L208" s="16" t="n">
        <v>1.276</v>
      </c>
      <c r="M208" s="16" t="n">
        <v>4</v>
      </c>
      <c r="N208" s="15" t="n">
        <v>1</v>
      </c>
      <c r="O208" s="15" t="n">
        <v>1</v>
      </c>
      <c r="P208" s="15" t="n">
        <v>1</v>
      </c>
      <c r="Q208" s="15" t="n">
        <v>1</v>
      </c>
    </row>
    <row r="209" customFormat="false" ht="15" hidden="false" customHeight="false" outlineLevel="0" collapsed="false">
      <c r="A209" s="15" t="n">
        <v>205</v>
      </c>
      <c r="B209" s="16" t="n">
        <v>20.74</v>
      </c>
      <c r="C209" s="15" t="n">
        <v>5</v>
      </c>
      <c r="D209" s="15" t="n">
        <v>5</v>
      </c>
      <c r="E209" s="15" t="n">
        <v>4</v>
      </c>
      <c r="F209" s="15" t="n">
        <v>5</v>
      </c>
      <c r="G209" s="15" t="n">
        <v>4</v>
      </c>
      <c r="H209" s="15" t="n">
        <v>4</v>
      </c>
      <c r="I209" s="15" t="n">
        <v>1</v>
      </c>
      <c r="J209" s="15" t="n">
        <v>3</v>
      </c>
      <c r="K209" s="15" t="n">
        <v>4</v>
      </c>
      <c r="L209" s="16" t="n">
        <v>1.261</v>
      </c>
      <c r="M209" s="16" t="n">
        <v>4</v>
      </c>
      <c r="N209" s="15" t="n">
        <v>1</v>
      </c>
      <c r="O209" s="15" t="n">
        <v>1</v>
      </c>
      <c r="P209" s="15" t="n">
        <v>1</v>
      </c>
      <c r="Q209" s="15" t="n">
        <v>1</v>
      </c>
    </row>
    <row r="210" customFormat="false" ht="15" hidden="false" customHeight="false" outlineLevel="0" collapsed="false">
      <c r="A210" s="15" t="n">
        <v>206</v>
      </c>
      <c r="B210" s="16" t="n">
        <v>20.84</v>
      </c>
      <c r="C210" s="15" t="n">
        <v>5</v>
      </c>
      <c r="D210" s="15" t="n">
        <v>5</v>
      </c>
      <c r="E210" s="15" t="n">
        <v>4</v>
      </c>
      <c r="F210" s="15" t="n">
        <v>5</v>
      </c>
      <c r="G210" s="15" t="n">
        <v>4</v>
      </c>
      <c r="H210" s="15" t="n">
        <v>4</v>
      </c>
      <c r="I210" s="15" t="n">
        <v>1</v>
      </c>
      <c r="J210" s="15" t="n">
        <v>3</v>
      </c>
      <c r="K210" s="15" t="n">
        <v>4</v>
      </c>
      <c r="L210" s="16" t="n">
        <v>1.218</v>
      </c>
      <c r="M210" s="16" t="n">
        <v>3.78</v>
      </c>
      <c r="N210" s="15" t="n">
        <v>1</v>
      </c>
      <c r="O210" s="15" t="n">
        <v>1</v>
      </c>
      <c r="P210" s="15" t="n">
        <v>1</v>
      </c>
      <c r="Q210" s="15" t="n">
        <v>1</v>
      </c>
    </row>
    <row r="211" customFormat="false" ht="15" hidden="false" customHeight="false" outlineLevel="0" collapsed="false">
      <c r="A211" s="15" t="n">
        <v>207</v>
      </c>
      <c r="B211" s="16" t="n">
        <v>20.939</v>
      </c>
      <c r="C211" s="15" t="n">
        <v>5</v>
      </c>
      <c r="D211" s="15" t="n">
        <v>5</v>
      </c>
      <c r="E211" s="15" t="n">
        <v>4</v>
      </c>
      <c r="F211" s="15" t="n">
        <v>5</v>
      </c>
      <c r="G211" s="15" t="n">
        <v>4</v>
      </c>
      <c r="H211" s="15" t="n">
        <v>4</v>
      </c>
      <c r="I211" s="15" t="n">
        <v>2</v>
      </c>
      <c r="J211" s="15" t="n">
        <v>3</v>
      </c>
      <c r="K211" s="15" t="n">
        <v>4</v>
      </c>
      <c r="L211" s="16" t="n">
        <v>1.524</v>
      </c>
      <c r="M211" s="16" t="n">
        <v>3.214</v>
      </c>
      <c r="N211" s="15" t="n">
        <v>1</v>
      </c>
      <c r="O211" s="15" t="n">
        <v>1</v>
      </c>
      <c r="P211" s="15" t="n">
        <v>1</v>
      </c>
      <c r="Q211" s="15" t="n">
        <v>1</v>
      </c>
    </row>
    <row r="212" customFormat="false" ht="15" hidden="false" customHeight="false" outlineLevel="0" collapsed="false">
      <c r="A212" s="15" t="n">
        <v>208</v>
      </c>
      <c r="B212" s="16" t="n">
        <v>21.04</v>
      </c>
      <c r="C212" s="15" t="n">
        <v>5</v>
      </c>
      <c r="D212" s="15" t="n">
        <v>5</v>
      </c>
      <c r="E212" s="15" t="n">
        <v>5</v>
      </c>
      <c r="F212" s="15" t="n">
        <v>5</v>
      </c>
      <c r="G212" s="15" t="n">
        <v>4</v>
      </c>
      <c r="H212" s="15" t="n">
        <v>3</v>
      </c>
      <c r="I212" s="15" t="n">
        <v>4</v>
      </c>
      <c r="J212" s="15" t="n">
        <v>3</v>
      </c>
      <c r="K212" s="15" t="n">
        <v>4</v>
      </c>
      <c r="L212" s="16" t="n">
        <v>1.519</v>
      </c>
      <c r="M212" s="16" t="n">
        <v>3.573</v>
      </c>
      <c r="N212" s="15" t="n">
        <v>1</v>
      </c>
      <c r="O212" s="15" t="n">
        <v>1</v>
      </c>
      <c r="P212" s="15" t="n">
        <v>1</v>
      </c>
      <c r="Q212" s="15" t="n">
        <v>5</v>
      </c>
    </row>
    <row r="213" customFormat="false" ht="15" hidden="false" customHeight="false" outlineLevel="0" collapsed="false">
      <c r="A213" s="15" t="n">
        <v>209</v>
      </c>
      <c r="B213" s="16" t="n">
        <v>21.14</v>
      </c>
      <c r="C213" s="15" t="n">
        <v>5</v>
      </c>
      <c r="D213" s="15" t="n">
        <v>5</v>
      </c>
      <c r="E213" s="15" t="n">
        <v>5</v>
      </c>
      <c r="F213" s="15" t="n">
        <v>5</v>
      </c>
      <c r="G213" s="15" t="n">
        <v>4</v>
      </c>
      <c r="H213" s="15" t="n">
        <v>3</v>
      </c>
      <c r="I213" s="15" t="n">
        <v>5</v>
      </c>
      <c r="J213" s="15" t="n">
        <v>3</v>
      </c>
      <c r="K213" s="15" t="n">
        <v>4</v>
      </c>
      <c r="L213" s="16" t="n">
        <v>1.185</v>
      </c>
      <c r="M213" s="16" t="n">
        <v>4</v>
      </c>
      <c r="N213" s="15" t="n">
        <v>1</v>
      </c>
      <c r="O213" s="15" t="n">
        <v>1</v>
      </c>
      <c r="P213" s="15" t="n">
        <v>1</v>
      </c>
      <c r="Q213" s="15" t="n">
        <v>1</v>
      </c>
    </row>
    <row r="214" customFormat="false" ht="15" hidden="false" customHeight="false" outlineLevel="0" collapsed="false">
      <c r="A214" s="15" t="n">
        <v>210</v>
      </c>
      <c r="B214" s="16" t="n">
        <v>21.24</v>
      </c>
      <c r="C214" s="15" t="n">
        <v>5</v>
      </c>
      <c r="D214" s="15" t="n">
        <v>5</v>
      </c>
      <c r="E214" s="15" t="n">
        <v>5</v>
      </c>
      <c r="F214" s="15" t="n">
        <v>5</v>
      </c>
      <c r="G214" s="15" t="n">
        <v>4</v>
      </c>
      <c r="H214" s="15" t="n">
        <v>3</v>
      </c>
      <c r="I214" s="15" t="n">
        <v>5</v>
      </c>
      <c r="J214" s="15" t="n">
        <v>3</v>
      </c>
      <c r="K214" s="15" t="n">
        <v>4</v>
      </c>
      <c r="L214" s="16" t="n">
        <v>1.205</v>
      </c>
      <c r="M214" s="16" t="n">
        <v>3.868</v>
      </c>
      <c r="N214" s="15" t="n">
        <v>1</v>
      </c>
      <c r="O214" s="15" t="n">
        <v>1</v>
      </c>
      <c r="P214" s="15" t="n">
        <v>1</v>
      </c>
      <c r="Q214" s="15" t="n">
        <v>5</v>
      </c>
    </row>
    <row r="215" customFormat="false" ht="15" hidden="false" customHeight="false" outlineLevel="0" collapsed="false">
      <c r="A215" s="15" t="n">
        <v>211</v>
      </c>
      <c r="B215" s="16" t="n">
        <v>21.341</v>
      </c>
      <c r="C215" s="15" t="n">
        <v>5</v>
      </c>
      <c r="D215" s="15" t="n">
        <v>5</v>
      </c>
      <c r="E215" s="15" t="n">
        <v>5</v>
      </c>
      <c r="F215" s="15" t="n">
        <v>5</v>
      </c>
      <c r="G215" s="15" t="n">
        <v>4</v>
      </c>
      <c r="H215" s="15" t="n">
        <v>3</v>
      </c>
      <c r="I215" s="15" t="n">
        <v>5</v>
      </c>
      <c r="J215" s="15" t="n">
        <v>3</v>
      </c>
      <c r="K215" s="15" t="n">
        <v>4</v>
      </c>
      <c r="L215" s="16" t="n">
        <v>1.305</v>
      </c>
      <c r="M215" s="16" t="n">
        <v>3.62</v>
      </c>
      <c r="N215" s="15" t="n">
        <v>1</v>
      </c>
      <c r="O215" s="15" t="n">
        <v>1</v>
      </c>
      <c r="P215" s="15" t="n">
        <v>1</v>
      </c>
      <c r="Q215" s="15" t="n">
        <v>5</v>
      </c>
    </row>
    <row r="216" customFormat="false" ht="15" hidden="false" customHeight="false" outlineLevel="0" collapsed="false">
      <c r="A216" s="15" t="n">
        <v>212</v>
      </c>
      <c r="B216" s="16" t="n">
        <v>21.441</v>
      </c>
      <c r="C216" s="15" t="n">
        <v>5</v>
      </c>
      <c r="D216" s="15" t="n">
        <v>5</v>
      </c>
      <c r="E216" s="15" t="n">
        <v>5</v>
      </c>
      <c r="F216" s="15" t="n">
        <v>5</v>
      </c>
      <c r="G216" s="15" t="n">
        <v>4</v>
      </c>
      <c r="H216" s="15" t="n">
        <v>3</v>
      </c>
      <c r="I216" s="15" t="n">
        <v>5</v>
      </c>
      <c r="J216" s="15" t="n">
        <v>3</v>
      </c>
      <c r="K216" s="15" t="n">
        <v>4</v>
      </c>
      <c r="L216" s="16" t="n">
        <v>1.496</v>
      </c>
      <c r="M216" s="16" t="n">
        <v>3.463</v>
      </c>
      <c r="N216" s="15" t="n">
        <v>1</v>
      </c>
      <c r="O216" s="15" t="n">
        <v>1</v>
      </c>
      <c r="P216" s="15" t="n">
        <v>1</v>
      </c>
      <c r="Q216" s="15" t="n">
        <v>5</v>
      </c>
    </row>
    <row r="217" customFormat="false" ht="15" hidden="false" customHeight="false" outlineLevel="0" collapsed="false">
      <c r="A217" s="15" t="n">
        <v>213</v>
      </c>
      <c r="B217" s="16" t="n">
        <v>21.542</v>
      </c>
      <c r="C217" s="15" t="n">
        <v>5</v>
      </c>
      <c r="D217" s="15" t="n">
        <v>5</v>
      </c>
      <c r="E217" s="15" t="n">
        <v>5</v>
      </c>
      <c r="F217" s="15" t="n">
        <v>5</v>
      </c>
      <c r="G217" s="15" t="n">
        <v>4</v>
      </c>
      <c r="H217" s="15" t="n">
        <v>3</v>
      </c>
      <c r="I217" s="15" t="n">
        <v>5</v>
      </c>
      <c r="J217" s="15" t="n">
        <v>3</v>
      </c>
      <c r="K217" s="15" t="n">
        <v>4</v>
      </c>
      <c r="L217" s="16" t="n">
        <v>1.913</v>
      </c>
      <c r="M217" s="16" t="n">
        <v>3.354</v>
      </c>
      <c r="N217" s="15" t="n">
        <v>1</v>
      </c>
      <c r="O217" s="15" t="n">
        <v>1</v>
      </c>
      <c r="P217" s="15" t="n">
        <v>1</v>
      </c>
      <c r="Q217" s="15" t="n">
        <v>5</v>
      </c>
    </row>
    <row r="218" customFormat="false" ht="15" hidden="false" customHeight="false" outlineLevel="0" collapsed="false">
      <c r="A218" s="15" t="n">
        <v>214</v>
      </c>
      <c r="B218" s="16" t="n">
        <v>21.642</v>
      </c>
      <c r="C218" s="15" t="n">
        <v>5</v>
      </c>
      <c r="D218" s="15" t="n">
        <v>5</v>
      </c>
      <c r="E218" s="15" t="n">
        <v>5</v>
      </c>
      <c r="F218" s="15" t="n">
        <v>5</v>
      </c>
      <c r="G218" s="15" t="n">
        <v>4</v>
      </c>
      <c r="H218" s="15" t="n">
        <v>3</v>
      </c>
      <c r="I218" s="15" t="n">
        <v>5</v>
      </c>
      <c r="J218" s="15" t="n">
        <v>3</v>
      </c>
      <c r="K218" s="15" t="n">
        <v>4</v>
      </c>
      <c r="L218" s="16" t="n">
        <v>3.202</v>
      </c>
      <c r="M218" s="16" t="n">
        <v>2.255</v>
      </c>
      <c r="N218" s="15" t="n">
        <v>1</v>
      </c>
      <c r="O218" s="15" t="n">
        <v>1</v>
      </c>
      <c r="P218" s="15" t="n">
        <v>1</v>
      </c>
      <c r="Q218" s="15" t="n">
        <v>1</v>
      </c>
    </row>
    <row r="219" customFormat="false" ht="15" hidden="false" customHeight="false" outlineLevel="0" collapsed="false">
      <c r="A219" s="15" t="n">
        <v>215</v>
      </c>
      <c r="B219" s="16" t="n">
        <v>21.743</v>
      </c>
      <c r="C219" s="15" t="n">
        <v>5</v>
      </c>
      <c r="D219" s="15" t="n">
        <v>5</v>
      </c>
      <c r="E219" s="15" t="n">
        <v>5</v>
      </c>
      <c r="F219" s="15" t="n">
        <v>5</v>
      </c>
      <c r="G219" s="15" t="n">
        <v>4</v>
      </c>
      <c r="H219" s="15" t="n">
        <v>3</v>
      </c>
      <c r="I219" s="15" t="n">
        <v>5</v>
      </c>
      <c r="J219" s="15" t="n">
        <v>3</v>
      </c>
      <c r="K219" s="15" t="n">
        <v>4</v>
      </c>
      <c r="L219" s="16" t="n">
        <v>3.632</v>
      </c>
      <c r="M219" s="16" t="n">
        <v>2.207</v>
      </c>
      <c r="N219" s="15" t="n">
        <v>1</v>
      </c>
      <c r="O219" s="15" t="n">
        <v>1</v>
      </c>
      <c r="P219" s="15" t="n">
        <v>1</v>
      </c>
      <c r="Q219" s="15" t="n">
        <v>5</v>
      </c>
    </row>
    <row r="220" customFormat="false" ht="15" hidden="false" customHeight="false" outlineLevel="0" collapsed="false">
      <c r="A220" s="15" t="n">
        <v>216</v>
      </c>
      <c r="B220" s="16" t="n">
        <v>21.843</v>
      </c>
      <c r="C220" s="15" t="n">
        <v>5</v>
      </c>
      <c r="D220" s="15" t="n">
        <v>5</v>
      </c>
      <c r="E220" s="15" t="n">
        <v>5</v>
      </c>
      <c r="F220" s="15" t="n">
        <v>5</v>
      </c>
      <c r="G220" s="15" t="n">
        <v>4</v>
      </c>
      <c r="H220" s="15" t="n">
        <v>3</v>
      </c>
      <c r="I220" s="15" t="n">
        <v>5</v>
      </c>
      <c r="J220" s="15" t="n">
        <v>3</v>
      </c>
      <c r="K220" s="15" t="n">
        <v>4</v>
      </c>
      <c r="L220" s="16" t="n">
        <v>2.341</v>
      </c>
      <c r="M220" s="16" t="n">
        <v>3.711</v>
      </c>
      <c r="N220" s="15" t="n">
        <v>1</v>
      </c>
      <c r="O220" s="15" t="n">
        <v>1</v>
      </c>
      <c r="P220" s="15" t="n">
        <v>1</v>
      </c>
      <c r="Q220" s="15" t="n">
        <v>1</v>
      </c>
    </row>
    <row r="221" customFormat="false" ht="15" hidden="false" customHeight="false" outlineLevel="0" collapsed="false">
      <c r="A221" s="15" t="n">
        <v>217</v>
      </c>
      <c r="B221" s="16" t="n">
        <v>21.944</v>
      </c>
      <c r="C221" s="15" t="n">
        <v>5</v>
      </c>
      <c r="D221" s="15" t="n">
        <v>5</v>
      </c>
      <c r="E221" s="15" t="n">
        <v>5</v>
      </c>
      <c r="F221" s="15" t="n">
        <v>5</v>
      </c>
      <c r="G221" s="15" t="n">
        <v>4</v>
      </c>
      <c r="H221" s="15" t="n">
        <v>3</v>
      </c>
      <c r="I221" s="15" t="n">
        <v>5</v>
      </c>
      <c r="J221" s="15" t="n">
        <v>3</v>
      </c>
      <c r="K221" s="15" t="n">
        <v>4</v>
      </c>
      <c r="L221" s="16" t="n">
        <v>3.175</v>
      </c>
      <c r="M221" s="16" t="n">
        <v>3.049</v>
      </c>
      <c r="N221" s="15" t="n">
        <v>1</v>
      </c>
      <c r="O221" s="15" t="n">
        <v>1</v>
      </c>
      <c r="P221" s="15" t="n">
        <v>1</v>
      </c>
      <c r="Q221" s="15" t="n">
        <v>5</v>
      </c>
    </row>
    <row r="222" customFormat="false" ht="15" hidden="false" customHeight="false" outlineLevel="0" collapsed="false">
      <c r="A222" s="15" t="n">
        <v>218</v>
      </c>
      <c r="B222" s="16" t="n">
        <v>22.045</v>
      </c>
      <c r="C222" s="15" t="n">
        <v>5</v>
      </c>
      <c r="D222" s="15" t="n">
        <v>4</v>
      </c>
      <c r="E222" s="15" t="n">
        <v>5</v>
      </c>
      <c r="F222" s="15" t="n">
        <v>5</v>
      </c>
      <c r="G222" s="15" t="n">
        <v>4</v>
      </c>
      <c r="H222" s="15" t="n">
        <v>3</v>
      </c>
      <c r="I222" s="15" t="n">
        <v>5</v>
      </c>
      <c r="J222" s="15" t="n">
        <v>3</v>
      </c>
      <c r="K222" s="15" t="n">
        <v>5</v>
      </c>
      <c r="L222" s="16" t="n">
        <v>3.598</v>
      </c>
      <c r="M222" s="16" t="n">
        <v>2.008</v>
      </c>
      <c r="N222" s="15" t="n">
        <v>1</v>
      </c>
      <c r="O222" s="15" t="n">
        <v>1</v>
      </c>
      <c r="P222" s="15" t="n">
        <v>1</v>
      </c>
      <c r="Q222" s="15" t="n">
        <v>5</v>
      </c>
    </row>
    <row r="223" customFormat="false" ht="15" hidden="false" customHeight="false" outlineLevel="0" collapsed="false">
      <c r="A223" s="15" t="n">
        <v>219</v>
      </c>
      <c r="B223" s="16" t="n">
        <v>22.146</v>
      </c>
      <c r="C223" s="15" t="n">
        <v>5</v>
      </c>
      <c r="D223" s="15" t="n">
        <v>4</v>
      </c>
      <c r="E223" s="15" t="n">
        <v>5</v>
      </c>
      <c r="F223" s="15" t="n">
        <v>5</v>
      </c>
      <c r="G223" s="15" t="n">
        <v>4</v>
      </c>
      <c r="H223" s="15" t="n">
        <v>3</v>
      </c>
      <c r="I223" s="15" t="n">
        <v>5</v>
      </c>
      <c r="J223" s="15" t="n">
        <v>3</v>
      </c>
      <c r="K223" s="15" t="n">
        <v>5</v>
      </c>
      <c r="L223" s="16" t="n">
        <v>3.581</v>
      </c>
      <c r="M223" s="16" t="n">
        <v>2</v>
      </c>
      <c r="N223" s="15" t="n">
        <v>1</v>
      </c>
      <c r="O223" s="15" t="n">
        <v>1</v>
      </c>
      <c r="P223" s="15" t="n">
        <v>1</v>
      </c>
      <c r="Q223" s="15" t="n">
        <v>5</v>
      </c>
    </row>
    <row r="224" customFormat="false" ht="15" hidden="false" customHeight="false" outlineLevel="0" collapsed="false">
      <c r="A224" s="15" t="n">
        <v>220</v>
      </c>
      <c r="B224" s="16" t="n">
        <v>22.247</v>
      </c>
      <c r="C224" s="15" t="n">
        <v>5</v>
      </c>
      <c r="D224" s="15" t="n">
        <v>4</v>
      </c>
      <c r="E224" s="15" t="n">
        <v>5</v>
      </c>
      <c r="F224" s="15" t="n">
        <v>5</v>
      </c>
      <c r="G224" s="15" t="n">
        <v>4</v>
      </c>
      <c r="H224" s="15" t="n">
        <v>3</v>
      </c>
      <c r="I224" s="15" t="n">
        <v>5</v>
      </c>
      <c r="J224" s="15" t="n">
        <v>3</v>
      </c>
      <c r="K224" s="15" t="n">
        <v>5</v>
      </c>
      <c r="L224" s="16" t="n">
        <v>3.672</v>
      </c>
      <c r="M224" s="16" t="n">
        <v>2</v>
      </c>
      <c r="N224" s="15" t="n">
        <v>1</v>
      </c>
      <c r="O224" s="15" t="n">
        <v>1</v>
      </c>
      <c r="P224" s="15" t="n">
        <v>1</v>
      </c>
      <c r="Q224" s="15" t="n">
        <v>5</v>
      </c>
    </row>
    <row r="225" customFormat="false" ht="15" hidden="false" customHeight="false" outlineLevel="0" collapsed="false">
      <c r="A225" s="15" t="n">
        <v>221</v>
      </c>
      <c r="B225" s="16" t="n">
        <v>22.348</v>
      </c>
      <c r="C225" s="15" t="n">
        <v>5</v>
      </c>
      <c r="D225" s="15" t="n">
        <v>4</v>
      </c>
      <c r="E225" s="15" t="n">
        <v>5</v>
      </c>
      <c r="F225" s="15" t="n">
        <v>5</v>
      </c>
      <c r="G225" s="15" t="n">
        <v>4</v>
      </c>
      <c r="H225" s="15" t="n">
        <v>3</v>
      </c>
      <c r="I225" s="15" t="n">
        <v>5</v>
      </c>
      <c r="J225" s="15" t="n">
        <v>3</v>
      </c>
      <c r="K225" s="15" t="n">
        <v>5</v>
      </c>
      <c r="L225" s="16" t="n">
        <v>3.729</v>
      </c>
      <c r="M225" s="16" t="n">
        <v>2</v>
      </c>
      <c r="N225" s="15" t="n">
        <v>1</v>
      </c>
      <c r="O225" s="15" t="n">
        <v>1</v>
      </c>
      <c r="P225" s="15" t="n">
        <v>1</v>
      </c>
      <c r="Q225" s="15" t="n">
        <v>5</v>
      </c>
    </row>
    <row r="226" customFormat="false" ht="15" hidden="false" customHeight="false" outlineLevel="0" collapsed="false">
      <c r="A226" s="15" t="n">
        <v>222</v>
      </c>
      <c r="B226" s="16" t="n">
        <v>22.45</v>
      </c>
      <c r="C226" s="15" t="n">
        <v>5</v>
      </c>
      <c r="D226" s="15" t="n">
        <v>4</v>
      </c>
      <c r="E226" s="15" t="n">
        <v>5</v>
      </c>
      <c r="F226" s="15" t="n">
        <v>5</v>
      </c>
      <c r="G226" s="15" t="n">
        <v>4</v>
      </c>
      <c r="H226" s="15" t="n">
        <v>3</v>
      </c>
      <c r="I226" s="15" t="n">
        <v>4</v>
      </c>
      <c r="J226" s="15" t="n">
        <v>3</v>
      </c>
      <c r="K226" s="15" t="n">
        <v>5</v>
      </c>
      <c r="L226" s="16" t="n">
        <v>3.602</v>
      </c>
      <c r="M226" s="16" t="n">
        <v>2</v>
      </c>
      <c r="N226" s="15" t="n">
        <v>1</v>
      </c>
      <c r="O226" s="15" t="n">
        <v>1</v>
      </c>
      <c r="P226" s="15" t="n">
        <v>1</v>
      </c>
      <c r="Q226" s="15" t="n">
        <v>5</v>
      </c>
    </row>
    <row r="227" customFormat="false" ht="15" hidden="false" customHeight="false" outlineLevel="0" collapsed="false">
      <c r="A227" s="15" t="n">
        <v>223</v>
      </c>
      <c r="B227" s="16" t="n">
        <v>22.552</v>
      </c>
      <c r="C227" s="15" t="n">
        <v>5</v>
      </c>
      <c r="D227" s="15" t="n">
        <v>4</v>
      </c>
      <c r="E227" s="15" t="n">
        <v>5</v>
      </c>
      <c r="F227" s="15" t="n">
        <v>5</v>
      </c>
      <c r="G227" s="15" t="n">
        <v>4</v>
      </c>
      <c r="H227" s="15" t="n">
        <v>3</v>
      </c>
      <c r="I227" s="15" t="n">
        <v>4</v>
      </c>
      <c r="J227" s="15" t="n">
        <v>3</v>
      </c>
      <c r="K227" s="15" t="n">
        <v>5</v>
      </c>
      <c r="L227" s="16" t="n">
        <v>3.537</v>
      </c>
      <c r="M227" s="16" t="n">
        <v>2</v>
      </c>
      <c r="N227" s="15" t="n">
        <v>1</v>
      </c>
      <c r="O227" s="15" t="n">
        <v>1</v>
      </c>
      <c r="P227" s="15" t="n">
        <v>1</v>
      </c>
      <c r="Q227" s="15" t="n">
        <v>5</v>
      </c>
    </row>
    <row r="228" customFormat="false" ht="15" hidden="false" customHeight="false" outlineLevel="0" collapsed="false">
      <c r="A228" s="15" t="n">
        <v>224</v>
      </c>
      <c r="B228" s="16" t="n">
        <v>22.653</v>
      </c>
      <c r="C228" s="15" t="n">
        <v>5</v>
      </c>
      <c r="D228" s="15" t="n">
        <v>4</v>
      </c>
      <c r="E228" s="15" t="n">
        <v>5</v>
      </c>
      <c r="F228" s="15" t="n">
        <v>5</v>
      </c>
      <c r="G228" s="15" t="n">
        <v>4</v>
      </c>
      <c r="H228" s="15" t="n">
        <v>3</v>
      </c>
      <c r="I228" s="15" t="n">
        <v>4</v>
      </c>
      <c r="J228" s="15" t="n">
        <v>3</v>
      </c>
      <c r="K228" s="15" t="n">
        <v>5</v>
      </c>
      <c r="L228" s="16" t="n">
        <v>3.606</v>
      </c>
      <c r="M228" s="16" t="n">
        <v>2</v>
      </c>
      <c r="N228" s="15" t="n">
        <v>1</v>
      </c>
      <c r="O228" s="15" t="n">
        <v>1</v>
      </c>
      <c r="P228" s="15" t="n">
        <v>1</v>
      </c>
      <c r="Q228" s="15" t="n">
        <v>5</v>
      </c>
    </row>
    <row r="229" customFormat="false" ht="15" hidden="false" customHeight="false" outlineLevel="0" collapsed="false">
      <c r="A229" s="15" t="n">
        <v>225</v>
      </c>
      <c r="B229" s="16" t="n">
        <v>22.754</v>
      </c>
      <c r="C229" s="15" t="n">
        <v>5</v>
      </c>
      <c r="D229" s="15" t="n">
        <v>4</v>
      </c>
      <c r="E229" s="15" t="n">
        <v>5</v>
      </c>
      <c r="F229" s="15" t="n">
        <v>5</v>
      </c>
      <c r="G229" s="15" t="n">
        <v>4</v>
      </c>
      <c r="H229" s="15" t="n">
        <v>3</v>
      </c>
      <c r="I229" s="15" t="n">
        <v>4</v>
      </c>
      <c r="J229" s="15" t="n">
        <v>3</v>
      </c>
      <c r="K229" s="15" t="n">
        <v>5</v>
      </c>
      <c r="L229" s="16" t="n">
        <v>3.606</v>
      </c>
      <c r="M229" s="16" t="n">
        <v>2</v>
      </c>
      <c r="N229" s="15" t="n">
        <v>1</v>
      </c>
      <c r="O229" s="15" t="n">
        <v>1</v>
      </c>
      <c r="P229" s="15" t="n">
        <v>1</v>
      </c>
      <c r="Q229" s="15" t="n">
        <v>5</v>
      </c>
    </row>
    <row r="230" customFormat="false" ht="15" hidden="false" customHeight="false" outlineLevel="0" collapsed="false">
      <c r="A230" s="15" t="n">
        <v>226</v>
      </c>
      <c r="B230" s="16" t="n">
        <v>22.854</v>
      </c>
      <c r="C230" s="15" t="n">
        <v>5</v>
      </c>
      <c r="D230" s="15" t="n">
        <v>4</v>
      </c>
      <c r="E230" s="15" t="n">
        <v>5</v>
      </c>
      <c r="F230" s="15" t="n">
        <v>5</v>
      </c>
      <c r="G230" s="15" t="n">
        <v>4</v>
      </c>
      <c r="H230" s="15" t="n">
        <v>3</v>
      </c>
      <c r="I230" s="15" t="n">
        <v>3</v>
      </c>
      <c r="J230" s="15" t="n">
        <v>3</v>
      </c>
      <c r="K230" s="15" t="n">
        <v>5</v>
      </c>
      <c r="L230" s="16" t="n">
        <v>3.68</v>
      </c>
      <c r="M230" s="16" t="n">
        <v>2</v>
      </c>
      <c r="N230" s="15" t="n">
        <v>1</v>
      </c>
      <c r="O230" s="15" t="n">
        <v>1</v>
      </c>
      <c r="P230" s="15" t="n">
        <v>1</v>
      </c>
      <c r="Q230" s="15" t="n">
        <v>5</v>
      </c>
    </row>
    <row r="231" customFormat="false" ht="15" hidden="false" customHeight="false" outlineLevel="0" collapsed="false">
      <c r="A231" s="15" t="n">
        <v>227</v>
      </c>
      <c r="B231" s="16" t="n">
        <v>22.953</v>
      </c>
      <c r="C231" s="15" t="n">
        <v>5</v>
      </c>
      <c r="D231" s="15" t="n">
        <v>4</v>
      </c>
      <c r="E231" s="15" t="n">
        <v>4</v>
      </c>
      <c r="F231" s="15" t="n">
        <v>5</v>
      </c>
      <c r="G231" s="15" t="n">
        <v>4</v>
      </c>
      <c r="H231" s="15" t="n">
        <v>3</v>
      </c>
      <c r="I231" s="15" t="n">
        <v>3</v>
      </c>
      <c r="J231" s="15" t="n">
        <v>3</v>
      </c>
      <c r="K231" s="15" t="n">
        <v>5</v>
      </c>
      <c r="L231" s="16" t="n">
        <v>3.823</v>
      </c>
      <c r="M231" s="16" t="n">
        <v>2</v>
      </c>
      <c r="N231" s="15" t="n">
        <v>1</v>
      </c>
      <c r="O231" s="15" t="n">
        <v>1</v>
      </c>
      <c r="P231" s="15" t="n">
        <v>1</v>
      </c>
      <c r="Q231" s="15" t="n">
        <v>5</v>
      </c>
    </row>
    <row r="232" customFormat="false" ht="15" hidden="false" customHeight="false" outlineLevel="0" collapsed="false">
      <c r="A232" s="15" t="n">
        <v>228</v>
      </c>
      <c r="B232" s="16" t="n">
        <v>23.051</v>
      </c>
      <c r="C232" s="15" t="n">
        <v>5</v>
      </c>
      <c r="D232" s="15" t="n">
        <v>4</v>
      </c>
      <c r="E232" s="15" t="n">
        <v>4</v>
      </c>
      <c r="F232" s="15" t="n">
        <v>5</v>
      </c>
      <c r="G232" s="15" t="n">
        <v>4</v>
      </c>
      <c r="H232" s="15" t="n">
        <v>3</v>
      </c>
      <c r="I232" s="15" t="n">
        <v>3</v>
      </c>
      <c r="J232" s="15" t="n">
        <v>3</v>
      </c>
      <c r="K232" s="15" t="n">
        <v>5</v>
      </c>
      <c r="L232" s="16" t="n">
        <v>3.813</v>
      </c>
      <c r="M232" s="16" t="n">
        <v>2</v>
      </c>
      <c r="N232" s="15" t="n">
        <v>1</v>
      </c>
      <c r="O232" s="15" t="n">
        <v>1</v>
      </c>
      <c r="P232" s="15" t="n">
        <v>1</v>
      </c>
      <c r="Q232" s="15" t="n">
        <v>5</v>
      </c>
    </row>
    <row r="233" customFormat="false" ht="15" hidden="false" customHeight="false" outlineLevel="0" collapsed="false">
      <c r="A233" s="15" t="n">
        <v>229</v>
      </c>
      <c r="B233" s="16" t="n">
        <v>23.147</v>
      </c>
      <c r="C233" s="15" t="n">
        <v>5</v>
      </c>
      <c r="D233" s="15" t="n">
        <v>4</v>
      </c>
      <c r="E233" s="15" t="n">
        <v>4</v>
      </c>
      <c r="F233" s="15" t="n">
        <v>5</v>
      </c>
      <c r="G233" s="15" t="n">
        <v>4</v>
      </c>
      <c r="H233" s="15" t="n">
        <v>3</v>
      </c>
      <c r="I233" s="15" t="n">
        <v>3</v>
      </c>
      <c r="J233" s="15" t="n">
        <v>3</v>
      </c>
      <c r="K233" s="15" t="n">
        <v>5</v>
      </c>
      <c r="L233" s="16" t="n">
        <v>3.682</v>
      </c>
      <c r="M233" s="16" t="n">
        <v>2</v>
      </c>
      <c r="N233" s="15" t="n">
        <v>1</v>
      </c>
      <c r="O233" s="15" t="n">
        <v>1</v>
      </c>
      <c r="P233" s="15" t="n">
        <v>1</v>
      </c>
      <c r="Q233" s="15" t="n">
        <v>5</v>
      </c>
    </row>
    <row r="234" customFormat="false" ht="15" hidden="false" customHeight="false" outlineLevel="0" collapsed="false">
      <c r="A234" s="15" t="n">
        <v>230</v>
      </c>
      <c r="B234" s="16" t="n">
        <v>23.244</v>
      </c>
      <c r="C234" s="15" t="n">
        <v>5</v>
      </c>
      <c r="D234" s="15" t="n">
        <v>4</v>
      </c>
      <c r="E234" s="15" t="n">
        <v>4</v>
      </c>
      <c r="F234" s="15" t="n">
        <v>5</v>
      </c>
      <c r="G234" s="15" t="n">
        <v>4</v>
      </c>
      <c r="H234" s="15" t="n">
        <v>3</v>
      </c>
      <c r="I234" s="15" t="n">
        <v>2</v>
      </c>
      <c r="J234" s="15" t="n">
        <v>3</v>
      </c>
      <c r="K234" s="15" t="n">
        <v>5</v>
      </c>
      <c r="L234" s="16" t="n">
        <v>3.775</v>
      </c>
      <c r="M234" s="16" t="n">
        <v>2</v>
      </c>
      <c r="N234" s="15" t="n">
        <v>1</v>
      </c>
      <c r="O234" s="15" t="n">
        <v>1</v>
      </c>
      <c r="P234" s="15" t="n">
        <v>1</v>
      </c>
      <c r="Q234" s="15" t="n">
        <v>5</v>
      </c>
    </row>
    <row r="235" customFormat="false" ht="15" hidden="false" customHeight="false" outlineLevel="0" collapsed="false">
      <c r="A235" s="15" t="n">
        <v>231</v>
      </c>
      <c r="B235" s="16" t="n">
        <v>23.342</v>
      </c>
      <c r="C235" s="15" t="n">
        <v>5</v>
      </c>
      <c r="D235" s="15" t="n">
        <v>4</v>
      </c>
      <c r="E235" s="15" t="n">
        <v>4</v>
      </c>
      <c r="F235" s="15" t="n">
        <v>5</v>
      </c>
      <c r="G235" s="15" t="n">
        <v>4</v>
      </c>
      <c r="H235" s="15" t="n">
        <v>3</v>
      </c>
      <c r="I235" s="15" t="n">
        <v>2</v>
      </c>
      <c r="J235" s="15" t="n">
        <v>3</v>
      </c>
      <c r="K235" s="15" t="n">
        <v>5</v>
      </c>
      <c r="L235" s="16" t="n">
        <v>3.838</v>
      </c>
      <c r="M235" s="16" t="n">
        <v>2</v>
      </c>
      <c r="N235" s="15" t="n">
        <v>1</v>
      </c>
      <c r="O235" s="15" t="n">
        <v>1</v>
      </c>
      <c r="P235" s="15" t="n">
        <v>1</v>
      </c>
      <c r="Q235" s="15" t="n">
        <v>5</v>
      </c>
    </row>
    <row r="236" customFormat="false" ht="15" hidden="false" customHeight="false" outlineLevel="0" collapsed="false">
      <c r="A236" s="15" t="n">
        <v>232</v>
      </c>
      <c r="B236" s="16" t="n">
        <v>23.441</v>
      </c>
      <c r="C236" s="15" t="n">
        <v>5</v>
      </c>
      <c r="D236" s="15" t="n">
        <v>4</v>
      </c>
      <c r="E236" s="15" t="n">
        <v>4</v>
      </c>
      <c r="F236" s="15" t="n">
        <v>5</v>
      </c>
      <c r="G236" s="15" t="n">
        <v>4</v>
      </c>
      <c r="H236" s="15" t="n">
        <v>3</v>
      </c>
      <c r="I236" s="15" t="n">
        <v>2</v>
      </c>
      <c r="J236" s="15" t="n">
        <v>3</v>
      </c>
      <c r="K236" s="15" t="n">
        <v>5</v>
      </c>
      <c r="L236" s="16" t="n">
        <v>3.923</v>
      </c>
      <c r="M236" s="16" t="n">
        <v>2</v>
      </c>
      <c r="N236" s="15" t="n">
        <v>1</v>
      </c>
      <c r="O236" s="15" t="n">
        <v>1</v>
      </c>
      <c r="P236" s="15" t="n">
        <v>1</v>
      </c>
      <c r="Q236" s="15" t="n">
        <v>5</v>
      </c>
    </row>
    <row r="237" customFormat="false" ht="15" hidden="false" customHeight="false" outlineLevel="0" collapsed="false">
      <c r="A237" s="15" t="n">
        <v>233</v>
      </c>
      <c r="B237" s="16" t="n">
        <v>23.54</v>
      </c>
      <c r="C237" s="15" t="n">
        <v>5</v>
      </c>
      <c r="D237" s="15" t="n">
        <v>4</v>
      </c>
      <c r="E237" s="15" t="n">
        <v>4</v>
      </c>
      <c r="F237" s="15" t="n">
        <v>5</v>
      </c>
      <c r="G237" s="15" t="n">
        <v>4</v>
      </c>
      <c r="H237" s="15" t="n">
        <v>3</v>
      </c>
      <c r="I237" s="15" t="n">
        <v>2</v>
      </c>
      <c r="J237" s="15" t="n">
        <v>3</v>
      </c>
      <c r="K237" s="15" t="n">
        <v>5</v>
      </c>
      <c r="L237" s="16" t="n">
        <v>3.925</v>
      </c>
      <c r="M237" s="16" t="n">
        <v>2</v>
      </c>
      <c r="N237" s="15" t="n">
        <v>1</v>
      </c>
      <c r="O237" s="15" t="n">
        <v>1</v>
      </c>
      <c r="P237" s="15" t="n">
        <v>1</v>
      </c>
      <c r="Q237" s="15" t="n">
        <v>5</v>
      </c>
    </row>
    <row r="238" customFormat="false" ht="15" hidden="false" customHeight="false" outlineLevel="0" collapsed="false">
      <c r="A238" s="15" t="n">
        <v>234</v>
      </c>
      <c r="B238" s="16" t="n">
        <v>23.64</v>
      </c>
      <c r="C238" s="15" t="n">
        <v>5</v>
      </c>
      <c r="D238" s="15" t="n">
        <v>5</v>
      </c>
      <c r="E238" s="15" t="n">
        <v>4</v>
      </c>
      <c r="F238" s="15" t="n">
        <v>5</v>
      </c>
      <c r="G238" s="15" t="n">
        <v>4</v>
      </c>
      <c r="H238" s="15" t="n">
        <v>3</v>
      </c>
      <c r="I238" s="15" t="n">
        <v>1</v>
      </c>
      <c r="J238" s="15" t="n">
        <v>3</v>
      </c>
      <c r="K238" s="15" t="n">
        <v>5</v>
      </c>
      <c r="L238" s="16" t="n">
        <v>3.905</v>
      </c>
      <c r="M238" s="16" t="n">
        <v>2</v>
      </c>
      <c r="N238" s="15" t="n">
        <v>1</v>
      </c>
      <c r="O238" s="15" t="n">
        <v>1</v>
      </c>
      <c r="P238" s="15" t="n">
        <v>1</v>
      </c>
      <c r="Q238" s="15" t="n">
        <v>5</v>
      </c>
    </row>
    <row r="239" customFormat="false" ht="15" hidden="false" customHeight="false" outlineLevel="0" collapsed="false">
      <c r="A239" s="15" t="n">
        <v>235</v>
      </c>
      <c r="B239" s="16" t="n">
        <v>23.74</v>
      </c>
      <c r="C239" s="15" t="n">
        <v>5</v>
      </c>
      <c r="D239" s="15" t="n">
        <v>5</v>
      </c>
      <c r="E239" s="15" t="n">
        <v>4</v>
      </c>
      <c r="F239" s="15" t="n">
        <v>5</v>
      </c>
      <c r="G239" s="15" t="n">
        <v>4</v>
      </c>
      <c r="H239" s="15" t="n">
        <v>3</v>
      </c>
      <c r="I239" s="15" t="n">
        <v>1</v>
      </c>
      <c r="J239" s="15" t="n">
        <v>3</v>
      </c>
      <c r="K239" s="15" t="n">
        <v>5</v>
      </c>
      <c r="L239" s="16" t="n">
        <v>3.961</v>
      </c>
      <c r="M239" s="16" t="n">
        <v>2.005</v>
      </c>
      <c r="N239" s="15" t="n">
        <v>1</v>
      </c>
      <c r="O239" s="15" t="n">
        <v>1</v>
      </c>
      <c r="P239" s="15" t="n">
        <v>1</v>
      </c>
      <c r="Q239" s="15" t="n">
        <v>5</v>
      </c>
    </row>
    <row r="240" customFormat="false" ht="15" hidden="false" customHeight="false" outlineLevel="0" collapsed="false">
      <c r="A240" s="15" t="n">
        <v>236</v>
      </c>
      <c r="B240" s="16" t="n">
        <v>23.84</v>
      </c>
      <c r="C240" s="15" t="n">
        <v>5</v>
      </c>
      <c r="D240" s="15" t="n">
        <v>5</v>
      </c>
      <c r="E240" s="15" t="n">
        <v>4</v>
      </c>
      <c r="F240" s="15" t="n">
        <v>5</v>
      </c>
      <c r="G240" s="15" t="n">
        <v>4</v>
      </c>
      <c r="H240" s="15" t="n">
        <v>3</v>
      </c>
      <c r="I240" s="15" t="n">
        <v>1</v>
      </c>
      <c r="J240" s="15" t="n">
        <v>3</v>
      </c>
      <c r="K240" s="15" t="n">
        <v>5</v>
      </c>
      <c r="L240" s="16" t="n">
        <v>3.964</v>
      </c>
      <c r="M240" s="16" t="n">
        <v>2.421</v>
      </c>
      <c r="N240" s="15" t="n">
        <v>1</v>
      </c>
      <c r="O240" s="15" t="n">
        <v>1</v>
      </c>
      <c r="P240" s="15" t="n">
        <v>1</v>
      </c>
      <c r="Q240" s="15" t="n">
        <v>5</v>
      </c>
    </row>
    <row r="241" customFormat="false" ht="15" hidden="false" customHeight="false" outlineLevel="0" collapsed="false">
      <c r="A241" s="15" t="n">
        <v>237</v>
      </c>
      <c r="B241" s="16" t="n">
        <v>23.941</v>
      </c>
      <c r="C241" s="15" t="n">
        <v>5</v>
      </c>
      <c r="D241" s="15" t="n">
        <v>5</v>
      </c>
      <c r="E241" s="15" t="n">
        <v>4</v>
      </c>
      <c r="F241" s="15" t="n">
        <v>5</v>
      </c>
      <c r="G241" s="15" t="n">
        <v>4</v>
      </c>
      <c r="H241" s="15" t="n">
        <v>3</v>
      </c>
      <c r="I241" s="15" t="n">
        <v>1</v>
      </c>
      <c r="J241" s="15" t="n">
        <v>3</v>
      </c>
      <c r="K241" s="15" t="n">
        <v>5</v>
      </c>
      <c r="L241" s="16" t="n">
        <v>3.978</v>
      </c>
      <c r="M241" s="16" t="n">
        <v>2.213</v>
      </c>
      <c r="N241" s="15" t="n">
        <v>1</v>
      </c>
      <c r="O241" s="15" t="n">
        <v>1</v>
      </c>
      <c r="P241" s="15" t="n">
        <v>1</v>
      </c>
      <c r="Q241" s="15" t="n">
        <v>5</v>
      </c>
    </row>
    <row r="242" customFormat="false" ht="15" hidden="false" customHeight="false" outlineLevel="0" collapsed="false">
      <c r="A242" s="15" t="n">
        <v>238</v>
      </c>
      <c r="B242" s="16" t="n">
        <v>24.041</v>
      </c>
      <c r="C242" s="15" t="n">
        <v>5</v>
      </c>
      <c r="D242" s="15" t="n">
        <v>5</v>
      </c>
      <c r="E242" s="15" t="n">
        <v>4</v>
      </c>
      <c r="F242" s="15" t="n">
        <v>5</v>
      </c>
      <c r="G242" s="15" t="n">
        <v>4</v>
      </c>
      <c r="H242" s="15" t="n">
        <v>3</v>
      </c>
      <c r="I242" s="15" t="n">
        <v>1</v>
      </c>
      <c r="J242" s="15" t="n">
        <v>3</v>
      </c>
      <c r="K242" s="15" t="n">
        <v>5</v>
      </c>
      <c r="L242" s="16" t="n">
        <v>3.981</v>
      </c>
      <c r="M242" s="16" t="n">
        <v>2.696</v>
      </c>
      <c r="N242" s="15" t="n">
        <v>2</v>
      </c>
      <c r="O242" s="15" t="n">
        <v>1</v>
      </c>
      <c r="P242" s="15" t="n">
        <v>1</v>
      </c>
      <c r="Q242" s="15" t="n">
        <v>5</v>
      </c>
    </row>
    <row r="243" customFormat="false" ht="15" hidden="false" customHeight="false" outlineLevel="0" collapsed="false">
      <c r="A243" s="15" t="n">
        <v>239</v>
      </c>
      <c r="B243" s="16" t="n">
        <v>24.141</v>
      </c>
      <c r="C243" s="15" t="n">
        <v>5</v>
      </c>
      <c r="D243" s="15" t="n">
        <v>5</v>
      </c>
      <c r="E243" s="15" t="n">
        <v>4</v>
      </c>
      <c r="F243" s="15" t="n">
        <v>5</v>
      </c>
      <c r="G243" s="15" t="n">
        <v>4</v>
      </c>
      <c r="H243" s="15" t="n">
        <v>3</v>
      </c>
      <c r="I243" s="15" t="n">
        <v>1</v>
      </c>
      <c r="J243" s="15" t="n">
        <v>3</v>
      </c>
      <c r="K243" s="15" t="n">
        <v>5</v>
      </c>
      <c r="L243" s="16" t="n">
        <v>3.633</v>
      </c>
      <c r="M243" s="16" t="n">
        <v>3.094</v>
      </c>
      <c r="N243" s="15" t="n">
        <v>2</v>
      </c>
      <c r="O243" s="15" t="n">
        <v>1</v>
      </c>
      <c r="P243" s="15" t="n">
        <v>1</v>
      </c>
      <c r="Q243" s="15" t="n">
        <v>5</v>
      </c>
    </row>
    <row r="244" customFormat="false" ht="15" hidden="false" customHeight="false" outlineLevel="0" collapsed="false">
      <c r="A244" s="15" t="n">
        <v>240</v>
      </c>
      <c r="B244" s="16" t="n">
        <v>24.241</v>
      </c>
      <c r="C244" s="15" t="n">
        <v>5</v>
      </c>
      <c r="D244" s="15" t="n">
        <v>5</v>
      </c>
      <c r="E244" s="15" t="n">
        <v>4</v>
      </c>
      <c r="F244" s="15" t="n">
        <v>5</v>
      </c>
      <c r="G244" s="15" t="n">
        <v>4</v>
      </c>
      <c r="H244" s="15" t="n">
        <v>3</v>
      </c>
      <c r="I244" s="15" t="n">
        <v>1</v>
      </c>
      <c r="J244" s="15" t="n">
        <v>3</v>
      </c>
      <c r="K244" s="15" t="n">
        <v>5</v>
      </c>
      <c r="L244" s="16" t="n">
        <v>3.019</v>
      </c>
      <c r="M244" s="16" t="n">
        <v>3.863</v>
      </c>
      <c r="N244" s="15" t="n">
        <v>2</v>
      </c>
      <c r="O244" s="15" t="n">
        <v>1</v>
      </c>
      <c r="P244" s="15" t="n">
        <v>1</v>
      </c>
      <c r="Q244" s="15" t="n">
        <v>5</v>
      </c>
    </row>
    <row r="245" customFormat="false" ht="15" hidden="false" customHeight="false" outlineLevel="0" collapsed="false">
      <c r="A245" s="15" t="n">
        <v>241</v>
      </c>
      <c r="B245" s="16" t="n">
        <v>24.347</v>
      </c>
      <c r="C245" s="15" t="n">
        <v>5</v>
      </c>
      <c r="D245" s="15" t="n">
        <v>5</v>
      </c>
      <c r="E245" s="15" t="n">
        <v>4</v>
      </c>
      <c r="F245" s="15" t="n">
        <v>5</v>
      </c>
      <c r="G245" s="15" t="n">
        <v>4</v>
      </c>
      <c r="H245" s="15" t="n">
        <v>3</v>
      </c>
      <c r="I245" s="15" t="n">
        <v>1</v>
      </c>
      <c r="J245" s="15" t="n">
        <v>3</v>
      </c>
      <c r="K245" s="15" t="n">
        <v>5</v>
      </c>
      <c r="L245" s="16" t="n">
        <v>2.727</v>
      </c>
      <c r="M245" s="16" t="n">
        <v>3.592</v>
      </c>
      <c r="N245" s="15" t="n">
        <v>2</v>
      </c>
      <c r="O245" s="15" t="n">
        <v>1</v>
      </c>
      <c r="P245" s="15" t="n">
        <v>1</v>
      </c>
      <c r="Q245" s="15" t="n">
        <v>1</v>
      </c>
    </row>
    <row r="246" customFormat="false" ht="15" hidden="false" customHeight="false" outlineLevel="0" collapsed="false">
      <c r="A246" s="15" t="n">
        <v>242</v>
      </c>
      <c r="B246" s="16" t="n">
        <v>24.447</v>
      </c>
      <c r="C246" s="15" t="n">
        <v>5</v>
      </c>
      <c r="D246" s="15" t="n">
        <v>5</v>
      </c>
      <c r="E246" s="15" t="n">
        <v>4</v>
      </c>
      <c r="F246" s="15" t="n">
        <v>5</v>
      </c>
      <c r="G246" s="15" t="n">
        <v>4</v>
      </c>
      <c r="H246" s="15" t="n">
        <v>3</v>
      </c>
      <c r="I246" s="15" t="n">
        <v>1</v>
      </c>
      <c r="J246" s="15" t="n">
        <v>3</v>
      </c>
      <c r="K246" s="15" t="n">
        <v>5</v>
      </c>
      <c r="L246" s="16" t="n">
        <v>2.781</v>
      </c>
      <c r="M246" s="16" t="n">
        <v>3.681</v>
      </c>
      <c r="N246" s="15" t="n">
        <v>2</v>
      </c>
      <c r="O246" s="15" t="n">
        <v>1</v>
      </c>
      <c r="P246" s="15" t="n">
        <v>1</v>
      </c>
      <c r="Q246" s="15" t="n">
        <v>5</v>
      </c>
    </row>
    <row r="247" customFormat="false" ht="15" hidden="false" customHeight="false" outlineLevel="0" collapsed="false">
      <c r="A247" s="15" t="n">
        <v>243</v>
      </c>
      <c r="B247" s="16" t="n">
        <v>24.547</v>
      </c>
      <c r="C247" s="15" t="n">
        <v>5</v>
      </c>
      <c r="D247" s="15" t="n">
        <v>5</v>
      </c>
      <c r="E247" s="15" t="n">
        <v>4</v>
      </c>
      <c r="F247" s="15" t="n">
        <v>5</v>
      </c>
      <c r="G247" s="15" t="n">
        <v>4</v>
      </c>
      <c r="H247" s="15" t="n">
        <v>3</v>
      </c>
      <c r="I247" s="15" t="n">
        <v>1</v>
      </c>
      <c r="J247" s="15" t="n">
        <v>3</v>
      </c>
      <c r="K247" s="15" t="n">
        <v>5</v>
      </c>
      <c r="L247" s="16" t="n">
        <v>2.622</v>
      </c>
      <c r="M247" s="16" t="n">
        <v>3.135</v>
      </c>
      <c r="N247" s="15" t="n">
        <v>2</v>
      </c>
      <c r="O247" s="15" t="n">
        <v>1</v>
      </c>
      <c r="P247" s="15" t="n">
        <v>1</v>
      </c>
      <c r="Q247" s="15" t="n">
        <v>5</v>
      </c>
    </row>
    <row r="248" customFormat="false" ht="15" hidden="false" customHeight="false" outlineLevel="0" collapsed="false">
      <c r="A248" s="15" t="n">
        <v>244</v>
      </c>
      <c r="B248" s="16" t="n">
        <v>24.646</v>
      </c>
      <c r="C248" s="15" t="n">
        <v>5</v>
      </c>
      <c r="D248" s="15" t="n">
        <v>5</v>
      </c>
      <c r="E248" s="15" t="n">
        <v>4</v>
      </c>
      <c r="F248" s="15" t="n">
        <v>5</v>
      </c>
      <c r="G248" s="15" t="n">
        <v>4</v>
      </c>
      <c r="H248" s="15" t="n">
        <v>3</v>
      </c>
      <c r="I248" s="15" t="n">
        <v>1</v>
      </c>
      <c r="J248" s="15" t="n">
        <v>3</v>
      </c>
      <c r="K248" s="15" t="n">
        <v>5</v>
      </c>
      <c r="L248" s="16" t="n">
        <v>2.756</v>
      </c>
      <c r="M248" s="16" t="n">
        <v>3.234</v>
      </c>
      <c r="N248" s="15" t="n">
        <v>2</v>
      </c>
      <c r="O248" s="15" t="n">
        <v>1</v>
      </c>
      <c r="P248" s="15" t="n">
        <v>1</v>
      </c>
      <c r="Q248" s="15" t="n">
        <v>5</v>
      </c>
    </row>
    <row r="249" customFormat="false" ht="15" hidden="false" customHeight="false" outlineLevel="0" collapsed="false">
      <c r="A249" s="15" t="n">
        <v>245</v>
      </c>
      <c r="B249" s="16" t="n">
        <v>24.745</v>
      </c>
      <c r="C249" s="15" t="n">
        <v>5</v>
      </c>
      <c r="D249" s="15" t="n">
        <v>5</v>
      </c>
      <c r="E249" s="15" t="n">
        <v>4</v>
      </c>
      <c r="F249" s="15" t="n">
        <v>5</v>
      </c>
      <c r="G249" s="15" t="n">
        <v>4</v>
      </c>
      <c r="H249" s="15" t="n">
        <v>3</v>
      </c>
      <c r="I249" s="15" t="n">
        <v>1</v>
      </c>
      <c r="J249" s="15" t="n">
        <v>3</v>
      </c>
      <c r="K249" s="15" t="n">
        <v>5</v>
      </c>
      <c r="L249" s="16" t="n">
        <v>2.967</v>
      </c>
      <c r="M249" s="16" t="n">
        <v>3.391</v>
      </c>
      <c r="N249" s="15" t="n">
        <v>2</v>
      </c>
      <c r="O249" s="15" t="n">
        <v>1</v>
      </c>
      <c r="P249" s="15" t="n">
        <v>1</v>
      </c>
      <c r="Q249" s="15" t="n">
        <v>5</v>
      </c>
    </row>
    <row r="250" customFormat="false" ht="15" hidden="false" customHeight="false" outlineLevel="0" collapsed="false">
      <c r="A250" s="15" t="n">
        <v>246</v>
      </c>
      <c r="B250" s="16" t="n">
        <v>24.844</v>
      </c>
      <c r="C250" s="15" t="n">
        <v>5</v>
      </c>
      <c r="D250" s="15" t="n">
        <v>5</v>
      </c>
      <c r="E250" s="15" t="n">
        <v>4</v>
      </c>
      <c r="F250" s="15" t="n">
        <v>5</v>
      </c>
      <c r="G250" s="15" t="n">
        <v>4</v>
      </c>
      <c r="H250" s="15" t="n">
        <v>3</v>
      </c>
      <c r="I250" s="15" t="n">
        <v>1</v>
      </c>
      <c r="J250" s="15" t="n">
        <v>3</v>
      </c>
      <c r="K250" s="15" t="n">
        <v>5</v>
      </c>
      <c r="L250" s="16" t="n">
        <v>3.141</v>
      </c>
      <c r="M250" s="16" t="n">
        <v>3.66</v>
      </c>
      <c r="N250" s="15" t="n">
        <v>2</v>
      </c>
      <c r="O250" s="15" t="n">
        <v>1</v>
      </c>
      <c r="P250" s="15" t="n">
        <v>1</v>
      </c>
      <c r="Q250" s="15" t="n">
        <v>5</v>
      </c>
    </row>
    <row r="251" customFormat="false" ht="15" hidden="false" customHeight="false" outlineLevel="0" collapsed="false">
      <c r="A251" s="15" t="n">
        <v>247</v>
      </c>
      <c r="B251" s="16" t="n">
        <v>24.944</v>
      </c>
      <c r="C251" s="15" t="n">
        <v>5</v>
      </c>
      <c r="D251" s="15" t="n">
        <v>5</v>
      </c>
      <c r="E251" s="15" t="n">
        <v>4</v>
      </c>
      <c r="F251" s="15" t="n">
        <v>5</v>
      </c>
      <c r="G251" s="15" t="n">
        <v>4</v>
      </c>
      <c r="H251" s="15" t="n">
        <v>3</v>
      </c>
      <c r="I251" s="15" t="n">
        <v>1</v>
      </c>
      <c r="J251" s="15" t="n">
        <v>3</v>
      </c>
      <c r="K251" s="15" t="n">
        <v>5</v>
      </c>
      <c r="L251" s="16" t="n">
        <v>3.183</v>
      </c>
      <c r="M251" s="16" t="n">
        <v>3.665</v>
      </c>
      <c r="N251" s="15" t="n">
        <v>3</v>
      </c>
      <c r="O251" s="15" t="n">
        <v>1</v>
      </c>
      <c r="P251" s="15" t="n">
        <v>1</v>
      </c>
      <c r="Q251" s="15" t="n">
        <v>5</v>
      </c>
    </row>
    <row r="252" customFormat="false" ht="15" hidden="false" customHeight="false" outlineLevel="0" collapsed="false">
      <c r="A252" s="15" t="n">
        <v>248</v>
      </c>
      <c r="B252" s="16" t="n">
        <v>25.043</v>
      </c>
      <c r="C252" s="15" t="n">
        <v>5</v>
      </c>
      <c r="D252" s="15" t="n">
        <v>5</v>
      </c>
      <c r="E252" s="15" t="n">
        <v>4</v>
      </c>
      <c r="F252" s="15" t="n">
        <v>5</v>
      </c>
      <c r="G252" s="15" t="n">
        <v>4</v>
      </c>
      <c r="H252" s="15" t="n">
        <v>3</v>
      </c>
      <c r="I252" s="15" t="n">
        <v>1</v>
      </c>
      <c r="J252" s="15" t="n">
        <v>3</v>
      </c>
      <c r="K252" s="15" t="n">
        <v>5</v>
      </c>
      <c r="L252" s="16" t="n">
        <v>3.554</v>
      </c>
      <c r="M252" s="16" t="n">
        <v>3.778</v>
      </c>
      <c r="N252" s="15" t="n">
        <v>3</v>
      </c>
      <c r="O252" s="15" t="n">
        <v>1</v>
      </c>
      <c r="P252" s="15" t="n">
        <v>1</v>
      </c>
      <c r="Q252" s="15" t="n">
        <v>1</v>
      </c>
    </row>
    <row r="253" customFormat="false" ht="15" hidden="false" customHeight="false" outlineLevel="0" collapsed="false">
      <c r="A253" s="15" t="n">
        <v>249</v>
      </c>
      <c r="B253" s="16" t="n">
        <v>25.143</v>
      </c>
      <c r="C253" s="15" t="n">
        <v>5</v>
      </c>
      <c r="D253" s="15" t="n">
        <v>5</v>
      </c>
      <c r="E253" s="15" t="n">
        <v>4</v>
      </c>
      <c r="F253" s="15" t="n">
        <v>5</v>
      </c>
      <c r="G253" s="15" t="n">
        <v>4</v>
      </c>
      <c r="H253" s="15" t="n">
        <v>3</v>
      </c>
      <c r="I253" s="15" t="n">
        <v>1</v>
      </c>
      <c r="J253" s="15" t="n">
        <v>3</v>
      </c>
      <c r="K253" s="15" t="n">
        <v>5</v>
      </c>
      <c r="L253" s="16" t="n">
        <v>2.361</v>
      </c>
      <c r="M253" s="16" t="n">
        <v>3.614</v>
      </c>
      <c r="N253" s="15" t="n">
        <v>3</v>
      </c>
      <c r="O253" s="15" t="n">
        <v>1</v>
      </c>
      <c r="P253" s="15" t="n">
        <v>1</v>
      </c>
      <c r="Q253" s="15" t="n">
        <v>1</v>
      </c>
    </row>
    <row r="254" customFormat="false" ht="15" hidden="false" customHeight="false" outlineLevel="0" collapsed="false">
      <c r="A254" s="15" t="n">
        <v>250</v>
      </c>
      <c r="B254" s="16" t="n">
        <v>25.244</v>
      </c>
      <c r="C254" s="15" t="n">
        <v>5</v>
      </c>
      <c r="D254" s="15" t="n">
        <v>5</v>
      </c>
      <c r="E254" s="15" t="n">
        <v>4</v>
      </c>
      <c r="F254" s="15" t="n">
        <v>5</v>
      </c>
      <c r="G254" s="15" t="n">
        <v>4</v>
      </c>
      <c r="H254" s="15" t="n">
        <v>3</v>
      </c>
      <c r="I254" s="15" t="n">
        <v>1</v>
      </c>
      <c r="J254" s="15" t="n">
        <v>3</v>
      </c>
      <c r="K254" s="15" t="n">
        <v>5</v>
      </c>
      <c r="L254" s="16" t="n">
        <v>2.776</v>
      </c>
      <c r="M254" s="16" t="n">
        <v>3.612</v>
      </c>
      <c r="N254" s="15" t="n">
        <v>3</v>
      </c>
      <c r="O254" s="15" t="n">
        <v>1</v>
      </c>
      <c r="P254" s="15" t="n">
        <v>1</v>
      </c>
      <c r="Q254" s="15" t="n">
        <v>3</v>
      </c>
    </row>
    <row r="255" customFormat="false" ht="15" hidden="false" customHeight="false" outlineLevel="0" collapsed="false">
      <c r="A255" s="15" t="n">
        <v>251</v>
      </c>
      <c r="B255" s="16" t="n">
        <v>25.346</v>
      </c>
      <c r="C255" s="15" t="n">
        <v>5</v>
      </c>
      <c r="D255" s="15" t="n">
        <v>5</v>
      </c>
      <c r="E255" s="15" t="n">
        <v>4</v>
      </c>
      <c r="F255" s="15" t="n">
        <v>5</v>
      </c>
      <c r="G255" s="15" t="n">
        <v>4</v>
      </c>
      <c r="H255" s="15" t="n">
        <v>3</v>
      </c>
      <c r="I255" s="15" t="n">
        <v>1</v>
      </c>
      <c r="J255" s="15" t="n">
        <v>3</v>
      </c>
      <c r="K255" s="15" t="n">
        <v>5</v>
      </c>
      <c r="L255" s="16" t="n">
        <v>3.635</v>
      </c>
      <c r="M255" s="16" t="n">
        <v>2.882</v>
      </c>
      <c r="N255" s="15" t="n">
        <v>3</v>
      </c>
      <c r="O255" s="15" t="n">
        <v>1</v>
      </c>
      <c r="P255" s="15" t="n">
        <v>1</v>
      </c>
      <c r="Q255" s="15" t="n">
        <v>5</v>
      </c>
    </row>
    <row r="256" customFormat="false" ht="15" hidden="false" customHeight="false" outlineLevel="0" collapsed="false">
      <c r="A256" s="15" t="n">
        <v>252</v>
      </c>
      <c r="B256" s="16" t="n">
        <v>25.448</v>
      </c>
      <c r="C256" s="15" t="n">
        <v>5</v>
      </c>
      <c r="D256" s="15" t="n">
        <v>5</v>
      </c>
      <c r="E256" s="15" t="n">
        <v>4</v>
      </c>
      <c r="F256" s="15" t="n">
        <v>5</v>
      </c>
      <c r="G256" s="15" t="n">
        <v>4</v>
      </c>
      <c r="H256" s="15" t="n">
        <v>3</v>
      </c>
      <c r="I256" s="15" t="n">
        <v>1</v>
      </c>
      <c r="J256" s="15" t="n">
        <v>3</v>
      </c>
      <c r="K256" s="15" t="n">
        <v>5</v>
      </c>
      <c r="L256" s="16" t="n">
        <v>2.458</v>
      </c>
      <c r="M256" s="16" t="n">
        <v>3.812</v>
      </c>
      <c r="N256" s="15" t="n">
        <v>3</v>
      </c>
      <c r="O256" s="15" t="n">
        <v>1</v>
      </c>
      <c r="P256" s="15" t="n">
        <v>1</v>
      </c>
      <c r="Q256" s="15" t="n">
        <v>5</v>
      </c>
    </row>
    <row r="257" customFormat="false" ht="15" hidden="false" customHeight="false" outlineLevel="0" collapsed="false">
      <c r="A257" s="15" t="n">
        <v>253</v>
      </c>
      <c r="B257" s="16" t="n">
        <v>25.55</v>
      </c>
      <c r="C257" s="15" t="n">
        <v>5</v>
      </c>
      <c r="D257" s="15" t="n">
        <v>5</v>
      </c>
      <c r="E257" s="15" t="n">
        <v>4</v>
      </c>
      <c r="F257" s="15" t="n">
        <v>5</v>
      </c>
      <c r="G257" s="15" t="n">
        <v>4</v>
      </c>
      <c r="H257" s="15" t="n">
        <v>3</v>
      </c>
      <c r="I257" s="15" t="n">
        <v>1</v>
      </c>
      <c r="J257" s="15" t="n">
        <v>3</v>
      </c>
      <c r="K257" s="15" t="n">
        <v>5</v>
      </c>
      <c r="L257" s="16" t="n">
        <v>1.306</v>
      </c>
      <c r="M257" s="16" t="n">
        <v>3.991</v>
      </c>
      <c r="N257" s="15" t="n">
        <v>3</v>
      </c>
      <c r="O257" s="15" t="n">
        <v>1</v>
      </c>
      <c r="P257" s="15" t="n">
        <v>1</v>
      </c>
      <c r="Q257" s="15" t="n">
        <v>1</v>
      </c>
    </row>
    <row r="258" customFormat="false" ht="15" hidden="false" customHeight="false" outlineLevel="0" collapsed="false">
      <c r="A258" s="15" t="n">
        <v>254</v>
      </c>
      <c r="B258" s="16" t="n">
        <v>25.652</v>
      </c>
      <c r="C258" s="15" t="n">
        <v>5</v>
      </c>
      <c r="D258" s="15" t="n">
        <v>5</v>
      </c>
      <c r="E258" s="15" t="n">
        <v>4</v>
      </c>
      <c r="F258" s="15" t="n">
        <v>5</v>
      </c>
      <c r="G258" s="15" t="n">
        <v>4</v>
      </c>
      <c r="H258" s="15" t="n">
        <v>3</v>
      </c>
      <c r="I258" s="15" t="n">
        <v>1</v>
      </c>
      <c r="J258" s="15" t="n">
        <v>3</v>
      </c>
      <c r="K258" s="15" t="n">
        <v>5</v>
      </c>
      <c r="L258" s="16" t="n">
        <v>2.099</v>
      </c>
      <c r="M258" s="16" t="n">
        <v>3.642</v>
      </c>
      <c r="N258" s="15" t="n">
        <v>3</v>
      </c>
      <c r="O258" s="15" t="n">
        <v>1</v>
      </c>
      <c r="P258" s="15" t="n">
        <v>1</v>
      </c>
      <c r="Q258" s="15" t="n">
        <v>4</v>
      </c>
    </row>
    <row r="259" customFormat="false" ht="15" hidden="false" customHeight="false" outlineLevel="0" collapsed="false">
      <c r="A259" s="15" t="n">
        <v>255</v>
      </c>
      <c r="B259" s="16" t="n">
        <v>25.754</v>
      </c>
      <c r="C259" s="15" t="n">
        <v>5</v>
      </c>
      <c r="D259" s="15" t="n">
        <v>5</v>
      </c>
      <c r="E259" s="15" t="n">
        <v>4</v>
      </c>
      <c r="F259" s="15" t="n">
        <v>5</v>
      </c>
      <c r="G259" s="15" t="n">
        <v>4</v>
      </c>
      <c r="H259" s="15" t="n">
        <v>3</v>
      </c>
      <c r="I259" s="15" t="n">
        <v>1</v>
      </c>
      <c r="J259" s="15" t="n">
        <v>3</v>
      </c>
      <c r="K259" s="15" t="n">
        <v>5</v>
      </c>
      <c r="L259" s="16" t="n">
        <v>2.577</v>
      </c>
      <c r="M259" s="16" t="n">
        <v>3.571</v>
      </c>
      <c r="N259" s="15" t="n">
        <v>3</v>
      </c>
      <c r="O259" s="15" t="n">
        <v>1</v>
      </c>
      <c r="P259" s="15" t="n">
        <v>1</v>
      </c>
      <c r="Q259" s="15" t="n">
        <v>4</v>
      </c>
    </row>
    <row r="260" customFormat="false" ht="15" hidden="false" customHeight="false" outlineLevel="0" collapsed="false">
      <c r="A260" s="15" t="n">
        <v>256</v>
      </c>
      <c r="B260" s="16" t="n">
        <v>25.854</v>
      </c>
      <c r="C260" s="15" t="n">
        <v>5</v>
      </c>
      <c r="D260" s="15" t="n">
        <v>5</v>
      </c>
      <c r="E260" s="15" t="n">
        <v>4</v>
      </c>
      <c r="F260" s="15" t="n">
        <v>5</v>
      </c>
      <c r="G260" s="15" t="n">
        <v>4</v>
      </c>
      <c r="H260" s="15" t="n">
        <v>3</v>
      </c>
      <c r="I260" s="15" t="n">
        <v>1</v>
      </c>
      <c r="J260" s="15" t="n">
        <v>3</v>
      </c>
      <c r="K260" s="15" t="n">
        <v>5</v>
      </c>
      <c r="L260" s="16" t="n">
        <v>3.232</v>
      </c>
      <c r="M260" s="16" t="n">
        <v>2.978</v>
      </c>
      <c r="N260" s="15" t="n">
        <v>4</v>
      </c>
      <c r="O260" s="15" t="n">
        <v>1</v>
      </c>
      <c r="P260" s="15" t="n">
        <v>1</v>
      </c>
      <c r="Q260" s="15" t="n">
        <v>5</v>
      </c>
    </row>
    <row r="261" customFormat="false" ht="15" hidden="false" customHeight="false" outlineLevel="0" collapsed="false">
      <c r="A261" s="15" t="n">
        <v>257</v>
      </c>
      <c r="B261" s="16" t="n">
        <v>25.954</v>
      </c>
      <c r="C261" s="15" t="n">
        <v>5</v>
      </c>
      <c r="D261" s="15" t="n">
        <v>5</v>
      </c>
      <c r="E261" s="15" t="n">
        <v>4</v>
      </c>
      <c r="F261" s="15" t="n">
        <v>5</v>
      </c>
      <c r="G261" s="15" t="n">
        <v>4</v>
      </c>
      <c r="H261" s="15" t="n">
        <v>3</v>
      </c>
      <c r="I261" s="15" t="n">
        <v>1</v>
      </c>
      <c r="J261" s="15" t="n">
        <v>3</v>
      </c>
      <c r="K261" s="15" t="n">
        <v>5</v>
      </c>
      <c r="L261" s="16" t="n">
        <v>2.953</v>
      </c>
      <c r="M261" s="16" t="n">
        <v>3.187</v>
      </c>
      <c r="N261" s="15" t="n">
        <v>4</v>
      </c>
      <c r="O261" s="15" t="n">
        <v>1</v>
      </c>
      <c r="P261" s="15" t="n">
        <v>1</v>
      </c>
      <c r="Q261" s="15" t="n">
        <v>5</v>
      </c>
    </row>
    <row r="262" customFormat="false" ht="15" hidden="false" customHeight="false" outlineLevel="0" collapsed="false">
      <c r="A262" s="15" t="n">
        <v>258</v>
      </c>
      <c r="B262" s="16" t="n">
        <v>26.053</v>
      </c>
      <c r="C262" s="15" t="n">
        <v>5</v>
      </c>
      <c r="D262" s="15" t="n">
        <v>5</v>
      </c>
      <c r="E262" s="15" t="n">
        <v>4</v>
      </c>
      <c r="F262" s="15" t="n">
        <v>4</v>
      </c>
      <c r="G262" s="15" t="n">
        <v>4</v>
      </c>
      <c r="H262" s="15" t="n">
        <v>3</v>
      </c>
      <c r="I262" s="15" t="n">
        <v>1</v>
      </c>
      <c r="J262" s="15" t="n">
        <v>3</v>
      </c>
      <c r="K262" s="15" t="n">
        <v>5</v>
      </c>
      <c r="L262" s="16" t="n">
        <v>2.478</v>
      </c>
      <c r="M262" s="16" t="n">
        <v>3.485</v>
      </c>
      <c r="N262" s="15" t="n">
        <v>4</v>
      </c>
      <c r="O262" s="15" t="n">
        <v>1</v>
      </c>
      <c r="P262" s="15" t="n">
        <v>1</v>
      </c>
      <c r="Q262" s="15" t="n">
        <v>5</v>
      </c>
    </row>
    <row r="263" customFormat="false" ht="15" hidden="false" customHeight="false" outlineLevel="0" collapsed="false">
      <c r="A263" s="15" t="n">
        <v>259</v>
      </c>
      <c r="B263" s="16" t="n">
        <v>26.151</v>
      </c>
      <c r="C263" s="15" t="n">
        <v>5</v>
      </c>
      <c r="D263" s="15" t="n">
        <v>4</v>
      </c>
      <c r="E263" s="15" t="n">
        <v>4</v>
      </c>
      <c r="F263" s="15" t="n">
        <v>5</v>
      </c>
      <c r="G263" s="15" t="n">
        <v>4</v>
      </c>
      <c r="H263" s="15" t="n">
        <v>3</v>
      </c>
      <c r="I263" s="15" t="n">
        <v>1</v>
      </c>
      <c r="J263" s="15" t="n">
        <v>3</v>
      </c>
      <c r="K263" s="15" t="n">
        <v>5</v>
      </c>
      <c r="L263" s="16" t="n">
        <v>2.302</v>
      </c>
      <c r="M263" s="16" t="n">
        <v>3.916</v>
      </c>
      <c r="N263" s="15" t="n">
        <v>4</v>
      </c>
      <c r="O263" s="15" t="n">
        <v>1</v>
      </c>
      <c r="P263" s="15" t="n">
        <v>1</v>
      </c>
      <c r="Q263" s="15" t="n">
        <v>4</v>
      </c>
    </row>
    <row r="264" customFormat="false" ht="15" hidden="false" customHeight="false" outlineLevel="0" collapsed="false">
      <c r="A264" s="15" t="n">
        <v>260</v>
      </c>
      <c r="B264" s="16" t="n">
        <v>26.249</v>
      </c>
      <c r="C264" s="15" t="n">
        <v>5</v>
      </c>
      <c r="D264" s="15" t="n">
        <v>4</v>
      </c>
      <c r="E264" s="15" t="n">
        <v>4</v>
      </c>
      <c r="F264" s="15" t="n">
        <v>5</v>
      </c>
      <c r="G264" s="15" t="n">
        <v>4</v>
      </c>
      <c r="H264" s="15" t="n">
        <v>3</v>
      </c>
      <c r="I264" s="15" t="n">
        <v>1</v>
      </c>
      <c r="J264" s="15" t="n">
        <v>3</v>
      </c>
      <c r="K264" s="15" t="n">
        <v>5</v>
      </c>
      <c r="L264" s="16" t="n">
        <v>1.273</v>
      </c>
      <c r="M264" s="16" t="n">
        <v>4</v>
      </c>
      <c r="N264" s="15" t="n">
        <v>4</v>
      </c>
      <c r="O264" s="15" t="n">
        <v>1</v>
      </c>
      <c r="P264" s="15" t="n">
        <v>1</v>
      </c>
      <c r="Q264" s="15" t="n">
        <v>1</v>
      </c>
    </row>
    <row r="265" customFormat="false" ht="15" hidden="false" customHeight="false" outlineLevel="0" collapsed="false">
      <c r="A265" s="15" t="n">
        <v>261</v>
      </c>
      <c r="B265" s="16" t="n">
        <v>26.348</v>
      </c>
      <c r="C265" s="15" t="n">
        <v>5</v>
      </c>
      <c r="D265" s="15" t="n">
        <v>4</v>
      </c>
      <c r="E265" s="15" t="n">
        <v>4</v>
      </c>
      <c r="F265" s="15" t="n">
        <v>5</v>
      </c>
      <c r="G265" s="15" t="n">
        <v>4</v>
      </c>
      <c r="H265" s="15" t="n">
        <v>3</v>
      </c>
      <c r="I265" s="15" t="n">
        <v>1</v>
      </c>
      <c r="J265" s="15" t="n">
        <v>3</v>
      </c>
      <c r="K265" s="15" t="n">
        <v>5</v>
      </c>
      <c r="L265" s="16" t="n">
        <v>1.213</v>
      </c>
      <c r="M265" s="16" t="n">
        <v>4</v>
      </c>
      <c r="N265" s="15" t="n">
        <v>4</v>
      </c>
      <c r="O265" s="15" t="n">
        <v>1</v>
      </c>
      <c r="P265" s="15" t="n">
        <v>1</v>
      </c>
      <c r="Q265" s="15" t="n">
        <v>1</v>
      </c>
    </row>
    <row r="266" customFormat="false" ht="15" hidden="false" customHeight="false" outlineLevel="0" collapsed="false">
      <c r="A266" s="15" t="n">
        <v>262</v>
      </c>
      <c r="B266" s="16" t="n">
        <v>26.446</v>
      </c>
      <c r="C266" s="15" t="n">
        <v>5</v>
      </c>
      <c r="D266" s="15" t="n">
        <v>4</v>
      </c>
      <c r="E266" s="15" t="n">
        <v>4</v>
      </c>
      <c r="F266" s="15" t="n">
        <v>5</v>
      </c>
      <c r="G266" s="15" t="n">
        <v>4</v>
      </c>
      <c r="H266" s="15" t="n">
        <v>3</v>
      </c>
      <c r="I266" s="15" t="n">
        <v>1</v>
      </c>
      <c r="J266" s="15" t="n">
        <v>3</v>
      </c>
      <c r="K266" s="15" t="n">
        <v>5</v>
      </c>
      <c r="L266" s="16" t="n">
        <v>1.364</v>
      </c>
      <c r="M266" s="16" t="n">
        <v>4</v>
      </c>
      <c r="N266" s="15" t="n">
        <v>5</v>
      </c>
      <c r="O266" s="15" t="n">
        <v>1</v>
      </c>
      <c r="P266" s="15" t="n">
        <v>1</v>
      </c>
      <c r="Q266" s="15" t="n">
        <v>1</v>
      </c>
    </row>
    <row r="267" customFormat="false" ht="15" hidden="false" customHeight="false" outlineLevel="0" collapsed="false">
      <c r="A267" s="15" t="n">
        <v>263</v>
      </c>
      <c r="B267" s="16" t="n">
        <v>26.545</v>
      </c>
      <c r="C267" s="15" t="n">
        <v>5</v>
      </c>
      <c r="D267" s="15" t="n">
        <v>4</v>
      </c>
      <c r="E267" s="15" t="n">
        <v>4</v>
      </c>
      <c r="F267" s="15" t="n">
        <v>5</v>
      </c>
      <c r="G267" s="15" t="n">
        <v>4</v>
      </c>
      <c r="H267" s="15" t="n">
        <v>3</v>
      </c>
      <c r="I267" s="15" t="n">
        <v>2</v>
      </c>
      <c r="J267" s="15" t="n">
        <v>3</v>
      </c>
      <c r="K267" s="15" t="n">
        <v>5</v>
      </c>
      <c r="L267" s="16" t="n">
        <v>2.773</v>
      </c>
      <c r="M267" s="16" t="n">
        <v>4</v>
      </c>
      <c r="N267" s="15" t="n">
        <v>5</v>
      </c>
      <c r="O267" s="15" t="n">
        <v>1</v>
      </c>
      <c r="P267" s="15" t="n">
        <v>1</v>
      </c>
      <c r="Q267" s="15" t="n">
        <v>4</v>
      </c>
    </row>
    <row r="268" customFormat="false" ht="15" hidden="false" customHeight="false" outlineLevel="0" collapsed="false">
      <c r="A268" s="15" t="n">
        <v>264</v>
      </c>
      <c r="B268" s="16" t="n">
        <v>26.644</v>
      </c>
      <c r="C268" s="15" t="n">
        <v>5</v>
      </c>
      <c r="D268" s="15" t="n">
        <v>4</v>
      </c>
      <c r="E268" s="15" t="n">
        <v>4</v>
      </c>
      <c r="F268" s="15" t="n">
        <v>5</v>
      </c>
      <c r="G268" s="15" t="n">
        <v>4</v>
      </c>
      <c r="H268" s="15" t="n">
        <v>3</v>
      </c>
      <c r="I268" s="15" t="n">
        <v>1</v>
      </c>
      <c r="J268" s="15" t="n">
        <v>3</v>
      </c>
      <c r="K268" s="15" t="n">
        <v>5</v>
      </c>
      <c r="L268" s="16" t="n">
        <v>1.857</v>
      </c>
      <c r="M268" s="16" t="n">
        <v>3.856</v>
      </c>
      <c r="N268" s="15" t="n">
        <v>5</v>
      </c>
      <c r="O268" s="15" t="n">
        <v>1</v>
      </c>
      <c r="P268" s="15" t="n">
        <v>1</v>
      </c>
      <c r="Q268" s="15" t="n">
        <v>1</v>
      </c>
    </row>
    <row r="269" customFormat="false" ht="15" hidden="false" customHeight="false" outlineLevel="0" collapsed="false">
      <c r="A269" s="15" t="n">
        <v>265</v>
      </c>
      <c r="B269" s="16" t="n">
        <v>26.743</v>
      </c>
      <c r="C269" s="15" t="n">
        <v>5</v>
      </c>
      <c r="D269" s="15" t="n">
        <v>4</v>
      </c>
      <c r="E269" s="15" t="n">
        <v>4</v>
      </c>
      <c r="F269" s="15" t="n">
        <v>5</v>
      </c>
      <c r="G269" s="15" t="n">
        <v>4</v>
      </c>
      <c r="H269" s="15" t="n">
        <v>3</v>
      </c>
      <c r="I269" s="15" t="n">
        <v>1</v>
      </c>
      <c r="J269" s="15" t="n">
        <v>3</v>
      </c>
      <c r="K269" s="15" t="n">
        <v>5</v>
      </c>
      <c r="L269" s="16" t="n">
        <v>1.439</v>
      </c>
      <c r="M269" s="16" t="n">
        <v>3.719</v>
      </c>
      <c r="N269" s="15" t="n">
        <v>5</v>
      </c>
      <c r="O269" s="15" t="n">
        <v>1</v>
      </c>
      <c r="P269" s="15" t="n">
        <v>1</v>
      </c>
      <c r="Q269" s="15" t="n">
        <v>1</v>
      </c>
    </row>
    <row r="270" customFormat="false" ht="15" hidden="false" customHeight="false" outlineLevel="0" collapsed="false">
      <c r="A270" s="15" t="n">
        <v>266</v>
      </c>
      <c r="B270" s="16" t="n">
        <v>26.84</v>
      </c>
      <c r="C270" s="15" t="n">
        <v>5</v>
      </c>
      <c r="D270" s="15" t="n">
        <v>4</v>
      </c>
      <c r="E270" s="15" t="n">
        <v>4</v>
      </c>
      <c r="F270" s="15" t="n">
        <v>5</v>
      </c>
      <c r="G270" s="15" t="n">
        <v>4</v>
      </c>
      <c r="H270" s="15" t="n">
        <v>3</v>
      </c>
      <c r="I270" s="15" t="n">
        <v>1</v>
      </c>
      <c r="J270" s="15" t="n">
        <v>3</v>
      </c>
      <c r="K270" s="15" t="n">
        <v>5</v>
      </c>
      <c r="L270" s="16" t="n">
        <v>1.592</v>
      </c>
      <c r="M270" s="16" t="n">
        <v>3.921</v>
      </c>
      <c r="N270" s="15" t="n">
        <v>5</v>
      </c>
      <c r="O270" s="15" t="n">
        <v>1</v>
      </c>
      <c r="P270" s="15" t="n">
        <v>1</v>
      </c>
      <c r="Q270" s="15" t="n">
        <v>5</v>
      </c>
    </row>
    <row r="271" customFormat="false" ht="15" hidden="false" customHeight="false" outlineLevel="0" collapsed="false">
      <c r="A271" s="15" t="n">
        <v>267</v>
      </c>
      <c r="B271" s="16" t="n">
        <v>26.936</v>
      </c>
      <c r="C271" s="15" t="n">
        <v>5</v>
      </c>
      <c r="D271" s="15" t="n">
        <v>4</v>
      </c>
      <c r="E271" s="15" t="n">
        <v>4</v>
      </c>
      <c r="F271" s="15" t="n">
        <v>5</v>
      </c>
      <c r="G271" s="15" t="n">
        <v>4</v>
      </c>
      <c r="H271" s="15" t="n">
        <v>3</v>
      </c>
      <c r="I271" s="15" t="n">
        <v>1</v>
      </c>
      <c r="J271" s="15" t="n">
        <v>3</v>
      </c>
      <c r="K271" s="15" t="n">
        <v>5</v>
      </c>
      <c r="L271" s="16" t="n">
        <v>2.494</v>
      </c>
      <c r="M271" s="16" t="n">
        <v>3.716</v>
      </c>
      <c r="N271" s="15" t="n">
        <v>5</v>
      </c>
      <c r="O271" s="15" t="n">
        <v>1</v>
      </c>
      <c r="P271" s="15" t="n">
        <v>1</v>
      </c>
      <c r="Q271" s="15" t="n">
        <v>1</v>
      </c>
    </row>
    <row r="272" customFormat="false" ht="15" hidden="false" customHeight="false" outlineLevel="0" collapsed="false">
      <c r="A272" s="15" t="n">
        <v>268</v>
      </c>
      <c r="B272" s="16" t="n">
        <v>27.031</v>
      </c>
      <c r="C272" s="15" t="n">
        <v>5</v>
      </c>
      <c r="D272" s="15" t="n">
        <v>4</v>
      </c>
      <c r="E272" s="15" t="n">
        <v>4</v>
      </c>
      <c r="F272" s="15" t="n">
        <v>5</v>
      </c>
      <c r="G272" s="15" t="n">
        <v>4</v>
      </c>
      <c r="H272" s="15" t="n">
        <v>3</v>
      </c>
      <c r="I272" s="15" t="n">
        <v>1</v>
      </c>
      <c r="J272" s="15" t="n">
        <v>3</v>
      </c>
      <c r="K272" s="15" t="n">
        <v>5</v>
      </c>
      <c r="L272" s="16" t="n">
        <v>2.042</v>
      </c>
      <c r="M272" s="16" t="n">
        <v>3.958</v>
      </c>
      <c r="N272" s="15" t="n">
        <v>5</v>
      </c>
      <c r="O272" s="15" t="n">
        <v>1</v>
      </c>
      <c r="P272" s="15" t="n">
        <v>1</v>
      </c>
      <c r="Q272" s="15" t="n">
        <v>5</v>
      </c>
    </row>
    <row r="273" customFormat="false" ht="15" hidden="false" customHeight="false" outlineLevel="0" collapsed="false">
      <c r="A273" s="15" t="n">
        <v>269</v>
      </c>
      <c r="B273" s="16" t="n">
        <v>27.124</v>
      </c>
      <c r="C273" s="15" t="n">
        <v>5</v>
      </c>
      <c r="D273" s="15" t="n">
        <v>4</v>
      </c>
      <c r="E273" s="15" t="n">
        <v>4</v>
      </c>
      <c r="F273" s="15" t="n">
        <v>5</v>
      </c>
      <c r="G273" s="15" t="n">
        <v>4</v>
      </c>
      <c r="H273" s="15" t="n">
        <v>3</v>
      </c>
      <c r="I273" s="15" t="n">
        <v>1</v>
      </c>
      <c r="J273" s="15" t="n">
        <v>3</v>
      </c>
      <c r="K273" s="15" t="n">
        <v>5</v>
      </c>
      <c r="L273" s="16" t="n">
        <v>2.62</v>
      </c>
      <c r="M273" s="16" t="n">
        <v>3.682</v>
      </c>
      <c r="N273" s="15" t="n">
        <v>5</v>
      </c>
      <c r="O273" s="15" t="n">
        <v>1</v>
      </c>
      <c r="P273" s="15" t="n">
        <v>1</v>
      </c>
      <c r="Q273" s="15" t="n">
        <v>1</v>
      </c>
    </row>
    <row r="274" customFormat="false" ht="15" hidden="false" customHeight="false" outlineLevel="0" collapsed="false">
      <c r="A274" s="15" t="n">
        <v>270</v>
      </c>
      <c r="B274" s="16" t="n">
        <v>27.218</v>
      </c>
      <c r="C274" s="15" t="n">
        <v>5</v>
      </c>
      <c r="D274" s="15" t="n">
        <v>4</v>
      </c>
      <c r="E274" s="15" t="n">
        <v>4</v>
      </c>
      <c r="F274" s="15" t="n">
        <v>5</v>
      </c>
      <c r="G274" s="15" t="n">
        <v>4</v>
      </c>
      <c r="H274" s="15" t="n">
        <v>3</v>
      </c>
      <c r="I274" s="15" t="n">
        <v>2</v>
      </c>
      <c r="J274" s="15" t="n">
        <v>3</v>
      </c>
      <c r="K274" s="15" t="n">
        <v>5</v>
      </c>
      <c r="L274" s="16" t="n">
        <v>2.622</v>
      </c>
      <c r="M274" s="16" t="n">
        <v>3.382</v>
      </c>
      <c r="N274" s="15" t="n">
        <v>5</v>
      </c>
      <c r="O274" s="15" t="n">
        <v>1</v>
      </c>
      <c r="P274" s="15" t="n">
        <v>1</v>
      </c>
      <c r="Q274" s="15" t="n">
        <v>4</v>
      </c>
    </row>
    <row r="275" customFormat="false" ht="15" hidden="false" customHeight="false" outlineLevel="0" collapsed="false">
      <c r="A275" s="15" t="n">
        <v>271</v>
      </c>
      <c r="B275" s="16" t="n">
        <v>27.311</v>
      </c>
      <c r="C275" s="15" t="n">
        <v>5</v>
      </c>
      <c r="D275" s="15" t="n">
        <v>4</v>
      </c>
      <c r="E275" s="15" t="n">
        <v>4</v>
      </c>
      <c r="F275" s="15" t="n">
        <v>5</v>
      </c>
      <c r="G275" s="15" t="n">
        <v>4</v>
      </c>
      <c r="H275" s="15" t="n">
        <v>3</v>
      </c>
      <c r="I275" s="15" t="n">
        <v>2</v>
      </c>
      <c r="J275" s="15" t="n">
        <v>3</v>
      </c>
      <c r="K275" s="15" t="n">
        <v>5</v>
      </c>
      <c r="L275" s="16" t="n">
        <v>2.48</v>
      </c>
      <c r="M275" s="16" t="n">
        <v>3.336</v>
      </c>
      <c r="N275" s="15" t="n">
        <v>5</v>
      </c>
      <c r="O275" s="15" t="n">
        <v>1</v>
      </c>
      <c r="P275" s="15" t="n">
        <v>1</v>
      </c>
      <c r="Q275" s="15" t="n">
        <v>2</v>
      </c>
    </row>
    <row r="276" customFormat="false" ht="15" hidden="false" customHeight="false" outlineLevel="0" collapsed="false">
      <c r="A276" s="15" t="n">
        <v>272</v>
      </c>
      <c r="B276" s="16" t="n">
        <v>27.404</v>
      </c>
      <c r="C276" s="15" t="n">
        <v>5</v>
      </c>
      <c r="D276" s="15" t="n">
        <v>4</v>
      </c>
      <c r="E276" s="15" t="n">
        <v>4</v>
      </c>
      <c r="F276" s="15" t="n">
        <v>5</v>
      </c>
      <c r="G276" s="15" t="n">
        <v>4</v>
      </c>
      <c r="H276" s="15" t="n">
        <v>3</v>
      </c>
      <c r="I276" s="15" t="n">
        <v>3</v>
      </c>
      <c r="J276" s="15" t="n">
        <v>3</v>
      </c>
      <c r="K276" s="15" t="n">
        <v>5</v>
      </c>
      <c r="L276" s="16" t="n">
        <v>1.467</v>
      </c>
      <c r="M276" s="16" t="n">
        <v>3.626</v>
      </c>
      <c r="N276" s="15" t="n">
        <v>5</v>
      </c>
      <c r="O276" s="15" t="n">
        <v>1</v>
      </c>
      <c r="P276" s="15" t="n">
        <v>1</v>
      </c>
      <c r="Q276" s="15" t="n">
        <v>1</v>
      </c>
    </row>
    <row r="277" customFormat="false" ht="15" hidden="false" customHeight="false" outlineLevel="0" collapsed="false">
      <c r="A277" s="15" t="n">
        <v>273</v>
      </c>
      <c r="B277" s="16" t="n">
        <v>27.498</v>
      </c>
      <c r="C277" s="15" t="n">
        <v>5</v>
      </c>
      <c r="D277" s="15" t="n">
        <v>4</v>
      </c>
      <c r="E277" s="15" t="n">
        <v>4</v>
      </c>
      <c r="F277" s="15" t="n">
        <v>5</v>
      </c>
      <c r="G277" s="15" t="n">
        <v>4</v>
      </c>
      <c r="H277" s="15" t="n">
        <v>3</v>
      </c>
      <c r="I277" s="15" t="n">
        <v>3</v>
      </c>
      <c r="J277" s="15" t="n">
        <v>3</v>
      </c>
      <c r="K277" s="15" t="n">
        <v>5</v>
      </c>
      <c r="L277" s="16" t="n">
        <v>1.456</v>
      </c>
      <c r="M277" s="16" t="n">
        <v>3.564</v>
      </c>
      <c r="N277" s="15" t="n">
        <v>5</v>
      </c>
      <c r="O277" s="15" t="n">
        <v>1</v>
      </c>
      <c r="P277" s="15" t="n">
        <v>1</v>
      </c>
      <c r="Q277" s="15" t="n">
        <v>1</v>
      </c>
    </row>
    <row r="278" customFormat="false" ht="15" hidden="false" customHeight="false" outlineLevel="0" collapsed="false">
      <c r="A278" s="15" t="n">
        <v>274</v>
      </c>
      <c r="B278" s="16" t="n">
        <v>27.593</v>
      </c>
      <c r="C278" s="15" t="n">
        <v>5</v>
      </c>
      <c r="D278" s="15" t="n">
        <v>4</v>
      </c>
      <c r="E278" s="15" t="n">
        <v>5</v>
      </c>
      <c r="F278" s="15" t="n">
        <v>4</v>
      </c>
      <c r="G278" s="15" t="n">
        <v>4</v>
      </c>
      <c r="H278" s="15" t="n">
        <v>3</v>
      </c>
      <c r="I278" s="15" t="n">
        <v>4</v>
      </c>
      <c r="J278" s="15" t="n">
        <v>3</v>
      </c>
      <c r="K278" s="15" t="n">
        <v>5</v>
      </c>
      <c r="L278" s="16" t="n">
        <v>1.637</v>
      </c>
      <c r="M278" s="16" t="n">
        <v>3.377</v>
      </c>
      <c r="N278" s="15" t="n">
        <v>5</v>
      </c>
      <c r="O278" s="15" t="n">
        <v>1</v>
      </c>
      <c r="P278" s="15" t="n">
        <v>1</v>
      </c>
      <c r="Q278" s="15" t="n">
        <v>1</v>
      </c>
    </row>
    <row r="279" customFormat="false" ht="15" hidden="false" customHeight="false" outlineLevel="0" collapsed="false">
      <c r="A279" s="15" t="n">
        <v>275</v>
      </c>
      <c r="B279" s="16" t="n">
        <v>27.691</v>
      </c>
      <c r="C279" s="15" t="n">
        <v>5</v>
      </c>
      <c r="D279" s="15" t="n">
        <v>4</v>
      </c>
      <c r="E279" s="15" t="n">
        <v>5</v>
      </c>
      <c r="F279" s="15" t="n">
        <v>3</v>
      </c>
      <c r="G279" s="15" t="n">
        <v>4</v>
      </c>
      <c r="H279" s="15" t="n">
        <v>3</v>
      </c>
      <c r="I279" s="15" t="n">
        <v>4</v>
      </c>
      <c r="J279" s="15" t="n">
        <v>3</v>
      </c>
      <c r="K279" s="15" t="n">
        <v>5</v>
      </c>
      <c r="L279" s="16" t="n">
        <v>1.256</v>
      </c>
      <c r="M279" s="16" t="n">
        <v>3.4</v>
      </c>
      <c r="N279" s="15" t="n">
        <v>5</v>
      </c>
      <c r="O279" s="15" t="n">
        <v>1</v>
      </c>
      <c r="P279" s="15" t="n">
        <v>1</v>
      </c>
      <c r="Q279" s="15" t="n">
        <v>1</v>
      </c>
    </row>
    <row r="280" customFormat="false" ht="15" hidden="false" customHeight="false" outlineLevel="0" collapsed="false">
      <c r="A280" s="15" t="n">
        <v>276</v>
      </c>
      <c r="B280" s="16" t="n">
        <v>27.791</v>
      </c>
      <c r="C280" s="15" t="n">
        <v>5</v>
      </c>
      <c r="D280" s="15" t="n">
        <v>4</v>
      </c>
      <c r="E280" s="15" t="n">
        <v>5</v>
      </c>
      <c r="F280" s="15" t="n">
        <v>1</v>
      </c>
      <c r="G280" s="15" t="n">
        <v>4</v>
      </c>
      <c r="H280" s="15" t="n">
        <v>3</v>
      </c>
      <c r="I280" s="15" t="n">
        <v>5</v>
      </c>
      <c r="J280" s="15" t="n">
        <v>3</v>
      </c>
      <c r="K280" s="15" t="n">
        <v>5</v>
      </c>
      <c r="L280" s="16" t="n">
        <v>1.779</v>
      </c>
      <c r="M280" s="16" t="n">
        <v>3.805</v>
      </c>
      <c r="N280" s="15" t="n">
        <v>5</v>
      </c>
      <c r="O280" s="15" t="n">
        <v>1</v>
      </c>
      <c r="P280" s="15" t="n">
        <v>1</v>
      </c>
      <c r="Q280" s="15" t="n">
        <v>1</v>
      </c>
    </row>
    <row r="281" customFormat="false" ht="15" hidden="false" customHeight="false" outlineLevel="0" collapsed="false">
      <c r="A281" s="15" t="n">
        <v>277</v>
      </c>
      <c r="B281" s="16" t="n">
        <v>27.894</v>
      </c>
      <c r="C281" s="15" t="n">
        <v>5</v>
      </c>
      <c r="D281" s="15" t="n">
        <v>4</v>
      </c>
      <c r="E281" s="15" t="n">
        <v>5</v>
      </c>
      <c r="F281" s="15" t="n">
        <v>4</v>
      </c>
      <c r="G281" s="15" t="n">
        <v>4</v>
      </c>
      <c r="H281" s="15" t="n">
        <v>3</v>
      </c>
      <c r="I281" s="15" t="n">
        <v>5</v>
      </c>
      <c r="J281" s="15" t="n">
        <v>3</v>
      </c>
      <c r="K281" s="15" t="n">
        <v>5</v>
      </c>
      <c r="L281" s="16" t="n">
        <v>1.729</v>
      </c>
      <c r="M281" s="16" t="n">
        <v>4</v>
      </c>
      <c r="N281" s="15" t="n">
        <v>5</v>
      </c>
      <c r="O281" s="15" t="n">
        <v>1</v>
      </c>
      <c r="P281" s="15" t="n">
        <v>1</v>
      </c>
      <c r="Q281" s="15" t="n">
        <v>1</v>
      </c>
    </row>
    <row r="282" customFormat="false" ht="15" hidden="false" customHeight="false" outlineLevel="0" collapsed="false">
      <c r="A282" s="15" t="n">
        <v>278</v>
      </c>
      <c r="B282" s="16" t="n">
        <v>27.999</v>
      </c>
      <c r="C282" s="15" t="n">
        <v>5</v>
      </c>
      <c r="D282" s="15" t="n">
        <v>4</v>
      </c>
      <c r="E282" s="15" t="n">
        <v>5</v>
      </c>
      <c r="F282" s="15" t="n">
        <v>4</v>
      </c>
      <c r="G282" s="15" t="n">
        <v>4</v>
      </c>
      <c r="H282" s="15" t="n">
        <v>3</v>
      </c>
      <c r="I282" s="15" t="n">
        <v>3</v>
      </c>
      <c r="J282" s="15" t="n">
        <v>3</v>
      </c>
      <c r="K282" s="15" t="n">
        <v>5</v>
      </c>
      <c r="L282" s="16" t="n">
        <v>1.397</v>
      </c>
      <c r="M282" s="16" t="n">
        <v>3.968</v>
      </c>
      <c r="N282" s="15" t="n">
        <v>5</v>
      </c>
      <c r="O282" s="15" t="n">
        <v>1</v>
      </c>
      <c r="P282" s="15" t="n">
        <v>1</v>
      </c>
      <c r="Q282" s="15" t="n">
        <v>1</v>
      </c>
    </row>
    <row r="283" customFormat="false" ht="15" hidden="false" customHeight="false" outlineLevel="0" collapsed="false">
      <c r="A283" s="15" t="n">
        <v>279</v>
      </c>
      <c r="B283" s="16" t="n">
        <v>28.108</v>
      </c>
      <c r="C283" s="15" t="n">
        <v>5</v>
      </c>
      <c r="D283" s="15" t="n">
        <v>4</v>
      </c>
      <c r="E283" s="15" t="n">
        <v>4</v>
      </c>
      <c r="F283" s="15" t="n">
        <v>3</v>
      </c>
      <c r="G283" s="15" t="n">
        <v>4</v>
      </c>
      <c r="H283" s="15" t="n">
        <v>3</v>
      </c>
      <c r="I283" s="15" t="n">
        <v>2</v>
      </c>
      <c r="J283" s="15" t="n">
        <v>3</v>
      </c>
      <c r="K283" s="15" t="n">
        <v>5</v>
      </c>
      <c r="L283" s="16" t="n">
        <v>1.48</v>
      </c>
      <c r="M283" s="16" t="n">
        <v>3.863</v>
      </c>
      <c r="N283" s="15" t="n">
        <v>5</v>
      </c>
      <c r="O283" s="15" t="n">
        <v>1</v>
      </c>
      <c r="P283" s="15" t="n">
        <v>1</v>
      </c>
      <c r="Q283" s="15" t="n">
        <v>1</v>
      </c>
    </row>
    <row r="284" customFormat="false" ht="15" hidden="false" customHeight="false" outlineLevel="0" collapsed="false">
      <c r="A284" s="15" t="n">
        <v>280</v>
      </c>
      <c r="B284" s="16" t="n">
        <v>28.219</v>
      </c>
      <c r="C284" s="15" t="n">
        <v>5</v>
      </c>
      <c r="D284" s="15" t="n">
        <v>4</v>
      </c>
      <c r="E284" s="15" t="n">
        <v>4</v>
      </c>
      <c r="F284" s="15" t="n">
        <v>4</v>
      </c>
      <c r="G284" s="15" t="n">
        <v>4</v>
      </c>
      <c r="H284" s="15" t="n">
        <v>3</v>
      </c>
      <c r="I284" s="15" t="n">
        <v>1</v>
      </c>
      <c r="J284" s="15" t="n">
        <v>3</v>
      </c>
      <c r="K284" s="15" t="n">
        <v>5</v>
      </c>
      <c r="L284" s="16" t="n">
        <v>1.878</v>
      </c>
      <c r="M284" s="16" t="n">
        <v>3.558</v>
      </c>
      <c r="N284" s="15" t="n">
        <v>5</v>
      </c>
      <c r="O284" s="15" t="n">
        <v>1</v>
      </c>
      <c r="P284" s="15" t="n">
        <v>1</v>
      </c>
      <c r="Q284" s="15" t="n">
        <v>1</v>
      </c>
    </row>
    <row r="285" customFormat="false" ht="15" hidden="false" customHeight="false" outlineLevel="0" collapsed="false">
      <c r="A285" s="15" t="n">
        <v>281</v>
      </c>
      <c r="B285" s="16" t="n">
        <v>28.331</v>
      </c>
      <c r="C285" s="15" t="n">
        <v>5</v>
      </c>
      <c r="D285" s="15" t="n">
        <v>4</v>
      </c>
      <c r="E285" s="15" t="n">
        <v>4</v>
      </c>
      <c r="F285" s="15" t="n">
        <v>4</v>
      </c>
      <c r="G285" s="15" t="n">
        <v>4</v>
      </c>
      <c r="H285" s="15" t="n">
        <v>3</v>
      </c>
      <c r="I285" s="15" t="n">
        <v>1</v>
      </c>
      <c r="J285" s="15" t="n">
        <v>3</v>
      </c>
      <c r="K285" s="15" t="n">
        <v>5</v>
      </c>
      <c r="L285" s="16" t="n">
        <v>1.785</v>
      </c>
      <c r="M285" s="16" t="n">
        <v>3.794</v>
      </c>
      <c r="N285" s="15" t="n">
        <v>5</v>
      </c>
      <c r="O285" s="15" t="n">
        <v>1</v>
      </c>
      <c r="P285" s="15" t="n">
        <v>1</v>
      </c>
      <c r="Q285" s="15" t="n">
        <v>1</v>
      </c>
    </row>
    <row r="286" customFormat="false" ht="15" hidden="false" customHeight="false" outlineLevel="0" collapsed="false">
      <c r="A286" s="15" t="n">
        <v>282</v>
      </c>
      <c r="B286" s="16" t="n">
        <v>28.442</v>
      </c>
      <c r="C286" s="15" t="n">
        <v>5</v>
      </c>
      <c r="D286" s="15" t="n">
        <v>4</v>
      </c>
      <c r="E286" s="15" t="n">
        <v>4</v>
      </c>
      <c r="F286" s="15" t="n">
        <v>4</v>
      </c>
      <c r="G286" s="15" t="n">
        <v>4</v>
      </c>
      <c r="H286" s="15" t="n">
        <v>3</v>
      </c>
      <c r="I286" s="15" t="n">
        <v>2</v>
      </c>
      <c r="J286" s="15" t="n">
        <v>3</v>
      </c>
      <c r="K286" s="15" t="n">
        <v>5</v>
      </c>
      <c r="L286" s="16" t="n">
        <v>2.335</v>
      </c>
      <c r="M286" s="16" t="n">
        <v>3.973</v>
      </c>
      <c r="N286" s="15" t="n">
        <v>5</v>
      </c>
      <c r="O286" s="15" t="n">
        <v>1</v>
      </c>
      <c r="P286" s="15" t="n">
        <v>1</v>
      </c>
      <c r="Q286" s="15" t="n">
        <v>1</v>
      </c>
    </row>
    <row r="287" customFormat="false" ht="15" hidden="false" customHeight="false" outlineLevel="0" collapsed="false">
      <c r="A287" s="15" t="n">
        <v>283</v>
      </c>
      <c r="B287" s="16" t="n">
        <v>28.552</v>
      </c>
      <c r="C287" s="15" t="n">
        <v>5</v>
      </c>
      <c r="D287" s="15" t="n">
        <v>4</v>
      </c>
      <c r="E287" s="15" t="n">
        <v>4</v>
      </c>
      <c r="F287" s="15" t="n">
        <v>2</v>
      </c>
      <c r="G287" s="15" t="n">
        <v>4</v>
      </c>
      <c r="H287" s="15" t="n">
        <v>3</v>
      </c>
      <c r="I287" s="15" t="n">
        <v>1</v>
      </c>
      <c r="J287" s="15" t="n">
        <v>3</v>
      </c>
      <c r="K287" s="15" t="n">
        <v>5</v>
      </c>
      <c r="L287" s="16" t="n">
        <v>2.502</v>
      </c>
      <c r="M287" s="16" t="n">
        <v>3.649</v>
      </c>
      <c r="N287" s="15" t="n">
        <v>5</v>
      </c>
      <c r="O287" s="15" t="n">
        <v>1</v>
      </c>
      <c r="P287" s="15" t="n">
        <v>1</v>
      </c>
      <c r="Q287" s="15" t="n">
        <v>1</v>
      </c>
    </row>
    <row r="288" customFormat="false" ht="15" hidden="false" customHeight="false" outlineLevel="0" collapsed="false">
      <c r="A288" s="15" t="n">
        <v>284</v>
      </c>
      <c r="B288" s="16" t="n">
        <v>28.658</v>
      </c>
      <c r="C288" s="15" t="n">
        <v>5</v>
      </c>
      <c r="D288" s="15" t="n">
        <v>4</v>
      </c>
      <c r="E288" s="15" t="n">
        <v>4</v>
      </c>
      <c r="F288" s="15" t="n">
        <v>3</v>
      </c>
      <c r="G288" s="15" t="n">
        <v>4</v>
      </c>
      <c r="H288" s="15" t="n">
        <v>3</v>
      </c>
      <c r="I288" s="15" t="n">
        <v>1</v>
      </c>
      <c r="J288" s="15" t="n">
        <v>3</v>
      </c>
      <c r="K288" s="15" t="n">
        <v>5</v>
      </c>
      <c r="L288" s="16" t="n">
        <v>1.891</v>
      </c>
      <c r="M288" s="16" t="n">
        <v>3.319</v>
      </c>
      <c r="N288" s="15" t="n">
        <v>5</v>
      </c>
      <c r="O288" s="15" t="n">
        <v>1</v>
      </c>
      <c r="P288" s="15" t="n">
        <v>1</v>
      </c>
      <c r="Q288" s="15" t="n">
        <v>1</v>
      </c>
    </row>
    <row r="289" customFormat="false" ht="15" hidden="false" customHeight="false" outlineLevel="0" collapsed="false">
      <c r="A289" s="15" t="n">
        <v>285</v>
      </c>
      <c r="B289" s="16" t="n">
        <v>28.761</v>
      </c>
      <c r="C289" s="15" t="n">
        <v>5</v>
      </c>
      <c r="D289" s="15" t="n">
        <v>4</v>
      </c>
      <c r="E289" s="15" t="n">
        <v>4</v>
      </c>
      <c r="F289" s="15" t="n">
        <v>3</v>
      </c>
      <c r="G289" s="15" t="n">
        <v>4</v>
      </c>
      <c r="H289" s="15" t="n">
        <v>3</v>
      </c>
      <c r="I289" s="15" t="n">
        <v>1</v>
      </c>
      <c r="J289" s="15" t="n">
        <v>3</v>
      </c>
      <c r="K289" s="15" t="n">
        <v>5</v>
      </c>
      <c r="L289" s="16" t="n">
        <v>2.11</v>
      </c>
      <c r="M289" s="16" t="n">
        <v>2.525</v>
      </c>
      <c r="N289" s="15" t="n">
        <v>5</v>
      </c>
      <c r="O289" s="15" t="n">
        <v>1</v>
      </c>
      <c r="P289" s="15" t="n">
        <v>1</v>
      </c>
      <c r="Q289" s="15" t="n">
        <v>1</v>
      </c>
    </row>
    <row r="290" customFormat="false" ht="15" hidden="false" customHeight="false" outlineLevel="0" collapsed="false">
      <c r="A290" s="15" t="n">
        <v>286</v>
      </c>
      <c r="B290" s="16" t="n">
        <v>28.863</v>
      </c>
      <c r="C290" s="15" t="n">
        <v>5</v>
      </c>
      <c r="D290" s="15" t="n">
        <v>4</v>
      </c>
      <c r="E290" s="15" t="n">
        <v>4</v>
      </c>
      <c r="F290" s="15" t="n">
        <v>4</v>
      </c>
      <c r="G290" s="15" t="n">
        <v>4</v>
      </c>
      <c r="H290" s="15" t="n">
        <v>3</v>
      </c>
      <c r="I290" s="15" t="n">
        <v>1</v>
      </c>
      <c r="J290" s="15" t="n">
        <v>3</v>
      </c>
      <c r="K290" s="15" t="n">
        <v>5</v>
      </c>
      <c r="L290" s="16" t="n">
        <v>2.626</v>
      </c>
      <c r="M290" s="16" t="n">
        <v>2.947</v>
      </c>
      <c r="N290" s="15" t="n">
        <v>5</v>
      </c>
      <c r="O290" s="15" t="n">
        <v>1</v>
      </c>
      <c r="P290" s="15" t="n">
        <v>1</v>
      </c>
      <c r="Q290" s="15" t="n">
        <v>1</v>
      </c>
    </row>
    <row r="291" customFormat="false" ht="15" hidden="false" customHeight="false" outlineLevel="0" collapsed="false">
      <c r="A291" s="15" t="n">
        <v>287</v>
      </c>
      <c r="B291" s="16" t="n">
        <v>28.962</v>
      </c>
      <c r="C291" s="15" t="n">
        <v>5</v>
      </c>
      <c r="D291" s="15" t="n">
        <v>4</v>
      </c>
      <c r="E291" s="15" t="n">
        <v>4</v>
      </c>
      <c r="F291" s="15" t="n">
        <v>4</v>
      </c>
      <c r="G291" s="15" t="n">
        <v>4</v>
      </c>
      <c r="H291" s="15" t="n">
        <v>3</v>
      </c>
      <c r="I291" s="15" t="n">
        <v>1</v>
      </c>
      <c r="J291" s="15" t="n">
        <v>3</v>
      </c>
      <c r="K291" s="15" t="n">
        <v>5</v>
      </c>
      <c r="L291" s="16" t="n">
        <v>2.24</v>
      </c>
      <c r="M291" s="16" t="n">
        <v>2.941</v>
      </c>
      <c r="N291" s="15" t="n">
        <v>5</v>
      </c>
      <c r="O291" s="15" t="n">
        <v>1</v>
      </c>
      <c r="P291" s="15" t="n">
        <v>1</v>
      </c>
      <c r="Q291" s="15" t="n">
        <v>5</v>
      </c>
    </row>
    <row r="292" customFormat="false" ht="15" hidden="false" customHeight="false" outlineLevel="0" collapsed="false">
      <c r="A292" s="15" t="n">
        <v>288</v>
      </c>
      <c r="B292" s="16" t="n">
        <v>29.061</v>
      </c>
      <c r="C292" s="15" t="n">
        <v>5</v>
      </c>
      <c r="D292" s="15" t="n">
        <v>4</v>
      </c>
      <c r="E292" s="15" t="n">
        <v>4</v>
      </c>
      <c r="F292" s="15" t="n">
        <v>4</v>
      </c>
      <c r="G292" s="15" t="n">
        <v>4</v>
      </c>
      <c r="H292" s="15" t="n">
        <v>3</v>
      </c>
      <c r="I292" s="15" t="n">
        <v>1</v>
      </c>
      <c r="J292" s="15" t="n">
        <v>3</v>
      </c>
      <c r="K292" s="15" t="n">
        <v>5</v>
      </c>
      <c r="L292" s="16" t="n">
        <v>2.34</v>
      </c>
      <c r="M292" s="16" t="n">
        <v>3.149</v>
      </c>
      <c r="N292" s="15" t="n">
        <v>5</v>
      </c>
      <c r="O292" s="15" t="n">
        <v>1</v>
      </c>
      <c r="P292" s="15" t="n">
        <v>1</v>
      </c>
      <c r="Q292" s="15" t="n">
        <v>4</v>
      </c>
    </row>
    <row r="293" customFormat="false" ht="15" hidden="false" customHeight="false" outlineLevel="0" collapsed="false">
      <c r="A293" s="15" t="n">
        <v>289</v>
      </c>
      <c r="B293" s="16" t="n">
        <v>29.159</v>
      </c>
      <c r="C293" s="15" t="n">
        <v>5</v>
      </c>
      <c r="D293" s="15" t="n">
        <v>4</v>
      </c>
      <c r="E293" s="15" t="n">
        <v>4</v>
      </c>
      <c r="F293" s="15" t="n">
        <v>4</v>
      </c>
      <c r="G293" s="15" t="n">
        <v>4</v>
      </c>
      <c r="H293" s="15" t="n">
        <v>3</v>
      </c>
      <c r="I293" s="15" t="n">
        <v>1</v>
      </c>
      <c r="J293" s="15" t="n">
        <v>3</v>
      </c>
      <c r="K293" s="15" t="n">
        <v>5</v>
      </c>
      <c r="L293" s="16" t="n">
        <v>2.372</v>
      </c>
      <c r="M293" s="16" t="n">
        <v>3.492</v>
      </c>
      <c r="N293" s="15" t="n">
        <v>5</v>
      </c>
      <c r="O293" s="15" t="n">
        <v>1</v>
      </c>
      <c r="P293" s="15" t="n">
        <v>1</v>
      </c>
      <c r="Q293" s="15" t="n">
        <v>5</v>
      </c>
    </row>
    <row r="294" customFormat="false" ht="15" hidden="false" customHeight="false" outlineLevel="0" collapsed="false">
      <c r="A294" s="15" t="n">
        <v>290</v>
      </c>
      <c r="B294" s="16" t="n">
        <v>29.257</v>
      </c>
      <c r="C294" s="15" t="n">
        <v>5</v>
      </c>
      <c r="D294" s="15" t="n">
        <v>4</v>
      </c>
      <c r="E294" s="15" t="n">
        <v>4</v>
      </c>
      <c r="F294" s="15" t="n">
        <v>4</v>
      </c>
      <c r="G294" s="15" t="n">
        <v>4</v>
      </c>
      <c r="H294" s="15" t="n">
        <v>3</v>
      </c>
      <c r="I294" s="15" t="n">
        <v>1</v>
      </c>
      <c r="J294" s="15" t="n">
        <v>3</v>
      </c>
      <c r="K294" s="15" t="n">
        <v>5</v>
      </c>
      <c r="L294" s="16" t="n">
        <v>2.305</v>
      </c>
      <c r="M294" s="16" t="n">
        <v>3.404</v>
      </c>
      <c r="N294" s="15" t="n">
        <v>5</v>
      </c>
      <c r="O294" s="15" t="n">
        <v>1</v>
      </c>
      <c r="P294" s="15" t="n">
        <v>1</v>
      </c>
      <c r="Q294" s="15" t="n">
        <v>5</v>
      </c>
    </row>
    <row r="295" customFormat="false" ht="15" hidden="false" customHeight="false" outlineLevel="0" collapsed="false">
      <c r="A295" s="15" t="n">
        <v>291</v>
      </c>
      <c r="B295" s="16" t="n">
        <v>29.355</v>
      </c>
      <c r="C295" s="15" t="n">
        <v>5</v>
      </c>
      <c r="D295" s="15" t="n">
        <v>4</v>
      </c>
      <c r="E295" s="15" t="n">
        <v>4</v>
      </c>
      <c r="F295" s="15" t="n">
        <v>5</v>
      </c>
      <c r="G295" s="15" t="n">
        <v>4</v>
      </c>
      <c r="H295" s="15" t="n">
        <v>3</v>
      </c>
      <c r="I295" s="15" t="n">
        <v>1</v>
      </c>
      <c r="J295" s="15" t="n">
        <v>3</v>
      </c>
      <c r="K295" s="15" t="n">
        <v>5</v>
      </c>
      <c r="L295" s="16" t="n">
        <v>1.841</v>
      </c>
      <c r="M295" s="16" t="n">
        <v>3.193</v>
      </c>
      <c r="N295" s="15" t="n">
        <v>5</v>
      </c>
      <c r="O295" s="15" t="n">
        <v>1</v>
      </c>
      <c r="P295" s="15" t="n">
        <v>1</v>
      </c>
      <c r="Q295" s="15" t="n">
        <v>1</v>
      </c>
    </row>
    <row r="296" customFormat="false" ht="15" hidden="false" customHeight="false" outlineLevel="0" collapsed="false">
      <c r="A296" s="15" t="n">
        <v>292</v>
      </c>
      <c r="B296" s="16" t="n">
        <v>29.453</v>
      </c>
      <c r="C296" s="15" t="n">
        <v>5</v>
      </c>
      <c r="D296" s="15" t="n">
        <v>4</v>
      </c>
      <c r="E296" s="15" t="n">
        <v>4</v>
      </c>
      <c r="F296" s="15" t="n">
        <v>5</v>
      </c>
      <c r="G296" s="15" t="n">
        <v>4</v>
      </c>
      <c r="H296" s="15" t="n">
        <v>3</v>
      </c>
      <c r="I296" s="15" t="n">
        <v>1</v>
      </c>
      <c r="J296" s="15" t="n">
        <v>3</v>
      </c>
      <c r="K296" s="15" t="n">
        <v>5</v>
      </c>
      <c r="L296" s="16" t="n">
        <v>2.643</v>
      </c>
      <c r="M296" s="16" t="n">
        <v>2.756</v>
      </c>
      <c r="N296" s="15" t="n">
        <v>5</v>
      </c>
      <c r="O296" s="15" t="n">
        <v>1</v>
      </c>
      <c r="P296" s="15" t="n">
        <v>1</v>
      </c>
      <c r="Q296" s="15" t="n">
        <v>5</v>
      </c>
    </row>
    <row r="297" customFormat="false" ht="15" hidden="false" customHeight="false" outlineLevel="0" collapsed="false">
      <c r="A297" s="15" t="n">
        <v>293</v>
      </c>
      <c r="B297" s="16" t="n">
        <v>29.552</v>
      </c>
      <c r="C297" s="15" t="n">
        <v>5</v>
      </c>
      <c r="D297" s="15" t="n">
        <v>4</v>
      </c>
      <c r="E297" s="15" t="n">
        <v>4</v>
      </c>
      <c r="F297" s="15" t="n">
        <v>5</v>
      </c>
      <c r="G297" s="15" t="n">
        <v>4</v>
      </c>
      <c r="H297" s="15" t="n">
        <v>3</v>
      </c>
      <c r="I297" s="15" t="n">
        <v>1</v>
      </c>
      <c r="J297" s="15" t="n">
        <v>3</v>
      </c>
      <c r="K297" s="15" t="n">
        <v>5</v>
      </c>
      <c r="L297" s="16" t="n">
        <v>2.84</v>
      </c>
      <c r="M297" s="16" t="n">
        <v>2.774</v>
      </c>
      <c r="N297" s="15" t="n">
        <v>4</v>
      </c>
      <c r="O297" s="15" t="n">
        <v>1</v>
      </c>
      <c r="P297" s="15" t="n">
        <v>1</v>
      </c>
      <c r="Q297" s="15" t="n">
        <v>5</v>
      </c>
    </row>
    <row r="298" customFormat="false" ht="15" hidden="false" customHeight="false" outlineLevel="0" collapsed="false">
      <c r="A298" s="15" t="n">
        <v>294</v>
      </c>
      <c r="B298" s="16" t="n">
        <v>29.65</v>
      </c>
      <c r="C298" s="15" t="n">
        <v>5</v>
      </c>
      <c r="D298" s="15" t="n">
        <v>4</v>
      </c>
      <c r="E298" s="15" t="n">
        <v>4</v>
      </c>
      <c r="F298" s="15" t="n">
        <v>5</v>
      </c>
      <c r="G298" s="15" t="n">
        <v>4</v>
      </c>
      <c r="H298" s="15" t="n">
        <v>3</v>
      </c>
      <c r="I298" s="15" t="n">
        <v>1</v>
      </c>
      <c r="J298" s="15" t="n">
        <v>3</v>
      </c>
      <c r="K298" s="15" t="n">
        <v>5</v>
      </c>
      <c r="L298" s="16" t="n">
        <v>3.29</v>
      </c>
      <c r="M298" s="16" t="n">
        <v>2.429</v>
      </c>
      <c r="N298" s="15" t="n">
        <v>4</v>
      </c>
      <c r="O298" s="15" t="n">
        <v>1</v>
      </c>
      <c r="P298" s="15" t="n">
        <v>1</v>
      </c>
      <c r="Q298" s="15" t="n">
        <v>5</v>
      </c>
    </row>
    <row r="299" customFormat="false" ht="15" hidden="false" customHeight="false" outlineLevel="0" collapsed="false">
      <c r="A299" s="15" t="n">
        <v>295</v>
      </c>
      <c r="B299" s="16" t="n">
        <v>29.749</v>
      </c>
      <c r="C299" s="15" t="n">
        <v>5</v>
      </c>
      <c r="D299" s="15" t="n">
        <v>4</v>
      </c>
      <c r="E299" s="15" t="n">
        <v>4</v>
      </c>
      <c r="F299" s="15" t="n">
        <v>5</v>
      </c>
      <c r="G299" s="15" t="n">
        <v>4</v>
      </c>
      <c r="H299" s="15" t="n">
        <v>3</v>
      </c>
      <c r="I299" s="15" t="n">
        <v>1</v>
      </c>
      <c r="J299" s="15" t="n">
        <v>3</v>
      </c>
      <c r="K299" s="15" t="n">
        <v>5</v>
      </c>
      <c r="L299" s="16" t="n">
        <v>3.196</v>
      </c>
      <c r="M299" s="16" t="n">
        <v>2.248</v>
      </c>
      <c r="N299" s="15" t="n">
        <v>4</v>
      </c>
      <c r="O299" s="15" t="n">
        <v>1</v>
      </c>
      <c r="P299" s="15" t="n">
        <v>1</v>
      </c>
      <c r="Q299" s="15" t="n">
        <v>4</v>
      </c>
    </row>
    <row r="300" customFormat="false" ht="15" hidden="false" customHeight="false" outlineLevel="0" collapsed="false">
      <c r="A300" s="15" t="n">
        <v>296</v>
      </c>
      <c r="B300" s="16" t="n">
        <v>29.847</v>
      </c>
      <c r="C300" s="15" t="n">
        <v>5</v>
      </c>
      <c r="D300" s="15" t="n">
        <v>4</v>
      </c>
      <c r="E300" s="15" t="n">
        <v>4</v>
      </c>
      <c r="F300" s="15" t="n">
        <v>5</v>
      </c>
      <c r="G300" s="15" t="n">
        <v>4</v>
      </c>
      <c r="H300" s="15" t="n">
        <v>3</v>
      </c>
      <c r="I300" s="15" t="n">
        <v>1</v>
      </c>
      <c r="J300" s="15" t="n">
        <v>3</v>
      </c>
      <c r="K300" s="15" t="n">
        <v>5</v>
      </c>
      <c r="L300" s="16" t="n">
        <v>3.027</v>
      </c>
      <c r="M300" s="16" t="n">
        <v>2.375</v>
      </c>
      <c r="N300" s="15" t="n">
        <v>4</v>
      </c>
      <c r="O300" s="15" t="n">
        <v>1</v>
      </c>
      <c r="P300" s="15" t="n">
        <v>1</v>
      </c>
      <c r="Q300" s="15" t="n">
        <v>5</v>
      </c>
    </row>
    <row r="301" customFormat="false" ht="15" hidden="false" customHeight="false" outlineLevel="0" collapsed="false">
      <c r="A301" s="15" t="n">
        <v>297</v>
      </c>
      <c r="B301" s="16" t="n">
        <v>29.946</v>
      </c>
      <c r="C301" s="15" t="n">
        <v>5</v>
      </c>
      <c r="D301" s="15" t="n">
        <v>4</v>
      </c>
      <c r="E301" s="15" t="n">
        <v>4</v>
      </c>
      <c r="F301" s="15" t="n">
        <v>4</v>
      </c>
      <c r="G301" s="15" t="n">
        <v>4</v>
      </c>
      <c r="H301" s="15" t="n">
        <v>3</v>
      </c>
      <c r="I301" s="15" t="n">
        <v>1</v>
      </c>
      <c r="J301" s="15" t="n">
        <v>3</v>
      </c>
      <c r="K301" s="15" t="n">
        <v>5</v>
      </c>
      <c r="L301" s="16" t="n">
        <v>1.668</v>
      </c>
      <c r="M301" s="16" t="n">
        <v>2.578</v>
      </c>
      <c r="N301" s="15" t="n">
        <v>4</v>
      </c>
      <c r="O301" s="15" t="n">
        <v>1</v>
      </c>
      <c r="P301" s="15" t="n">
        <v>1</v>
      </c>
      <c r="Q301" s="15" t="n">
        <v>5</v>
      </c>
    </row>
    <row r="302" customFormat="false" ht="15" hidden="false" customHeight="false" outlineLevel="0" collapsed="false">
      <c r="A302" s="15" t="n">
        <v>298</v>
      </c>
      <c r="B302" s="16" t="n">
        <v>30.044</v>
      </c>
      <c r="C302" s="15" t="n">
        <v>5</v>
      </c>
      <c r="D302" s="15" t="n">
        <v>4</v>
      </c>
      <c r="E302" s="15" t="n">
        <v>4</v>
      </c>
      <c r="F302" s="15" t="n">
        <v>4</v>
      </c>
      <c r="G302" s="15" t="n">
        <v>4</v>
      </c>
      <c r="H302" s="15" t="n">
        <v>3</v>
      </c>
      <c r="I302" s="15" t="n">
        <v>1</v>
      </c>
      <c r="J302" s="15" t="n">
        <v>3</v>
      </c>
      <c r="K302" s="15" t="n">
        <v>5</v>
      </c>
      <c r="L302" s="16" t="n">
        <v>1.996</v>
      </c>
      <c r="M302" s="16" t="n">
        <v>3.28</v>
      </c>
      <c r="N302" s="15" t="n">
        <v>3</v>
      </c>
      <c r="O302" s="15" t="n">
        <v>1</v>
      </c>
      <c r="P302" s="15" t="n">
        <v>1</v>
      </c>
      <c r="Q302" s="15" t="n">
        <v>1</v>
      </c>
    </row>
    <row r="303" customFormat="false" ht="15" hidden="false" customHeight="false" outlineLevel="0" collapsed="false">
      <c r="A303" s="15" t="n">
        <v>299</v>
      </c>
      <c r="B303" s="16" t="n">
        <v>30.143</v>
      </c>
      <c r="C303" s="15" t="n">
        <v>5</v>
      </c>
      <c r="D303" s="15" t="n">
        <v>4</v>
      </c>
      <c r="E303" s="15" t="n">
        <v>4</v>
      </c>
      <c r="F303" s="15" t="n">
        <v>4</v>
      </c>
      <c r="G303" s="15" t="n">
        <v>4</v>
      </c>
      <c r="H303" s="15" t="n">
        <v>3</v>
      </c>
      <c r="I303" s="15" t="n">
        <v>1</v>
      </c>
      <c r="J303" s="15" t="n">
        <v>3</v>
      </c>
      <c r="K303" s="15" t="n">
        <v>5</v>
      </c>
      <c r="L303" s="16" t="n">
        <v>2.547</v>
      </c>
      <c r="M303" s="16" t="n">
        <v>3.311</v>
      </c>
      <c r="N303" s="15" t="n">
        <v>3</v>
      </c>
      <c r="O303" s="15" t="n">
        <v>1</v>
      </c>
      <c r="P303" s="15" t="n">
        <v>1</v>
      </c>
      <c r="Q303" s="15" t="n">
        <v>2</v>
      </c>
    </row>
    <row r="304" customFormat="false" ht="15" hidden="false" customHeight="false" outlineLevel="0" collapsed="false">
      <c r="A304" s="15" t="n">
        <v>300</v>
      </c>
      <c r="B304" s="16" t="n">
        <v>30.243</v>
      </c>
      <c r="C304" s="15" t="n">
        <v>5</v>
      </c>
      <c r="D304" s="15" t="n">
        <v>4</v>
      </c>
      <c r="E304" s="15" t="n">
        <v>3</v>
      </c>
      <c r="F304" s="15" t="n">
        <v>4</v>
      </c>
      <c r="G304" s="15" t="n">
        <v>4</v>
      </c>
      <c r="H304" s="15" t="n">
        <v>3</v>
      </c>
      <c r="I304" s="15" t="n">
        <v>1</v>
      </c>
      <c r="J304" s="15" t="n">
        <v>3</v>
      </c>
      <c r="K304" s="15" t="n">
        <v>5</v>
      </c>
      <c r="L304" s="16" t="n">
        <v>2.29</v>
      </c>
      <c r="M304" s="16" t="n">
        <v>2.598</v>
      </c>
      <c r="N304" s="15" t="n">
        <v>3</v>
      </c>
      <c r="O304" s="15" t="n">
        <v>1</v>
      </c>
      <c r="P304" s="15" t="n">
        <v>1</v>
      </c>
      <c r="Q304" s="15" t="n">
        <v>5</v>
      </c>
    </row>
    <row r="305" customFormat="false" ht="15" hidden="false" customHeight="false" outlineLevel="0" collapsed="false">
      <c r="A305" s="15" t="n">
        <v>301</v>
      </c>
      <c r="B305" s="16" t="n">
        <v>30.342</v>
      </c>
      <c r="C305" s="15" t="n">
        <v>5</v>
      </c>
      <c r="D305" s="15" t="n">
        <v>4</v>
      </c>
      <c r="E305" s="15" t="n">
        <v>3</v>
      </c>
      <c r="F305" s="15" t="n">
        <v>3</v>
      </c>
      <c r="G305" s="15" t="n">
        <v>4</v>
      </c>
      <c r="H305" s="15" t="n">
        <v>3</v>
      </c>
      <c r="I305" s="15" t="n">
        <v>1</v>
      </c>
      <c r="J305" s="15" t="n">
        <v>3</v>
      </c>
      <c r="K305" s="15" t="n">
        <v>5</v>
      </c>
      <c r="L305" s="16" t="n">
        <v>2.618</v>
      </c>
      <c r="M305" s="16" t="n">
        <v>3.154</v>
      </c>
      <c r="N305" s="15" t="n">
        <v>3</v>
      </c>
      <c r="O305" s="15" t="n">
        <v>1</v>
      </c>
      <c r="P305" s="15" t="n">
        <v>1</v>
      </c>
      <c r="Q305" s="15" t="n">
        <v>1</v>
      </c>
    </row>
    <row r="306" customFormat="false" ht="15" hidden="false" customHeight="false" outlineLevel="0" collapsed="false">
      <c r="A306" s="15" t="n">
        <v>302</v>
      </c>
      <c r="B306" s="16" t="n">
        <v>30.441</v>
      </c>
      <c r="C306" s="15" t="n">
        <v>5</v>
      </c>
      <c r="D306" s="15" t="n">
        <v>4</v>
      </c>
      <c r="E306" s="15" t="n">
        <v>3</v>
      </c>
      <c r="F306" s="15" t="n">
        <v>3</v>
      </c>
      <c r="G306" s="15" t="n">
        <v>4</v>
      </c>
      <c r="H306" s="15" t="n">
        <v>3</v>
      </c>
      <c r="I306" s="15" t="n">
        <v>1</v>
      </c>
      <c r="J306" s="15" t="n">
        <v>3</v>
      </c>
      <c r="K306" s="15" t="n">
        <v>5</v>
      </c>
      <c r="L306" s="16" t="n">
        <v>2.881</v>
      </c>
      <c r="M306" s="16" t="n">
        <v>3.255</v>
      </c>
      <c r="N306" s="15" t="n">
        <v>3</v>
      </c>
      <c r="O306" s="15" t="n">
        <v>1</v>
      </c>
      <c r="P306" s="15" t="n">
        <v>1</v>
      </c>
      <c r="Q306" s="15" t="n">
        <v>1</v>
      </c>
    </row>
    <row r="307" customFormat="false" ht="15" hidden="false" customHeight="false" outlineLevel="0" collapsed="false">
      <c r="A307" s="15" t="n">
        <v>303</v>
      </c>
      <c r="B307" s="16" t="n">
        <v>30.541</v>
      </c>
      <c r="C307" s="15" t="n">
        <v>5</v>
      </c>
      <c r="D307" s="15" t="n">
        <v>4</v>
      </c>
      <c r="E307" s="15" t="n">
        <v>2</v>
      </c>
      <c r="F307" s="15" t="n">
        <v>3</v>
      </c>
      <c r="G307" s="15" t="n">
        <v>4</v>
      </c>
      <c r="H307" s="15" t="n">
        <v>3</v>
      </c>
      <c r="I307" s="15" t="n">
        <v>1</v>
      </c>
      <c r="J307" s="15" t="n">
        <v>3</v>
      </c>
      <c r="K307" s="15" t="n">
        <v>5</v>
      </c>
      <c r="L307" s="16" t="n">
        <v>3.384</v>
      </c>
      <c r="M307" s="16" t="n">
        <v>2.592</v>
      </c>
      <c r="N307" s="15" t="n">
        <v>3</v>
      </c>
      <c r="O307" s="15" t="n">
        <v>1</v>
      </c>
      <c r="P307" s="15" t="n">
        <v>1</v>
      </c>
      <c r="Q307" s="15" t="n">
        <v>3</v>
      </c>
    </row>
    <row r="308" customFormat="false" ht="15" hidden="false" customHeight="false" outlineLevel="0" collapsed="false">
      <c r="A308" s="15" t="n">
        <v>304</v>
      </c>
      <c r="B308" s="16" t="n">
        <v>30.64</v>
      </c>
      <c r="C308" s="15" t="n">
        <v>5</v>
      </c>
      <c r="D308" s="15" t="n">
        <v>4</v>
      </c>
      <c r="E308" s="15" t="n">
        <v>2</v>
      </c>
      <c r="F308" s="15" t="n">
        <v>3</v>
      </c>
      <c r="G308" s="15" t="n">
        <v>4</v>
      </c>
      <c r="H308" s="15" t="n">
        <v>3</v>
      </c>
      <c r="I308" s="15" t="n">
        <v>1</v>
      </c>
      <c r="J308" s="15" t="n">
        <v>3</v>
      </c>
      <c r="K308" s="15" t="n">
        <v>5</v>
      </c>
      <c r="L308" s="16" t="n">
        <v>3.475</v>
      </c>
      <c r="M308" s="16" t="n">
        <v>2.453</v>
      </c>
      <c r="N308" s="15" t="n">
        <v>3</v>
      </c>
      <c r="O308" s="15" t="n">
        <v>1</v>
      </c>
      <c r="P308" s="15" t="n">
        <v>1</v>
      </c>
      <c r="Q308" s="15" t="n">
        <v>3</v>
      </c>
    </row>
    <row r="309" customFormat="false" ht="15" hidden="false" customHeight="false" outlineLevel="0" collapsed="false">
      <c r="A309" s="15" t="n">
        <v>305</v>
      </c>
      <c r="B309" s="16" t="n">
        <v>30.739</v>
      </c>
      <c r="C309" s="15" t="n">
        <v>5</v>
      </c>
      <c r="D309" s="15" t="n">
        <v>5</v>
      </c>
      <c r="E309" s="15" t="n">
        <v>2</v>
      </c>
      <c r="F309" s="15" t="n">
        <v>3</v>
      </c>
      <c r="G309" s="15" t="n">
        <v>4</v>
      </c>
      <c r="H309" s="15" t="n">
        <v>3</v>
      </c>
      <c r="I309" s="15" t="n">
        <v>1</v>
      </c>
      <c r="J309" s="15" t="n">
        <v>3</v>
      </c>
      <c r="K309" s="15" t="n">
        <v>5</v>
      </c>
      <c r="L309" s="16" t="n">
        <v>2.971</v>
      </c>
      <c r="M309" s="16" t="n">
        <v>2.723</v>
      </c>
      <c r="N309" s="15" t="n">
        <v>3</v>
      </c>
      <c r="O309" s="15" t="n">
        <v>1</v>
      </c>
      <c r="P309" s="15" t="n">
        <v>1</v>
      </c>
      <c r="Q309" s="15" t="n">
        <v>2</v>
      </c>
    </row>
    <row r="310" customFormat="false" ht="15" hidden="false" customHeight="false" outlineLevel="0" collapsed="false">
      <c r="A310" s="15" t="n">
        <v>306</v>
      </c>
      <c r="B310" s="16" t="n">
        <v>30.838</v>
      </c>
      <c r="C310" s="15" t="n">
        <v>5</v>
      </c>
      <c r="D310" s="15" t="n">
        <v>5</v>
      </c>
      <c r="E310" s="15" t="n">
        <v>3</v>
      </c>
      <c r="F310" s="15" t="n">
        <v>2</v>
      </c>
      <c r="G310" s="15" t="n">
        <v>4</v>
      </c>
      <c r="H310" s="15" t="n">
        <v>3</v>
      </c>
      <c r="I310" s="15" t="n">
        <v>1</v>
      </c>
      <c r="J310" s="15" t="n">
        <v>3</v>
      </c>
      <c r="K310" s="15" t="n">
        <v>5</v>
      </c>
      <c r="L310" s="16" t="n">
        <v>2.585</v>
      </c>
      <c r="M310" s="16" t="n">
        <v>3.054</v>
      </c>
      <c r="N310" s="15" t="n">
        <v>3</v>
      </c>
      <c r="O310" s="15" t="n">
        <v>1</v>
      </c>
      <c r="P310" s="15" t="n">
        <v>1</v>
      </c>
      <c r="Q310" s="15" t="n">
        <v>2</v>
      </c>
    </row>
    <row r="311" customFormat="false" ht="15" hidden="false" customHeight="false" outlineLevel="0" collapsed="false">
      <c r="A311" s="15" t="n">
        <v>307</v>
      </c>
      <c r="B311" s="16" t="n">
        <v>30.937</v>
      </c>
      <c r="C311" s="15" t="n">
        <v>5</v>
      </c>
      <c r="D311" s="15" t="n">
        <v>5</v>
      </c>
      <c r="E311" s="15" t="n">
        <v>3</v>
      </c>
      <c r="F311" s="15" t="n">
        <v>2</v>
      </c>
      <c r="G311" s="15" t="n">
        <v>4</v>
      </c>
      <c r="H311" s="15" t="n">
        <v>3</v>
      </c>
      <c r="I311" s="15" t="n">
        <v>1</v>
      </c>
      <c r="J311" s="15" t="n">
        <v>3</v>
      </c>
      <c r="K311" s="15" t="n">
        <v>5</v>
      </c>
      <c r="L311" s="16" t="n">
        <v>2.216</v>
      </c>
      <c r="M311" s="16" t="n">
        <v>3.545</v>
      </c>
      <c r="N311" s="15" t="n">
        <v>3</v>
      </c>
      <c r="O311" s="15" t="n">
        <v>1</v>
      </c>
      <c r="P311" s="15" t="n">
        <v>1</v>
      </c>
      <c r="Q311" s="15" t="n">
        <v>1</v>
      </c>
    </row>
    <row r="312" customFormat="false" ht="15" hidden="false" customHeight="false" outlineLevel="0" collapsed="false">
      <c r="A312" s="15" t="n">
        <v>308</v>
      </c>
      <c r="B312" s="16" t="n">
        <v>31.036</v>
      </c>
      <c r="C312" s="15" t="n">
        <v>5</v>
      </c>
      <c r="D312" s="15" t="n">
        <v>4</v>
      </c>
      <c r="E312" s="15" t="n">
        <v>3</v>
      </c>
      <c r="F312" s="15" t="n">
        <v>3</v>
      </c>
      <c r="G312" s="15" t="n">
        <v>4</v>
      </c>
      <c r="H312" s="15" t="n">
        <v>3</v>
      </c>
      <c r="I312" s="15" t="n">
        <v>1</v>
      </c>
      <c r="J312" s="15" t="n">
        <v>3</v>
      </c>
      <c r="K312" s="15" t="n">
        <v>5</v>
      </c>
      <c r="L312" s="16" t="n">
        <v>3.104</v>
      </c>
      <c r="M312" s="16" t="n">
        <v>2.988</v>
      </c>
      <c r="N312" s="15" t="n">
        <v>3</v>
      </c>
      <c r="O312" s="15" t="n">
        <v>1</v>
      </c>
      <c r="P312" s="15" t="n">
        <v>1</v>
      </c>
      <c r="Q312" s="15" t="n">
        <v>3</v>
      </c>
    </row>
    <row r="313" customFormat="false" ht="15" hidden="false" customHeight="false" outlineLevel="0" collapsed="false">
      <c r="A313" s="15" t="n">
        <v>309</v>
      </c>
      <c r="B313" s="16" t="n">
        <v>31.135</v>
      </c>
      <c r="C313" s="15" t="n">
        <v>5</v>
      </c>
      <c r="D313" s="15" t="n">
        <v>4</v>
      </c>
      <c r="E313" s="15" t="n">
        <v>3</v>
      </c>
      <c r="F313" s="15" t="n">
        <v>4</v>
      </c>
      <c r="G313" s="15" t="n">
        <v>4</v>
      </c>
      <c r="H313" s="15" t="n">
        <v>3</v>
      </c>
      <c r="I313" s="15" t="n">
        <v>1</v>
      </c>
      <c r="J313" s="15" t="n">
        <v>3</v>
      </c>
      <c r="K313" s="15" t="n">
        <v>5</v>
      </c>
      <c r="L313" s="16" t="n">
        <v>3.57</v>
      </c>
      <c r="M313" s="16" t="n">
        <v>2.32</v>
      </c>
      <c r="N313" s="15" t="n">
        <v>3</v>
      </c>
      <c r="O313" s="15" t="n">
        <v>1</v>
      </c>
      <c r="P313" s="15" t="n">
        <v>1</v>
      </c>
      <c r="Q313" s="15" t="n">
        <v>5</v>
      </c>
    </row>
    <row r="314" customFormat="false" ht="15" hidden="false" customHeight="false" outlineLevel="0" collapsed="false">
      <c r="A314" s="15" t="n">
        <v>310</v>
      </c>
      <c r="B314" s="16" t="n">
        <v>31.234</v>
      </c>
      <c r="C314" s="15" t="n">
        <v>5</v>
      </c>
      <c r="D314" s="15" t="n">
        <v>4</v>
      </c>
      <c r="E314" s="15" t="n">
        <v>4</v>
      </c>
      <c r="F314" s="15" t="n">
        <v>2</v>
      </c>
      <c r="G314" s="15" t="n">
        <v>4</v>
      </c>
      <c r="H314" s="15" t="n">
        <v>3</v>
      </c>
      <c r="I314" s="15" t="n">
        <v>1</v>
      </c>
      <c r="J314" s="15" t="n">
        <v>3</v>
      </c>
      <c r="K314" s="15" t="n">
        <v>5</v>
      </c>
      <c r="L314" s="16" t="n">
        <v>2.954</v>
      </c>
      <c r="M314" s="16" t="n">
        <v>3.114</v>
      </c>
      <c r="N314" s="15" t="n">
        <v>3</v>
      </c>
      <c r="O314" s="15" t="n">
        <v>1</v>
      </c>
      <c r="P314" s="15" t="n">
        <v>1</v>
      </c>
      <c r="Q314" s="15" t="n">
        <v>1</v>
      </c>
    </row>
    <row r="315" customFormat="false" ht="15" hidden="false" customHeight="false" outlineLevel="0" collapsed="false">
      <c r="A315" s="15" t="n">
        <v>311</v>
      </c>
      <c r="B315" s="16" t="n">
        <v>31.333</v>
      </c>
      <c r="C315" s="15" t="n">
        <v>5</v>
      </c>
      <c r="D315" s="15" t="n">
        <v>4</v>
      </c>
      <c r="E315" s="15" t="n">
        <v>5</v>
      </c>
      <c r="F315" s="15" t="n">
        <v>1</v>
      </c>
      <c r="G315" s="15" t="n">
        <v>4</v>
      </c>
      <c r="H315" s="15" t="n">
        <v>3</v>
      </c>
      <c r="I315" s="15" t="n">
        <v>4</v>
      </c>
      <c r="J315" s="15" t="n">
        <v>3</v>
      </c>
      <c r="K315" s="15" t="n">
        <v>5</v>
      </c>
      <c r="L315" s="16" t="n">
        <v>3.522</v>
      </c>
      <c r="M315" s="16" t="n">
        <v>2.604</v>
      </c>
      <c r="N315" s="15" t="n">
        <v>3</v>
      </c>
      <c r="O315" s="15" t="n">
        <v>1</v>
      </c>
      <c r="P315" s="15" t="n">
        <v>1</v>
      </c>
      <c r="Q315" s="15" t="n">
        <v>3</v>
      </c>
    </row>
    <row r="316" customFormat="false" ht="15" hidden="false" customHeight="false" outlineLevel="0" collapsed="false">
      <c r="A316" s="15" t="n">
        <v>312</v>
      </c>
      <c r="B316" s="16" t="n">
        <v>31.433</v>
      </c>
      <c r="C316" s="15" t="n">
        <v>5</v>
      </c>
      <c r="D316" s="15" t="n">
        <v>4</v>
      </c>
      <c r="E316" s="15" t="n">
        <v>5</v>
      </c>
      <c r="F316" s="15" t="n">
        <v>4</v>
      </c>
      <c r="G316" s="15" t="n">
        <v>4</v>
      </c>
      <c r="H316" s="15" t="n">
        <v>3</v>
      </c>
      <c r="I316" s="15" t="n">
        <v>3</v>
      </c>
      <c r="J316" s="15" t="n">
        <v>3</v>
      </c>
      <c r="K316" s="15" t="n">
        <v>5</v>
      </c>
      <c r="L316" s="16" t="n">
        <v>3.578</v>
      </c>
      <c r="M316" s="16" t="n">
        <v>2.351</v>
      </c>
      <c r="N316" s="15" t="n">
        <v>3</v>
      </c>
      <c r="O316" s="15" t="n">
        <v>1</v>
      </c>
      <c r="P316" s="15" t="n">
        <v>1</v>
      </c>
      <c r="Q316" s="15" t="n">
        <v>4</v>
      </c>
    </row>
    <row r="317" customFormat="false" ht="15" hidden="false" customHeight="false" outlineLevel="0" collapsed="false">
      <c r="A317" s="15" t="n">
        <v>313</v>
      </c>
      <c r="B317" s="16" t="n">
        <v>31.533</v>
      </c>
      <c r="C317" s="15" t="n">
        <v>5</v>
      </c>
      <c r="D317" s="15" t="n">
        <v>4</v>
      </c>
      <c r="E317" s="15" t="n">
        <v>4</v>
      </c>
      <c r="F317" s="15" t="n">
        <v>4</v>
      </c>
      <c r="G317" s="15" t="n">
        <v>4</v>
      </c>
      <c r="H317" s="15" t="n">
        <v>3</v>
      </c>
      <c r="I317" s="15" t="n">
        <v>1</v>
      </c>
      <c r="J317" s="15" t="n">
        <v>3</v>
      </c>
      <c r="K317" s="15" t="n">
        <v>5</v>
      </c>
      <c r="L317" s="16" t="n">
        <v>3.563</v>
      </c>
      <c r="M317" s="16" t="n">
        <v>2.337</v>
      </c>
      <c r="N317" s="15" t="n">
        <v>3</v>
      </c>
      <c r="O317" s="15" t="n">
        <v>1</v>
      </c>
      <c r="P317" s="15" t="n">
        <v>1</v>
      </c>
      <c r="Q317" s="15" t="n">
        <v>4</v>
      </c>
    </row>
    <row r="318" customFormat="false" ht="15" hidden="false" customHeight="false" outlineLevel="0" collapsed="false">
      <c r="A318" s="15" t="n">
        <v>314</v>
      </c>
      <c r="B318" s="16" t="n">
        <v>31.633</v>
      </c>
      <c r="C318" s="15" t="n">
        <v>5</v>
      </c>
      <c r="D318" s="15" t="n">
        <v>5</v>
      </c>
      <c r="E318" s="15" t="n">
        <v>4</v>
      </c>
      <c r="F318" s="15" t="n">
        <v>4</v>
      </c>
      <c r="G318" s="15" t="n">
        <v>4</v>
      </c>
      <c r="H318" s="15" t="n">
        <v>3</v>
      </c>
      <c r="I318" s="15" t="n">
        <v>1</v>
      </c>
      <c r="J318" s="15" t="n">
        <v>3</v>
      </c>
      <c r="K318" s="15" t="n">
        <v>5</v>
      </c>
      <c r="L318" s="16" t="n">
        <v>3.778</v>
      </c>
      <c r="M318" s="16" t="n">
        <v>2</v>
      </c>
      <c r="N318" s="15" t="n">
        <v>3</v>
      </c>
      <c r="O318" s="15" t="n">
        <v>1</v>
      </c>
      <c r="P318" s="15" t="n">
        <v>1</v>
      </c>
      <c r="Q318" s="15" t="n">
        <v>4</v>
      </c>
    </row>
    <row r="319" customFormat="false" ht="15" hidden="false" customHeight="false" outlineLevel="0" collapsed="false">
      <c r="A319" s="15" t="n">
        <v>315</v>
      </c>
      <c r="B319" s="16" t="n">
        <v>31.734</v>
      </c>
      <c r="C319" s="15" t="n">
        <v>5</v>
      </c>
      <c r="D319" s="15" t="n">
        <v>5</v>
      </c>
      <c r="E319" s="15" t="n">
        <v>4</v>
      </c>
      <c r="F319" s="15" t="n">
        <v>4</v>
      </c>
      <c r="G319" s="15" t="n">
        <v>4</v>
      </c>
      <c r="H319" s="15" t="n">
        <v>3</v>
      </c>
      <c r="I319" s="15" t="n">
        <v>1</v>
      </c>
      <c r="J319" s="15" t="n">
        <v>3</v>
      </c>
      <c r="K319" s="15" t="n">
        <v>5</v>
      </c>
      <c r="L319" s="16" t="n">
        <v>3.899</v>
      </c>
      <c r="M319" s="16" t="n">
        <v>2</v>
      </c>
      <c r="N319" s="15" t="n">
        <v>3</v>
      </c>
      <c r="O319" s="15" t="n">
        <v>1</v>
      </c>
      <c r="P319" s="15" t="n">
        <v>1</v>
      </c>
      <c r="Q319" s="15" t="n">
        <v>5</v>
      </c>
    </row>
    <row r="320" customFormat="false" ht="15" hidden="false" customHeight="false" outlineLevel="0" collapsed="false">
      <c r="A320" s="15" t="n">
        <v>316</v>
      </c>
      <c r="B320" s="16" t="n">
        <v>31.834</v>
      </c>
      <c r="C320" s="15" t="n">
        <v>5</v>
      </c>
      <c r="D320" s="15" t="n">
        <v>5</v>
      </c>
      <c r="E320" s="15" t="n">
        <v>5</v>
      </c>
      <c r="F320" s="15" t="n">
        <v>4</v>
      </c>
      <c r="G320" s="15" t="n">
        <v>4</v>
      </c>
      <c r="H320" s="15" t="n">
        <v>3</v>
      </c>
      <c r="I320" s="15" t="n">
        <v>4</v>
      </c>
      <c r="J320" s="15" t="n">
        <v>3</v>
      </c>
      <c r="K320" s="15" t="n">
        <v>5</v>
      </c>
      <c r="L320" s="16" t="n">
        <v>3.922</v>
      </c>
      <c r="M320" s="16" t="n">
        <v>2</v>
      </c>
      <c r="N320" s="15" t="n">
        <v>3</v>
      </c>
      <c r="O320" s="15" t="n">
        <v>1</v>
      </c>
      <c r="P320" s="15" t="n">
        <v>1</v>
      </c>
      <c r="Q320" s="15" t="n">
        <v>5</v>
      </c>
    </row>
    <row r="321" customFormat="false" ht="15" hidden="false" customHeight="false" outlineLevel="0" collapsed="false">
      <c r="A321" s="15" t="n">
        <v>317</v>
      </c>
      <c r="B321" s="16" t="n">
        <v>31.933</v>
      </c>
      <c r="C321" s="15" t="n">
        <v>5</v>
      </c>
      <c r="D321" s="15" t="n">
        <v>5</v>
      </c>
      <c r="E321" s="15" t="n">
        <v>5</v>
      </c>
      <c r="F321" s="15" t="n">
        <v>4</v>
      </c>
      <c r="G321" s="15" t="n">
        <v>4</v>
      </c>
      <c r="H321" s="15" t="n">
        <v>3</v>
      </c>
      <c r="I321" s="15" t="n">
        <v>2</v>
      </c>
      <c r="J321" s="15" t="n">
        <v>3</v>
      </c>
      <c r="K321" s="15" t="n">
        <v>5</v>
      </c>
      <c r="L321" s="16" t="n">
        <v>3.946</v>
      </c>
      <c r="M321" s="16" t="n">
        <v>2.133</v>
      </c>
      <c r="N321" s="15" t="n">
        <v>3</v>
      </c>
      <c r="O321" s="15" t="n">
        <v>1</v>
      </c>
      <c r="P321" s="15" t="n">
        <v>1</v>
      </c>
      <c r="Q321" s="15" t="n">
        <v>5</v>
      </c>
    </row>
    <row r="322" customFormat="false" ht="15" hidden="false" customHeight="false" outlineLevel="0" collapsed="false">
      <c r="A322" s="15" t="n">
        <v>318</v>
      </c>
      <c r="B322" s="16" t="n">
        <v>32.033</v>
      </c>
      <c r="C322" s="15" t="n">
        <v>5</v>
      </c>
      <c r="D322" s="15" t="n">
        <v>5</v>
      </c>
      <c r="E322" s="15" t="n">
        <v>4</v>
      </c>
      <c r="F322" s="15" t="n">
        <v>4</v>
      </c>
      <c r="G322" s="15" t="n">
        <v>4</v>
      </c>
      <c r="H322" s="15" t="n">
        <v>3</v>
      </c>
      <c r="I322" s="15" t="n">
        <v>1</v>
      </c>
      <c r="J322" s="15" t="n">
        <v>3</v>
      </c>
      <c r="K322" s="15" t="n">
        <v>5</v>
      </c>
      <c r="L322" s="16" t="n">
        <v>3.635</v>
      </c>
      <c r="M322" s="16" t="n">
        <v>2.725</v>
      </c>
      <c r="N322" s="15" t="n">
        <v>3</v>
      </c>
      <c r="O322" s="15" t="n">
        <v>1</v>
      </c>
      <c r="P322" s="15" t="n">
        <v>1</v>
      </c>
      <c r="Q322" s="15" t="n">
        <v>2</v>
      </c>
    </row>
    <row r="323" customFormat="false" ht="15" hidden="false" customHeight="false" outlineLevel="0" collapsed="false">
      <c r="A323" s="15" t="n">
        <v>319</v>
      </c>
      <c r="B323" s="16" t="n">
        <v>32.133</v>
      </c>
      <c r="C323" s="15" t="n">
        <v>5</v>
      </c>
      <c r="D323" s="15" t="n">
        <v>5</v>
      </c>
      <c r="E323" s="15" t="n">
        <v>4</v>
      </c>
      <c r="F323" s="15" t="n">
        <v>3</v>
      </c>
      <c r="G323" s="15" t="n">
        <v>4</v>
      </c>
      <c r="H323" s="15" t="n">
        <v>3</v>
      </c>
      <c r="I323" s="15" t="n">
        <v>2</v>
      </c>
      <c r="J323" s="15" t="n">
        <v>3</v>
      </c>
      <c r="K323" s="15" t="n">
        <v>5</v>
      </c>
      <c r="L323" s="16" t="n">
        <v>3.724</v>
      </c>
      <c r="M323" s="16" t="n">
        <v>2.97</v>
      </c>
      <c r="N323" s="15" t="n">
        <v>3</v>
      </c>
      <c r="O323" s="15" t="n">
        <v>1</v>
      </c>
      <c r="P323" s="15" t="n">
        <v>1</v>
      </c>
      <c r="Q323" s="15" t="n">
        <v>3</v>
      </c>
    </row>
    <row r="324" customFormat="false" ht="15" hidden="false" customHeight="false" outlineLevel="0" collapsed="false">
      <c r="A324" s="15" t="n">
        <v>320</v>
      </c>
      <c r="B324" s="16" t="n">
        <v>32.233</v>
      </c>
      <c r="C324" s="15" t="n">
        <v>5</v>
      </c>
      <c r="D324" s="15" t="n">
        <v>5</v>
      </c>
      <c r="E324" s="15" t="n">
        <v>4</v>
      </c>
      <c r="F324" s="15" t="n">
        <v>5</v>
      </c>
      <c r="G324" s="15" t="n">
        <v>4</v>
      </c>
      <c r="H324" s="15" t="n">
        <v>3</v>
      </c>
      <c r="I324" s="15" t="n">
        <v>1</v>
      </c>
      <c r="J324" s="15" t="n">
        <v>3</v>
      </c>
      <c r="K324" s="15" t="n">
        <v>5</v>
      </c>
      <c r="L324" s="16" t="n">
        <v>3.083</v>
      </c>
      <c r="M324" s="16" t="n">
        <v>2.628</v>
      </c>
      <c r="N324" s="15" t="n">
        <v>3</v>
      </c>
      <c r="O324" s="15" t="n">
        <v>1</v>
      </c>
      <c r="P324" s="15" t="n">
        <v>1</v>
      </c>
      <c r="Q324" s="15" t="n">
        <v>4</v>
      </c>
    </row>
    <row r="325" customFormat="false" ht="15" hidden="false" customHeight="false" outlineLevel="0" collapsed="false">
      <c r="A325" s="15" t="n">
        <v>321</v>
      </c>
      <c r="B325" s="16" t="n">
        <v>32.333</v>
      </c>
      <c r="C325" s="15" t="n">
        <v>5</v>
      </c>
      <c r="D325" s="15" t="n">
        <v>5</v>
      </c>
      <c r="E325" s="15" t="n">
        <v>4</v>
      </c>
      <c r="F325" s="15" t="n">
        <v>5</v>
      </c>
      <c r="G325" s="15" t="n">
        <v>4</v>
      </c>
      <c r="H325" s="15" t="n">
        <v>3</v>
      </c>
      <c r="I325" s="15" t="n">
        <v>1</v>
      </c>
      <c r="J325" s="15" t="n">
        <v>3</v>
      </c>
      <c r="K325" s="15" t="n">
        <v>5</v>
      </c>
      <c r="L325" s="16" t="n">
        <v>3.4</v>
      </c>
      <c r="M325" s="16" t="n">
        <v>2.246</v>
      </c>
      <c r="N325" s="15" t="n">
        <v>3</v>
      </c>
      <c r="O325" s="15" t="n">
        <v>1</v>
      </c>
      <c r="P325" s="15" t="n">
        <v>1</v>
      </c>
      <c r="Q325" s="15" t="n">
        <v>4</v>
      </c>
    </row>
    <row r="326" customFormat="false" ht="15" hidden="false" customHeight="false" outlineLevel="0" collapsed="false">
      <c r="A326" s="15" t="n">
        <v>322</v>
      </c>
      <c r="B326" s="16" t="n">
        <v>32.434</v>
      </c>
      <c r="C326" s="15" t="n">
        <v>5</v>
      </c>
      <c r="D326" s="15" t="n">
        <v>5</v>
      </c>
      <c r="E326" s="15" t="n">
        <v>4</v>
      </c>
      <c r="F326" s="15" t="n">
        <v>5</v>
      </c>
      <c r="G326" s="15" t="n">
        <v>4</v>
      </c>
      <c r="H326" s="15" t="n">
        <v>3</v>
      </c>
      <c r="I326" s="15" t="n">
        <v>1</v>
      </c>
      <c r="J326" s="15" t="n">
        <v>3</v>
      </c>
      <c r="K326" s="15" t="n">
        <v>5</v>
      </c>
      <c r="L326" s="16" t="n">
        <v>3.73</v>
      </c>
      <c r="M326" s="16" t="n">
        <v>2.35</v>
      </c>
      <c r="N326" s="15" t="n">
        <v>3</v>
      </c>
      <c r="O326" s="15" t="n">
        <v>1</v>
      </c>
      <c r="P326" s="15" t="n">
        <v>1</v>
      </c>
      <c r="Q326" s="15" t="n">
        <v>4</v>
      </c>
    </row>
    <row r="327" customFormat="false" ht="15" hidden="false" customHeight="false" outlineLevel="0" collapsed="false">
      <c r="A327" s="15" t="n">
        <v>323</v>
      </c>
      <c r="B327" s="16" t="n">
        <v>32.535</v>
      </c>
      <c r="C327" s="15" t="n">
        <v>5</v>
      </c>
      <c r="D327" s="15" t="n">
        <v>5</v>
      </c>
      <c r="E327" s="15" t="n">
        <v>4</v>
      </c>
      <c r="F327" s="15" t="n">
        <v>5</v>
      </c>
      <c r="G327" s="15" t="n">
        <v>4</v>
      </c>
      <c r="H327" s="15" t="n">
        <v>3</v>
      </c>
      <c r="I327" s="15" t="n">
        <v>1</v>
      </c>
      <c r="J327" s="15" t="n">
        <v>3</v>
      </c>
      <c r="K327" s="15" t="n">
        <v>5</v>
      </c>
      <c r="L327" s="16" t="n">
        <v>3.628</v>
      </c>
      <c r="M327" s="16" t="n">
        <v>2.302</v>
      </c>
      <c r="N327" s="15" t="n">
        <v>3</v>
      </c>
      <c r="O327" s="15" t="n">
        <v>1</v>
      </c>
      <c r="P327" s="15" t="n">
        <v>1</v>
      </c>
      <c r="Q327" s="15" t="n">
        <v>4</v>
      </c>
    </row>
    <row r="328" customFormat="false" ht="15" hidden="false" customHeight="false" outlineLevel="0" collapsed="false">
      <c r="A328" s="15" t="n">
        <v>324</v>
      </c>
      <c r="B328" s="16" t="n">
        <v>32.635</v>
      </c>
      <c r="C328" s="15" t="n">
        <v>5</v>
      </c>
      <c r="D328" s="15" t="n">
        <v>5</v>
      </c>
      <c r="E328" s="15" t="n">
        <v>4</v>
      </c>
      <c r="F328" s="15" t="n">
        <v>5</v>
      </c>
      <c r="G328" s="15" t="n">
        <v>4</v>
      </c>
      <c r="H328" s="15" t="n">
        <v>3</v>
      </c>
      <c r="I328" s="15" t="n">
        <v>1</v>
      </c>
      <c r="J328" s="15" t="n">
        <v>3</v>
      </c>
      <c r="K328" s="15" t="n">
        <v>5</v>
      </c>
      <c r="L328" s="16" t="n">
        <v>3.695</v>
      </c>
      <c r="M328" s="16" t="n">
        <v>2.573</v>
      </c>
      <c r="N328" s="15" t="n">
        <v>3</v>
      </c>
      <c r="O328" s="15" t="n">
        <v>1</v>
      </c>
      <c r="P328" s="15" t="n">
        <v>1</v>
      </c>
      <c r="Q328" s="15" t="n">
        <v>3</v>
      </c>
    </row>
    <row r="329" customFormat="false" ht="15" hidden="false" customHeight="false" outlineLevel="0" collapsed="false">
      <c r="A329" s="15" t="n">
        <v>325</v>
      </c>
      <c r="B329" s="16" t="n">
        <v>32.736</v>
      </c>
      <c r="C329" s="15" t="n">
        <v>5</v>
      </c>
      <c r="D329" s="15" t="n">
        <v>5</v>
      </c>
      <c r="E329" s="15" t="n">
        <v>4</v>
      </c>
      <c r="F329" s="15" t="n">
        <v>5</v>
      </c>
      <c r="G329" s="15" t="n">
        <v>4</v>
      </c>
      <c r="H329" s="15" t="n">
        <v>3</v>
      </c>
      <c r="I329" s="15" t="n">
        <v>1</v>
      </c>
      <c r="J329" s="15" t="n">
        <v>3</v>
      </c>
      <c r="K329" s="15" t="n">
        <v>5</v>
      </c>
      <c r="L329" s="16" t="n">
        <v>3.609</v>
      </c>
      <c r="M329" s="16" t="n">
        <v>2.751</v>
      </c>
      <c r="N329" s="15" t="n">
        <v>3</v>
      </c>
      <c r="O329" s="15" t="n">
        <v>1</v>
      </c>
      <c r="P329" s="15" t="n">
        <v>1</v>
      </c>
      <c r="Q329" s="15" t="n">
        <v>3</v>
      </c>
    </row>
    <row r="330" customFormat="false" ht="15" hidden="false" customHeight="false" outlineLevel="0" collapsed="false">
      <c r="A330" s="15" t="n">
        <v>326</v>
      </c>
      <c r="B330" s="16" t="n">
        <v>32.837</v>
      </c>
      <c r="C330" s="15" t="n">
        <v>5</v>
      </c>
      <c r="D330" s="15" t="n">
        <v>5</v>
      </c>
      <c r="E330" s="15" t="n">
        <v>4</v>
      </c>
      <c r="F330" s="15" t="n">
        <v>5</v>
      </c>
      <c r="G330" s="15" t="n">
        <v>4</v>
      </c>
      <c r="H330" s="15" t="n">
        <v>3</v>
      </c>
      <c r="I330" s="15" t="n">
        <v>1</v>
      </c>
      <c r="J330" s="15" t="n">
        <v>3</v>
      </c>
      <c r="K330" s="15" t="n">
        <v>5</v>
      </c>
      <c r="L330" s="16" t="n">
        <v>3.419</v>
      </c>
      <c r="M330" s="16" t="n">
        <v>2.789</v>
      </c>
      <c r="N330" s="15" t="n">
        <v>3</v>
      </c>
      <c r="O330" s="15" t="n">
        <v>1</v>
      </c>
      <c r="P330" s="15" t="n">
        <v>1</v>
      </c>
      <c r="Q330" s="15" t="n">
        <v>3</v>
      </c>
    </row>
    <row r="331" customFormat="false" ht="15" hidden="false" customHeight="false" outlineLevel="0" collapsed="false">
      <c r="A331" s="15" t="n">
        <v>327</v>
      </c>
      <c r="B331" s="16" t="n">
        <v>32.937</v>
      </c>
      <c r="C331" s="15" t="n">
        <v>5</v>
      </c>
      <c r="D331" s="15" t="n">
        <v>5</v>
      </c>
      <c r="E331" s="15" t="n">
        <v>4</v>
      </c>
      <c r="F331" s="15" t="n">
        <v>5</v>
      </c>
      <c r="G331" s="15" t="n">
        <v>4</v>
      </c>
      <c r="H331" s="15" t="n">
        <v>3</v>
      </c>
      <c r="I331" s="15" t="n">
        <v>3</v>
      </c>
      <c r="J331" s="15" t="n">
        <v>3</v>
      </c>
      <c r="K331" s="15" t="n">
        <v>5</v>
      </c>
      <c r="L331" s="16" t="n">
        <v>3.455</v>
      </c>
      <c r="M331" s="16" t="n">
        <v>2.691</v>
      </c>
      <c r="N331" s="15" t="n">
        <v>3</v>
      </c>
      <c r="O331" s="15" t="n">
        <v>1</v>
      </c>
      <c r="P331" s="15" t="n">
        <v>1</v>
      </c>
      <c r="Q331" s="15" t="n">
        <v>4</v>
      </c>
    </row>
    <row r="332" customFormat="false" ht="15" hidden="false" customHeight="false" outlineLevel="0" collapsed="false">
      <c r="A332" s="15" t="n">
        <v>328</v>
      </c>
      <c r="B332" s="16" t="n">
        <v>33.037</v>
      </c>
      <c r="C332" s="15" t="n">
        <v>5</v>
      </c>
      <c r="D332" s="15" t="n">
        <v>5</v>
      </c>
      <c r="E332" s="15" t="n">
        <v>4</v>
      </c>
      <c r="F332" s="15" t="n">
        <v>5</v>
      </c>
      <c r="G332" s="15" t="n">
        <v>4</v>
      </c>
      <c r="H332" s="15" t="n">
        <v>2</v>
      </c>
      <c r="I332" s="15" t="n">
        <v>3</v>
      </c>
      <c r="J332" s="15" t="n">
        <v>3</v>
      </c>
      <c r="K332" s="15" t="n">
        <v>5</v>
      </c>
      <c r="L332" s="16" t="n">
        <v>3.375</v>
      </c>
      <c r="M332" s="16" t="n">
        <v>2.662</v>
      </c>
      <c r="N332" s="15" t="n">
        <v>3</v>
      </c>
      <c r="O332" s="15" t="n">
        <v>1</v>
      </c>
      <c r="P332" s="15" t="n">
        <v>1</v>
      </c>
      <c r="Q332" s="15" t="n">
        <v>3</v>
      </c>
    </row>
    <row r="333" customFormat="false" ht="15" hidden="false" customHeight="false" outlineLevel="0" collapsed="false">
      <c r="A333" s="15" t="n">
        <v>329</v>
      </c>
      <c r="B333" s="16" t="n">
        <v>33.138</v>
      </c>
      <c r="C333" s="15" t="n">
        <v>5</v>
      </c>
      <c r="D333" s="15" t="n">
        <v>5</v>
      </c>
      <c r="E333" s="15" t="n">
        <v>4</v>
      </c>
      <c r="F333" s="15" t="n">
        <v>5</v>
      </c>
      <c r="G333" s="15" t="n">
        <v>4</v>
      </c>
      <c r="H333" s="15" t="n">
        <v>2</v>
      </c>
      <c r="I333" s="15" t="n">
        <v>2</v>
      </c>
      <c r="J333" s="15" t="n">
        <v>3</v>
      </c>
      <c r="K333" s="15" t="n">
        <v>5</v>
      </c>
      <c r="L333" s="16" t="n">
        <v>3.443</v>
      </c>
      <c r="M333" s="16" t="n">
        <v>2.655</v>
      </c>
      <c r="N333" s="15" t="n">
        <v>3</v>
      </c>
      <c r="O333" s="15" t="n">
        <v>1</v>
      </c>
      <c r="P333" s="15" t="n">
        <v>1</v>
      </c>
      <c r="Q333" s="15" t="n">
        <v>4</v>
      </c>
    </row>
    <row r="334" customFormat="false" ht="15" hidden="false" customHeight="false" outlineLevel="0" collapsed="false">
      <c r="A334" s="15" t="n">
        <v>330</v>
      </c>
      <c r="B334" s="16" t="n">
        <v>33.238</v>
      </c>
      <c r="C334" s="15" t="n">
        <v>5</v>
      </c>
      <c r="D334" s="15" t="n">
        <v>5</v>
      </c>
      <c r="E334" s="15" t="n">
        <v>4</v>
      </c>
      <c r="F334" s="15" t="n">
        <v>5</v>
      </c>
      <c r="G334" s="15" t="n">
        <v>4</v>
      </c>
      <c r="H334" s="15" t="n">
        <v>2</v>
      </c>
      <c r="I334" s="15" t="n">
        <v>3</v>
      </c>
      <c r="J334" s="15" t="n">
        <v>3</v>
      </c>
      <c r="K334" s="15" t="n">
        <v>4</v>
      </c>
      <c r="L334" s="16" t="n">
        <v>3.697</v>
      </c>
      <c r="M334" s="16" t="n">
        <v>2.656</v>
      </c>
      <c r="N334" s="15" t="n">
        <v>3</v>
      </c>
      <c r="O334" s="15" t="n">
        <v>1</v>
      </c>
      <c r="P334" s="15" t="n">
        <v>1</v>
      </c>
      <c r="Q334" s="15" t="n">
        <v>4</v>
      </c>
    </row>
    <row r="335" customFormat="false" ht="15" hidden="false" customHeight="false" outlineLevel="0" collapsed="false">
      <c r="A335" s="15" t="n">
        <v>331</v>
      </c>
      <c r="B335" s="16" t="n">
        <v>33.338</v>
      </c>
      <c r="C335" s="15" t="n">
        <v>5</v>
      </c>
      <c r="D335" s="15" t="n">
        <v>5</v>
      </c>
      <c r="E335" s="15" t="n">
        <v>4</v>
      </c>
      <c r="F335" s="15" t="n">
        <v>5</v>
      </c>
      <c r="G335" s="15" t="n">
        <v>4</v>
      </c>
      <c r="H335" s="15" t="n">
        <v>2</v>
      </c>
      <c r="I335" s="15" t="n">
        <v>3</v>
      </c>
      <c r="J335" s="15" t="n">
        <v>3</v>
      </c>
      <c r="K335" s="15" t="n">
        <v>4</v>
      </c>
      <c r="L335" s="16" t="n">
        <v>3.922</v>
      </c>
      <c r="M335" s="16" t="n">
        <v>2.465</v>
      </c>
      <c r="N335" s="15" t="n">
        <v>3</v>
      </c>
      <c r="O335" s="15" t="n">
        <v>1</v>
      </c>
      <c r="P335" s="15" t="n">
        <v>1</v>
      </c>
      <c r="Q335" s="15" t="n">
        <v>4</v>
      </c>
    </row>
    <row r="336" customFormat="false" ht="15" hidden="false" customHeight="false" outlineLevel="0" collapsed="false">
      <c r="A336" s="15" t="n">
        <v>332</v>
      </c>
      <c r="B336" s="16" t="n">
        <v>33.438</v>
      </c>
      <c r="C336" s="15" t="n">
        <v>5</v>
      </c>
      <c r="D336" s="15" t="n">
        <v>5</v>
      </c>
      <c r="E336" s="15" t="n">
        <v>4</v>
      </c>
      <c r="F336" s="15" t="n">
        <v>5</v>
      </c>
      <c r="G336" s="15" t="n">
        <v>4</v>
      </c>
      <c r="H336" s="15" t="n">
        <v>2</v>
      </c>
      <c r="I336" s="15" t="n">
        <v>2</v>
      </c>
      <c r="J336" s="15" t="n">
        <v>3</v>
      </c>
      <c r="K336" s="15" t="n">
        <v>4</v>
      </c>
      <c r="L336" s="16" t="n">
        <v>3.961</v>
      </c>
      <c r="M336" s="16" t="n">
        <v>2.189</v>
      </c>
      <c r="N336" s="15" t="n">
        <v>3</v>
      </c>
      <c r="O336" s="15" t="n">
        <v>1</v>
      </c>
      <c r="P336" s="15" t="n">
        <v>1</v>
      </c>
      <c r="Q336" s="15" t="n">
        <v>5</v>
      </c>
    </row>
    <row r="337" customFormat="false" ht="15" hidden="false" customHeight="false" outlineLevel="0" collapsed="false">
      <c r="A337" s="15" t="n">
        <v>333</v>
      </c>
      <c r="B337" s="16" t="n">
        <v>33.539</v>
      </c>
      <c r="C337" s="15" t="n">
        <v>5</v>
      </c>
      <c r="D337" s="15" t="n">
        <v>5</v>
      </c>
      <c r="E337" s="15" t="n">
        <v>5</v>
      </c>
      <c r="F337" s="15" t="n">
        <v>5</v>
      </c>
      <c r="G337" s="15" t="n">
        <v>4</v>
      </c>
      <c r="H337" s="15" t="n">
        <v>2</v>
      </c>
      <c r="I337" s="15" t="n">
        <v>5</v>
      </c>
      <c r="J337" s="15" t="n">
        <v>3</v>
      </c>
      <c r="K337" s="15" t="n">
        <v>4</v>
      </c>
      <c r="L337" s="16" t="n">
        <v>3.941</v>
      </c>
      <c r="M337" s="16" t="n">
        <v>2.004</v>
      </c>
      <c r="N337" s="15" t="n">
        <v>3</v>
      </c>
      <c r="O337" s="15" t="n">
        <v>1</v>
      </c>
      <c r="P337" s="15" t="n">
        <v>1</v>
      </c>
      <c r="Q337" s="15" t="n">
        <v>4</v>
      </c>
    </row>
    <row r="338" customFormat="false" ht="15" hidden="false" customHeight="false" outlineLevel="0" collapsed="false">
      <c r="A338" s="15" t="n">
        <v>334</v>
      </c>
      <c r="B338" s="16" t="n">
        <v>33.639</v>
      </c>
      <c r="C338" s="15" t="n">
        <v>5</v>
      </c>
      <c r="D338" s="15" t="n">
        <v>5</v>
      </c>
      <c r="E338" s="15" t="n">
        <v>5</v>
      </c>
      <c r="F338" s="15" t="n">
        <v>5</v>
      </c>
      <c r="G338" s="15" t="n">
        <v>4</v>
      </c>
      <c r="H338" s="15" t="n">
        <v>2</v>
      </c>
      <c r="I338" s="15" t="n">
        <v>5</v>
      </c>
      <c r="J338" s="15" t="n">
        <v>3</v>
      </c>
      <c r="K338" s="15" t="n">
        <v>4</v>
      </c>
      <c r="L338" s="16" t="n">
        <v>3.932</v>
      </c>
      <c r="M338" s="16" t="n">
        <v>2.378</v>
      </c>
      <c r="N338" s="15" t="n">
        <v>3</v>
      </c>
      <c r="O338" s="15" t="n">
        <v>1</v>
      </c>
      <c r="P338" s="15" t="n">
        <v>1</v>
      </c>
      <c r="Q338" s="15" t="n">
        <v>1</v>
      </c>
    </row>
    <row r="339" customFormat="false" ht="15" hidden="false" customHeight="false" outlineLevel="0" collapsed="false">
      <c r="A339" s="15" t="n">
        <v>335</v>
      </c>
      <c r="B339" s="16" t="n">
        <v>33.74</v>
      </c>
      <c r="C339" s="15" t="n">
        <v>5</v>
      </c>
      <c r="D339" s="15" t="n">
        <v>5</v>
      </c>
      <c r="E339" s="15" t="n">
        <v>5</v>
      </c>
      <c r="F339" s="15" t="n">
        <v>5</v>
      </c>
      <c r="G339" s="15" t="n">
        <v>4</v>
      </c>
      <c r="H339" s="15" t="n">
        <v>2</v>
      </c>
      <c r="I339" s="15" t="n">
        <v>5</v>
      </c>
      <c r="J339" s="15" t="n">
        <v>3</v>
      </c>
      <c r="K339" s="15" t="n">
        <v>4</v>
      </c>
      <c r="L339" s="16" t="n">
        <v>3.967</v>
      </c>
      <c r="M339" s="16" t="n">
        <v>2.056</v>
      </c>
      <c r="N339" s="15" t="n">
        <v>3</v>
      </c>
      <c r="O339" s="15" t="n">
        <v>1</v>
      </c>
      <c r="P339" s="15" t="n">
        <v>1</v>
      </c>
      <c r="Q339" s="15" t="n">
        <v>5</v>
      </c>
    </row>
    <row r="340" customFormat="false" ht="15" hidden="false" customHeight="false" outlineLevel="0" collapsed="false">
      <c r="A340" s="15" t="n">
        <v>336</v>
      </c>
      <c r="B340" s="16" t="n">
        <v>33.841</v>
      </c>
      <c r="C340" s="15" t="n">
        <v>5</v>
      </c>
      <c r="D340" s="15" t="n">
        <v>5</v>
      </c>
      <c r="E340" s="15" t="n">
        <v>5</v>
      </c>
      <c r="F340" s="15" t="n">
        <v>5</v>
      </c>
      <c r="G340" s="15" t="n">
        <v>4</v>
      </c>
      <c r="H340" s="15" t="n">
        <v>2</v>
      </c>
      <c r="I340" s="15" t="n">
        <v>5</v>
      </c>
      <c r="J340" s="15" t="n">
        <v>3</v>
      </c>
      <c r="K340" s="15" t="n">
        <v>4</v>
      </c>
      <c r="L340" s="16" t="n">
        <v>3.894</v>
      </c>
      <c r="M340" s="16" t="n">
        <v>2.191</v>
      </c>
      <c r="N340" s="15" t="n">
        <v>3</v>
      </c>
      <c r="O340" s="15" t="n">
        <v>1</v>
      </c>
      <c r="P340" s="15" t="n">
        <v>1</v>
      </c>
      <c r="Q340" s="15" t="n">
        <v>5</v>
      </c>
    </row>
    <row r="341" customFormat="false" ht="15" hidden="false" customHeight="false" outlineLevel="0" collapsed="false">
      <c r="A341" s="15" t="n">
        <v>337</v>
      </c>
      <c r="B341" s="16" t="n">
        <v>33.942</v>
      </c>
      <c r="C341" s="15" t="n">
        <v>5</v>
      </c>
      <c r="D341" s="15" t="n">
        <v>5</v>
      </c>
      <c r="E341" s="15" t="n">
        <v>5</v>
      </c>
      <c r="F341" s="15" t="n">
        <v>5</v>
      </c>
      <c r="G341" s="15" t="n">
        <v>4</v>
      </c>
      <c r="H341" s="15" t="n">
        <v>2</v>
      </c>
      <c r="I341" s="15" t="n">
        <v>5</v>
      </c>
      <c r="J341" s="15" t="n">
        <v>3</v>
      </c>
      <c r="K341" s="15" t="n">
        <v>4</v>
      </c>
      <c r="L341" s="16" t="n">
        <v>3.51</v>
      </c>
      <c r="M341" s="16" t="n">
        <v>2.397</v>
      </c>
      <c r="N341" s="15" t="n">
        <v>3</v>
      </c>
      <c r="O341" s="15" t="n">
        <v>1</v>
      </c>
      <c r="P341" s="15" t="n">
        <v>1</v>
      </c>
      <c r="Q341" s="15" t="n">
        <v>1</v>
      </c>
    </row>
    <row r="342" customFormat="false" ht="15" hidden="false" customHeight="false" outlineLevel="0" collapsed="false">
      <c r="A342" s="15" t="n">
        <v>338</v>
      </c>
      <c r="B342" s="16" t="n">
        <v>34.044</v>
      </c>
      <c r="C342" s="15" t="n">
        <v>5</v>
      </c>
      <c r="D342" s="15" t="n">
        <v>5</v>
      </c>
      <c r="E342" s="15" t="n">
        <v>5</v>
      </c>
      <c r="F342" s="15" t="n">
        <v>5</v>
      </c>
      <c r="G342" s="15" t="n">
        <v>4</v>
      </c>
      <c r="H342" s="15" t="n">
        <v>2</v>
      </c>
      <c r="I342" s="15" t="n">
        <v>5</v>
      </c>
      <c r="J342" s="15" t="n">
        <v>3</v>
      </c>
      <c r="K342" s="15" t="n">
        <v>4</v>
      </c>
      <c r="L342" s="16" t="n">
        <v>3.697</v>
      </c>
      <c r="M342" s="16" t="n">
        <v>2.158</v>
      </c>
      <c r="N342" s="15" t="n">
        <v>3</v>
      </c>
      <c r="O342" s="15" t="n">
        <v>1</v>
      </c>
      <c r="P342" s="15" t="n">
        <v>1</v>
      </c>
      <c r="Q342" s="15" t="n">
        <v>5</v>
      </c>
    </row>
    <row r="343" customFormat="false" ht="15" hidden="false" customHeight="false" outlineLevel="0" collapsed="false">
      <c r="A343" s="15" t="n">
        <v>339</v>
      </c>
      <c r="B343" s="16" t="n">
        <v>34.145</v>
      </c>
      <c r="C343" s="15" t="n">
        <v>5</v>
      </c>
      <c r="D343" s="15" t="n">
        <v>5</v>
      </c>
      <c r="E343" s="15" t="n">
        <v>5</v>
      </c>
      <c r="F343" s="15" t="n">
        <v>5</v>
      </c>
      <c r="G343" s="15" t="n">
        <v>4</v>
      </c>
      <c r="H343" s="15" t="n">
        <v>2</v>
      </c>
      <c r="I343" s="15" t="n">
        <v>5</v>
      </c>
      <c r="J343" s="15" t="n">
        <v>3</v>
      </c>
      <c r="K343" s="15" t="n">
        <v>4</v>
      </c>
      <c r="L343" s="16" t="n">
        <v>3.92</v>
      </c>
      <c r="M343" s="16" t="n">
        <v>2.077</v>
      </c>
      <c r="N343" s="15" t="n">
        <v>3</v>
      </c>
      <c r="O343" s="15" t="n">
        <v>1</v>
      </c>
      <c r="P343" s="15" t="n">
        <v>1</v>
      </c>
      <c r="Q343" s="15" t="n">
        <v>5</v>
      </c>
    </row>
    <row r="344" customFormat="false" ht="15" hidden="false" customHeight="false" outlineLevel="0" collapsed="false">
      <c r="A344" s="15" t="n">
        <v>340</v>
      </c>
      <c r="B344" s="16" t="n">
        <v>34.246</v>
      </c>
      <c r="C344" s="15" t="n">
        <v>5</v>
      </c>
      <c r="D344" s="15" t="n">
        <v>5</v>
      </c>
      <c r="E344" s="15" t="n">
        <v>5</v>
      </c>
      <c r="F344" s="15" t="n">
        <v>5</v>
      </c>
      <c r="G344" s="15" t="n">
        <v>4</v>
      </c>
      <c r="H344" s="15" t="n">
        <v>2</v>
      </c>
      <c r="I344" s="15" t="n">
        <v>5</v>
      </c>
      <c r="J344" s="15" t="n">
        <v>3</v>
      </c>
      <c r="K344" s="15" t="n">
        <v>4</v>
      </c>
      <c r="L344" s="16" t="n">
        <v>3.941</v>
      </c>
      <c r="M344" s="16" t="n">
        <v>2.434</v>
      </c>
      <c r="N344" s="15" t="n">
        <v>3</v>
      </c>
      <c r="O344" s="15" t="n">
        <v>1</v>
      </c>
      <c r="P344" s="15" t="n">
        <v>1</v>
      </c>
      <c r="Q344" s="15" t="n">
        <v>4</v>
      </c>
    </row>
    <row r="345" customFormat="false" ht="15" hidden="false" customHeight="false" outlineLevel="0" collapsed="false">
      <c r="A345" s="15" t="n">
        <v>341</v>
      </c>
      <c r="B345" s="16" t="n">
        <v>34.347</v>
      </c>
      <c r="C345" s="15" t="n">
        <v>5</v>
      </c>
      <c r="D345" s="15" t="n">
        <v>5</v>
      </c>
      <c r="E345" s="15" t="n">
        <v>4</v>
      </c>
      <c r="F345" s="15" t="n">
        <v>5</v>
      </c>
      <c r="G345" s="15" t="n">
        <v>4</v>
      </c>
      <c r="H345" s="15" t="n">
        <v>2</v>
      </c>
      <c r="I345" s="15" t="n">
        <v>1</v>
      </c>
      <c r="J345" s="15" t="n">
        <v>3</v>
      </c>
      <c r="K345" s="15" t="n">
        <v>4</v>
      </c>
      <c r="L345" s="16" t="n">
        <v>3.997</v>
      </c>
      <c r="M345" s="16" t="n">
        <v>2.197</v>
      </c>
      <c r="N345" s="15" t="n">
        <v>3</v>
      </c>
      <c r="O345" s="15" t="n">
        <v>1</v>
      </c>
      <c r="P345" s="15" t="n">
        <v>1</v>
      </c>
      <c r="Q345" s="15" t="n">
        <v>5</v>
      </c>
    </row>
    <row r="346" customFormat="false" ht="15" hidden="false" customHeight="false" outlineLevel="0" collapsed="false">
      <c r="A346" s="15" t="n">
        <v>342</v>
      </c>
      <c r="B346" s="16" t="n">
        <v>34.447</v>
      </c>
      <c r="C346" s="15" t="n">
        <v>5</v>
      </c>
      <c r="D346" s="15" t="n">
        <v>5</v>
      </c>
      <c r="E346" s="15" t="n">
        <v>4</v>
      </c>
      <c r="F346" s="15" t="n">
        <v>5</v>
      </c>
      <c r="G346" s="15" t="n">
        <v>4</v>
      </c>
      <c r="H346" s="15" t="n">
        <v>2</v>
      </c>
      <c r="I346" s="15" t="n">
        <v>3</v>
      </c>
      <c r="J346" s="15" t="n">
        <v>3</v>
      </c>
      <c r="K346" s="15" t="n">
        <v>4</v>
      </c>
      <c r="L346" s="16" t="n">
        <v>3.958</v>
      </c>
      <c r="M346" s="16" t="n">
        <v>2.216</v>
      </c>
      <c r="N346" s="15" t="n">
        <v>4</v>
      </c>
      <c r="O346" s="15" t="n">
        <v>1</v>
      </c>
      <c r="P346" s="15" t="n">
        <v>1</v>
      </c>
      <c r="Q346" s="15" t="n">
        <v>5</v>
      </c>
    </row>
    <row r="347" customFormat="false" ht="15" hidden="false" customHeight="false" outlineLevel="0" collapsed="false">
      <c r="A347" s="15" t="n">
        <v>343</v>
      </c>
      <c r="B347" s="16" t="n">
        <v>34.546</v>
      </c>
      <c r="C347" s="15" t="n">
        <v>5</v>
      </c>
      <c r="D347" s="15" t="n">
        <v>5</v>
      </c>
      <c r="E347" s="15" t="n">
        <v>4</v>
      </c>
      <c r="F347" s="15" t="n">
        <v>5</v>
      </c>
      <c r="G347" s="15" t="n">
        <v>4</v>
      </c>
      <c r="H347" s="15" t="n">
        <v>2</v>
      </c>
      <c r="I347" s="15" t="n">
        <v>5</v>
      </c>
      <c r="J347" s="15" t="n">
        <v>3</v>
      </c>
      <c r="K347" s="15" t="n">
        <v>4</v>
      </c>
      <c r="L347" s="16" t="n">
        <v>3.891</v>
      </c>
      <c r="M347" s="16" t="n">
        <v>2.705</v>
      </c>
      <c r="N347" s="15" t="n">
        <v>4</v>
      </c>
      <c r="O347" s="15" t="n">
        <v>1</v>
      </c>
      <c r="P347" s="15" t="n">
        <v>1</v>
      </c>
      <c r="Q347" s="15" t="n">
        <v>5</v>
      </c>
    </row>
    <row r="348" customFormat="false" ht="15" hidden="false" customHeight="false" outlineLevel="0" collapsed="false">
      <c r="A348" s="15" t="n">
        <v>344</v>
      </c>
      <c r="B348" s="16" t="n">
        <v>34.645</v>
      </c>
      <c r="C348" s="15" t="n">
        <v>5</v>
      </c>
      <c r="D348" s="15" t="n">
        <v>5</v>
      </c>
      <c r="E348" s="15" t="n">
        <v>4</v>
      </c>
      <c r="F348" s="15" t="n">
        <v>4</v>
      </c>
      <c r="G348" s="15" t="n">
        <v>4</v>
      </c>
      <c r="H348" s="15" t="n">
        <v>2</v>
      </c>
      <c r="I348" s="15" t="n">
        <v>5</v>
      </c>
      <c r="J348" s="15" t="n">
        <v>3</v>
      </c>
      <c r="K348" s="15" t="n">
        <v>4</v>
      </c>
      <c r="L348" s="16" t="n">
        <v>3.912</v>
      </c>
      <c r="M348" s="16" t="n">
        <v>2.751</v>
      </c>
      <c r="N348" s="15" t="n">
        <v>4</v>
      </c>
      <c r="O348" s="15" t="n">
        <v>1</v>
      </c>
      <c r="P348" s="15" t="n">
        <v>1</v>
      </c>
      <c r="Q348" s="15" t="n">
        <v>5</v>
      </c>
    </row>
    <row r="349" customFormat="false" ht="15" hidden="false" customHeight="false" outlineLevel="0" collapsed="false">
      <c r="A349" s="15" t="n">
        <v>345</v>
      </c>
      <c r="B349" s="16" t="n">
        <v>34.744</v>
      </c>
      <c r="C349" s="15" t="n">
        <v>5</v>
      </c>
      <c r="D349" s="15" t="n">
        <v>5</v>
      </c>
      <c r="E349" s="15" t="n">
        <v>4</v>
      </c>
      <c r="F349" s="15" t="n">
        <v>3</v>
      </c>
      <c r="G349" s="15" t="n">
        <v>4</v>
      </c>
      <c r="H349" s="15" t="n">
        <v>2</v>
      </c>
      <c r="I349" s="15" t="n">
        <v>5</v>
      </c>
      <c r="J349" s="15" t="n">
        <v>3</v>
      </c>
      <c r="K349" s="15" t="n">
        <v>5</v>
      </c>
      <c r="L349" s="16" t="n">
        <v>3.757</v>
      </c>
      <c r="M349" s="16" t="n">
        <v>2.969</v>
      </c>
      <c r="N349" s="15" t="n">
        <v>4</v>
      </c>
      <c r="O349" s="15" t="n">
        <v>1</v>
      </c>
      <c r="P349" s="15" t="n">
        <v>1</v>
      </c>
      <c r="Q349" s="15" t="n">
        <v>5</v>
      </c>
    </row>
    <row r="350" customFormat="false" ht="15" hidden="false" customHeight="false" outlineLevel="0" collapsed="false">
      <c r="A350" s="15" t="n">
        <v>346</v>
      </c>
      <c r="B350" s="16" t="n">
        <v>34.843</v>
      </c>
      <c r="C350" s="15" t="n">
        <v>5</v>
      </c>
      <c r="D350" s="15" t="n">
        <v>5</v>
      </c>
      <c r="E350" s="15" t="n">
        <v>5</v>
      </c>
      <c r="F350" s="15" t="n">
        <v>2</v>
      </c>
      <c r="G350" s="15" t="n">
        <v>4</v>
      </c>
      <c r="H350" s="15" t="n">
        <v>2</v>
      </c>
      <c r="I350" s="15" t="n">
        <v>5</v>
      </c>
      <c r="J350" s="15" t="n">
        <v>3</v>
      </c>
      <c r="K350" s="15" t="n">
        <v>5</v>
      </c>
      <c r="L350" s="16" t="n">
        <v>3.515</v>
      </c>
      <c r="M350" s="16" t="n">
        <v>2.895</v>
      </c>
      <c r="N350" s="15" t="n">
        <v>4</v>
      </c>
      <c r="O350" s="15" t="n">
        <v>1</v>
      </c>
      <c r="P350" s="15" t="n">
        <v>1</v>
      </c>
      <c r="Q350" s="15" t="n">
        <v>5</v>
      </c>
    </row>
    <row r="351" customFormat="false" ht="15" hidden="false" customHeight="false" outlineLevel="0" collapsed="false">
      <c r="A351" s="15" t="n">
        <v>347</v>
      </c>
      <c r="B351" s="16" t="n">
        <v>34.941</v>
      </c>
      <c r="C351" s="15" t="n">
        <v>5</v>
      </c>
      <c r="D351" s="15" t="n">
        <v>5</v>
      </c>
      <c r="E351" s="15" t="n">
        <v>5</v>
      </c>
      <c r="F351" s="15" t="n">
        <v>3</v>
      </c>
      <c r="G351" s="15" t="n">
        <v>4</v>
      </c>
      <c r="H351" s="15" t="n">
        <v>2</v>
      </c>
      <c r="I351" s="15" t="n">
        <v>5</v>
      </c>
      <c r="J351" s="15" t="n">
        <v>3</v>
      </c>
      <c r="K351" s="15" t="n">
        <v>5</v>
      </c>
      <c r="L351" s="16" t="n">
        <v>2.883</v>
      </c>
      <c r="M351" s="16" t="n">
        <v>3.086</v>
      </c>
      <c r="N351" s="15" t="n">
        <v>4</v>
      </c>
      <c r="O351" s="15" t="n">
        <v>1</v>
      </c>
      <c r="P351" s="15" t="n">
        <v>1</v>
      </c>
      <c r="Q351" s="15" t="n">
        <v>4</v>
      </c>
    </row>
    <row r="352" customFormat="false" ht="15" hidden="false" customHeight="false" outlineLevel="0" collapsed="false">
      <c r="A352" s="15" t="n">
        <v>348</v>
      </c>
      <c r="B352" s="16" t="n">
        <v>35.04</v>
      </c>
      <c r="C352" s="15" t="n">
        <v>5</v>
      </c>
      <c r="D352" s="15" t="n">
        <v>5</v>
      </c>
      <c r="E352" s="15" t="n">
        <v>5</v>
      </c>
      <c r="F352" s="15" t="n">
        <v>4</v>
      </c>
      <c r="G352" s="15" t="n">
        <v>4</v>
      </c>
      <c r="H352" s="15" t="n">
        <v>2</v>
      </c>
      <c r="I352" s="15" t="n">
        <v>3</v>
      </c>
      <c r="J352" s="15" t="n">
        <v>3</v>
      </c>
      <c r="K352" s="15" t="n">
        <v>5</v>
      </c>
      <c r="L352" s="16" t="n">
        <v>2.743</v>
      </c>
      <c r="M352" s="16" t="n">
        <v>3.248</v>
      </c>
      <c r="N352" s="15" t="n">
        <v>4</v>
      </c>
      <c r="O352" s="15" t="n">
        <v>1</v>
      </c>
      <c r="P352" s="15" t="n">
        <v>1</v>
      </c>
      <c r="Q352" s="15" t="n">
        <v>4</v>
      </c>
    </row>
    <row r="353" customFormat="false" ht="15" hidden="false" customHeight="false" outlineLevel="0" collapsed="false">
      <c r="A353" s="15" t="n">
        <v>349</v>
      </c>
      <c r="B353" s="16" t="n">
        <v>35.139</v>
      </c>
      <c r="C353" s="15" t="n">
        <v>5</v>
      </c>
      <c r="D353" s="15" t="n">
        <v>5</v>
      </c>
      <c r="E353" s="15" t="n">
        <v>4</v>
      </c>
      <c r="F353" s="15" t="n">
        <v>5</v>
      </c>
      <c r="G353" s="15" t="n">
        <v>4</v>
      </c>
      <c r="H353" s="15" t="n">
        <v>2</v>
      </c>
      <c r="I353" s="15" t="n">
        <v>1</v>
      </c>
      <c r="J353" s="15" t="n">
        <v>3</v>
      </c>
      <c r="K353" s="15" t="n">
        <v>5</v>
      </c>
      <c r="L353" s="16" t="n">
        <v>2.442</v>
      </c>
      <c r="M353" s="16" t="n">
        <v>3.322</v>
      </c>
      <c r="N353" s="15" t="n">
        <v>4</v>
      </c>
      <c r="O353" s="15" t="n">
        <v>1</v>
      </c>
      <c r="P353" s="15" t="n">
        <v>1</v>
      </c>
      <c r="Q353" s="15" t="n">
        <v>4</v>
      </c>
    </row>
    <row r="354" customFormat="false" ht="15" hidden="false" customHeight="false" outlineLevel="0" collapsed="false">
      <c r="A354" s="15" t="n">
        <v>350</v>
      </c>
      <c r="B354" s="16" t="n">
        <v>35.237</v>
      </c>
      <c r="C354" s="15" t="n">
        <v>5</v>
      </c>
      <c r="D354" s="15" t="n">
        <v>5</v>
      </c>
      <c r="E354" s="15" t="n">
        <v>4</v>
      </c>
      <c r="F354" s="15" t="n">
        <v>5</v>
      </c>
      <c r="G354" s="15" t="n">
        <v>4</v>
      </c>
      <c r="H354" s="15" t="n">
        <v>2</v>
      </c>
      <c r="I354" s="15" t="n">
        <v>1</v>
      </c>
      <c r="J354" s="15" t="n">
        <v>3</v>
      </c>
      <c r="K354" s="15" t="n">
        <v>5</v>
      </c>
      <c r="L354" s="16" t="n">
        <v>2.448</v>
      </c>
      <c r="M354" s="16" t="n">
        <v>3.011</v>
      </c>
      <c r="N354" s="15" t="n">
        <v>4</v>
      </c>
      <c r="O354" s="15" t="n">
        <v>1</v>
      </c>
      <c r="P354" s="15" t="n">
        <v>1</v>
      </c>
      <c r="Q354" s="15" t="n">
        <v>4</v>
      </c>
    </row>
    <row r="355" customFormat="false" ht="15" hidden="false" customHeight="false" outlineLevel="0" collapsed="false">
      <c r="A355" s="15" t="n">
        <v>351</v>
      </c>
      <c r="B355" s="16" t="n">
        <v>35.336</v>
      </c>
      <c r="C355" s="15" t="n">
        <v>5</v>
      </c>
      <c r="D355" s="15" t="n">
        <v>5</v>
      </c>
      <c r="E355" s="15" t="n">
        <v>5</v>
      </c>
      <c r="F355" s="15" t="n">
        <v>4</v>
      </c>
      <c r="G355" s="15" t="n">
        <v>4</v>
      </c>
      <c r="H355" s="15" t="n">
        <v>2</v>
      </c>
      <c r="I355" s="15" t="n">
        <v>4</v>
      </c>
      <c r="J355" s="15" t="n">
        <v>3</v>
      </c>
      <c r="K355" s="15" t="n">
        <v>5</v>
      </c>
      <c r="L355" s="16" t="n">
        <v>2.636</v>
      </c>
      <c r="M355" s="16" t="n">
        <v>3.038</v>
      </c>
      <c r="N355" s="15" t="n">
        <v>4</v>
      </c>
      <c r="O355" s="15" t="n">
        <v>1</v>
      </c>
      <c r="P355" s="15" t="n">
        <v>1</v>
      </c>
      <c r="Q355" s="15" t="n">
        <v>3</v>
      </c>
    </row>
    <row r="356" customFormat="false" ht="15" hidden="false" customHeight="false" outlineLevel="0" collapsed="false">
      <c r="A356" s="15" t="n">
        <v>352</v>
      </c>
      <c r="B356" s="16" t="n">
        <v>35.435</v>
      </c>
      <c r="C356" s="15" t="n">
        <v>5</v>
      </c>
      <c r="D356" s="15" t="n">
        <v>5</v>
      </c>
      <c r="E356" s="15" t="n">
        <v>5</v>
      </c>
      <c r="F356" s="15" t="n">
        <v>4</v>
      </c>
      <c r="G356" s="15" t="n">
        <v>4</v>
      </c>
      <c r="H356" s="15" t="n">
        <v>2</v>
      </c>
      <c r="I356" s="15" t="n">
        <v>4</v>
      </c>
      <c r="J356" s="15" t="n">
        <v>3</v>
      </c>
      <c r="K356" s="15" t="n">
        <v>5</v>
      </c>
      <c r="L356" s="16" t="n">
        <v>2.868</v>
      </c>
      <c r="M356" s="16" t="n">
        <v>2.988</v>
      </c>
      <c r="N356" s="15" t="n">
        <v>4</v>
      </c>
      <c r="O356" s="15" t="n">
        <v>1</v>
      </c>
      <c r="P356" s="15" t="n">
        <v>1</v>
      </c>
      <c r="Q356" s="15" t="n">
        <v>4</v>
      </c>
    </row>
    <row r="357" customFormat="false" ht="15" hidden="false" customHeight="false" outlineLevel="0" collapsed="false">
      <c r="A357" s="15" t="n">
        <v>353</v>
      </c>
      <c r="B357" s="16" t="n">
        <v>35.534</v>
      </c>
      <c r="C357" s="15" t="n">
        <v>5</v>
      </c>
      <c r="D357" s="15" t="n">
        <v>5</v>
      </c>
      <c r="E357" s="15" t="n">
        <v>4</v>
      </c>
      <c r="F357" s="15" t="n">
        <v>5</v>
      </c>
      <c r="G357" s="15" t="n">
        <v>4</v>
      </c>
      <c r="H357" s="15" t="n">
        <v>2</v>
      </c>
      <c r="I357" s="15" t="n">
        <v>2</v>
      </c>
      <c r="J357" s="15" t="n">
        <v>3</v>
      </c>
      <c r="K357" s="15" t="n">
        <v>5</v>
      </c>
      <c r="L357" s="16" t="n">
        <v>2.768</v>
      </c>
      <c r="M357" s="16" t="n">
        <v>3.057</v>
      </c>
      <c r="N357" s="15" t="n">
        <v>4</v>
      </c>
      <c r="O357" s="15" t="n">
        <v>1</v>
      </c>
      <c r="P357" s="15" t="n">
        <v>1</v>
      </c>
      <c r="Q357" s="15" t="n">
        <v>3</v>
      </c>
    </row>
    <row r="358" customFormat="false" ht="15" hidden="false" customHeight="false" outlineLevel="0" collapsed="false">
      <c r="A358" s="15" t="n">
        <v>354</v>
      </c>
      <c r="B358" s="16" t="n">
        <v>35.633</v>
      </c>
      <c r="C358" s="15" t="n">
        <v>5</v>
      </c>
      <c r="D358" s="15" t="n">
        <v>5</v>
      </c>
      <c r="E358" s="15" t="n">
        <v>4</v>
      </c>
      <c r="F358" s="15" t="n">
        <v>4</v>
      </c>
      <c r="G358" s="15" t="n">
        <v>4</v>
      </c>
      <c r="H358" s="15" t="n">
        <v>2</v>
      </c>
      <c r="I358" s="15" t="n">
        <v>2</v>
      </c>
      <c r="J358" s="15" t="n">
        <v>3</v>
      </c>
      <c r="K358" s="15" t="n">
        <v>5</v>
      </c>
      <c r="L358" s="16" t="n">
        <v>2.882</v>
      </c>
      <c r="M358" s="16" t="n">
        <v>3.053</v>
      </c>
      <c r="N358" s="15" t="n">
        <v>4</v>
      </c>
      <c r="O358" s="15" t="n">
        <v>1</v>
      </c>
      <c r="P358" s="15" t="n">
        <v>1</v>
      </c>
      <c r="Q358" s="15" t="n">
        <v>4</v>
      </c>
    </row>
    <row r="359" customFormat="false" ht="15" hidden="false" customHeight="false" outlineLevel="0" collapsed="false">
      <c r="A359" s="15" t="n">
        <v>355</v>
      </c>
      <c r="B359" s="16" t="n">
        <v>35.732</v>
      </c>
      <c r="C359" s="15" t="n">
        <v>5</v>
      </c>
      <c r="D359" s="15" t="n">
        <v>5</v>
      </c>
      <c r="E359" s="15" t="n">
        <v>4</v>
      </c>
      <c r="F359" s="15" t="n">
        <v>4</v>
      </c>
      <c r="G359" s="15" t="n">
        <v>4</v>
      </c>
      <c r="H359" s="15" t="n">
        <v>2</v>
      </c>
      <c r="I359" s="15" t="n">
        <v>3</v>
      </c>
      <c r="J359" s="15" t="n">
        <v>3</v>
      </c>
      <c r="K359" s="15" t="n">
        <v>5</v>
      </c>
      <c r="L359" s="16" t="n">
        <v>2.84</v>
      </c>
      <c r="M359" s="16" t="n">
        <v>3.125</v>
      </c>
      <c r="N359" s="15" t="n">
        <v>4</v>
      </c>
      <c r="O359" s="15" t="n">
        <v>1</v>
      </c>
      <c r="P359" s="15" t="n">
        <v>1</v>
      </c>
      <c r="Q359" s="15" t="n">
        <v>4</v>
      </c>
    </row>
    <row r="360" customFormat="false" ht="15" hidden="false" customHeight="false" outlineLevel="0" collapsed="false">
      <c r="A360" s="15" t="n">
        <v>356</v>
      </c>
      <c r="B360" s="16" t="n">
        <v>35.831</v>
      </c>
      <c r="C360" s="15" t="n">
        <v>5</v>
      </c>
      <c r="D360" s="15" t="n">
        <v>5</v>
      </c>
      <c r="E360" s="15" t="n">
        <v>4</v>
      </c>
      <c r="F360" s="15" t="n">
        <v>4</v>
      </c>
      <c r="G360" s="15" t="n">
        <v>4</v>
      </c>
      <c r="H360" s="15" t="n">
        <v>2</v>
      </c>
      <c r="I360" s="15" t="n">
        <v>4</v>
      </c>
      <c r="J360" s="15" t="n">
        <v>3</v>
      </c>
      <c r="K360" s="15" t="n">
        <v>4</v>
      </c>
      <c r="L360" s="16" t="n">
        <v>2.521</v>
      </c>
      <c r="M360" s="16" t="n">
        <v>2.835</v>
      </c>
      <c r="N360" s="15" t="n">
        <v>5</v>
      </c>
      <c r="O360" s="15" t="n">
        <v>1</v>
      </c>
      <c r="P360" s="15" t="n">
        <v>1</v>
      </c>
      <c r="Q360" s="15" t="n">
        <v>4</v>
      </c>
    </row>
    <row r="361" customFormat="false" ht="15" hidden="false" customHeight="false" outlineLevel="0" collapsed="false">
      <c r="A361" s="15" t="n">
        <v>357</v>
      </c>
      <c r="B361" s="16" t="n">
        <v>35.93</v>
      </c>
      <c r="C361" s="15" t="n">
        <v>5</v>
      </c>
      <c r="D361" s="15" t="n">
        <v>5</v>
      </c>
      <c r="E361" s="15" t="n">
        <v>4</v>
      </c>
      <c r="F361" s="15" t="n">
        <v>5</v>
      </c>
      <c r="G361" s="15" t="n">
        <v>4</v>
      </c>
      <c r="H361" s="15" t="n">
        <v>2</v>
      </c>
      <c r="I361" s="15" t="n">
        <v>3</v>
      </c>
      <c r="J361" s="15" t="n">
        <v>3</v>
      </c>
      <c r="K361" s="15" t="n">
        <v>4</v>
      </c>
      <c r="L361" s="16" t="n">
        <v>2.904</v>
      </c>
      <c r="M361" s="16" t="n">
        <v>2.389</v>
      </c>
      <c r="N361" s="15" t="n">
        <v>5</v>
      </c>
      <c r="O361" s="15" t="n">
        <v>1</v>
      </c>
      <c r="P361" s="15" t="n">
        <v>1</v>
      </c>
      <c r="Q361" s="15" t="n">
        <v>5</v>
      </c>
    </row>
    <row r="362" customFormat="false" ht="15" hidden="false" customHeight="false" outlineLevel="0" collapsed="false">
      <c r="A362" s="15" t="n">
        <v>358</v>
      </c>
      <c r="B362" s="16" t="n">
        <v>36.029</v>
      </c>
      <c r="C362" s="15" t="n">
        <v>5</v>
      </c>
      <c r="D362" s="15" t="n">
        <v>5</v>
      </c>
      <c r="E362" s="15" t="n">
        <v>5</v>
      </c>
      <c r="F362" s="15" t="n">
        <v>4</v>
      </c>
      <c r="G362" s="15" t="n">
        <v>4</v>
      </c>
      <c r="H362" s="15" t="n">
        <v>2</v>
      </c>
      <c r="I362" s="15" t="n">
        <v>5</v>
      </c>
      <c r="J362" s="15" t="n">
        <v>3</v>
      </c>
      <c r="K362" s="15" t="n">
        <v>5</v>
      </c>
      <c r="L362" s="16" t="n">
        <v>2.642</v>
      </c>
      <c r="M362" s="16" t="n">
        <v>2.652</v>
      </c>
      <c r="N362" s="15" t="n">
        <v>5</v>
      </c>
      <c r="O362" s="15" t="n">
        <v>1</v>
      </c>
      <c r="P362" s="15" t="n">
        <v>1</v>
      </c>
      <c r="Q362" s="15" t="n">
        <v>4</v>
      </c>
    </row>
    <row r="363" customFormat="false" ht="15" hidden="false" customHeight="false" outlineLevel="0" collapsed="false">
      <c r="A363" s="15" t="n">
        <v>359</v>
      </c>
      <c r="B363" s="16" t="n">
        <v>36.129</v>
      </c>
      <c r="C363" s="15" t="n">
        <v>5</v>
      </c>
      <c r="D363" s="15" t="n">
        <v>5</v>
      </c>
      <c r="E363" s="15" t="n">
        <v>5</v>
      </c>
      <c r="F363" s="15" t="n">
        <v>4</v>
      </c>
      <c r="G363" s="15" t="n">
        <v>4</v>
      </c>
      <c r="H363" s="15" t="n">
        <v>2</v>
      </c>
      <c r="I363" s="15" t="n">
        <v>5</v>
      </c>
      <c r="J363" s="15" t="n">
        <v>3</v>
      </c>
      <c r="K363" s="15" t="n">
        <v>5</v>
      </c>
      <c r="L363" s="16" t="n">
        <v>2.615</v>
      </c>
      <c r="M363" s="16" t="n">
        <v>2.79</v>
      </c>
      <c r="N363" s="15" t="n">
        <v>5</v>
      </c>
      <c r="O363" s="15" t="n">
        <v>1</v>
      </c>
      <c r="P363" s="15" t="n">
        <v>1</v>
      </c>
      <c r="Q363" s="15" t="n">
        <v>5</v>
      </c>
    </row>
    <row r="364" customFormat="false" ht="15" hidden="false" customHeight="false" outlineLevel="0" collapsed="false">
      <c r="A364" s="15" t="n">
        <v>360</v>
      </c>
      <c r="B364" s="16" t="n">
        <v>36.228</v>
      </c>
      <c r="C364" s="15" t="n">
        <v>5</v>
      </c>
      <c r="D364" s="15" t="n">
        <v>5</v>
      </c>
      <c r="E364" s="15" t="n">
        <v>5</v>
      </c>
      <c r="F364" s="15" t="n">
        <v>4</v>
      </c>
      <c r="G364" s="15" t="n">
        <v>4</v>
      </c>
      <c r="H364" s="15" t="n">
        <v>2</v>
      </c>
      <c r="I364" s="15" t="n">
        <v>5</v>
      </c>
      <c r="J364" s="15" t="n">
        <v>3</v>
      </c>
      <c r="K364" s="15" t="n">
        <v>5</v>
      </c>
      <c r="L364" s="16" t="n">
        <v>2.268</v>
      </c>
      <c r="M364" s="16" t="n">
        <v>2.856</v>
      </c>
      <c r="N364" s="15" t="n">
        <v>5</v>
      </c>
      <c r="O364" s="15" t="n">
        <v>1</v>
      </c>
      <c r="P364" s="15" t="n">
        <v>1</v>
      </c>
      <c r="Q364" s="15" t="n">
        <v>5</v>
      </c>
    </row>
    <row r="365" customFormat="false" ht="15" hidden="false" customHeight="false" outlineLevel="0" collapsed="false">
      <c r="A365" s="15" t="n">
        <v>361</v>
      </c>
      <c r="B365" s="16" t="n">
        <v>36.328</v>
      </c>
      <c r="C365" s="15" t="n">
        <v>5</v>
      </c>
      <c r="D365" s="15" t="n">
        <v>5</v>
      </c>
      <c r="E365" s="15" t="n">
        <v>5</v>
      </c>
      <c r="F365" s="15" t="n">
        <v>4</v>
      </c>
      <c r="G365" s="15" t="n">
        <v>4</v>
      </c>
      <c r="H365" s="15" t="n">
        <v>2</v>
      </c>
      <c r="I365" s="15" t="n">
        <v>4</v>
      </c>
      <c r="J365" s="15" t="n">
        <v>3</v>
      </c>
      <c r="K365" s="15" t="n">
        <v>5</v>
      </c>
      <c r="L365" s="16" t="n">
        <v>2.588</v>
      </c>
      <c r="M365" s="16" t="n">
        <v>2.787</v>
      </c>
      <c r="N365" s="15" t="n">
        <v>5</v>
      </c>
      <c r="O365" s="15" t="n">
        <v>1</v>
      </c>
      <c r="P365" s="15" t="n">
        <v>1</v>
      </c>
      <c r="Q365" s="15" t="n">
        <v>1</v>
      </c>
    </row>
    <row r="366" customFormat="false" ht="15" hidden="false" customHeight="false" outlineLevel="0" collapsed="false">
      <c r="A366" s="15" t="n">
        <v>362</v>
      </c>
      <c r="B366" s="16" t="n">
        <v>36.428</v>
      </c>
      <c r="C366" s="15" t="n">
        <v>5</v>
      </c>
      <c r="D366" s="15" t="n">
        <v>5</v>
      </c>
      <c r="E366" s="15" t="n">
        <v>4</v>
      </c>
      <c r="F366" s="15" t="n">
        <v>4</v>
      </c>
      <c r="G366" s="15" t="n">
        <v>4</v>
      </c>
      <c r="H366" s="15" t="n">
        <v>2</v>
      </c>
      <c r="I366" s="15" t="n">
        <v>4</v>
      </c>
      <c r="J366" s="15" t="n">
        <v>3</v>
      </c>
      <c r="K366" s="15" t="n">
        <v>5</v>
      </c>
      <c r="L366" s="16" t="n">
        <v>3.24</v>
      </c>
      <c r="M366" s="16" t="n">
        <v>2.65</v>
      </c>
      <c r="N366" s="15" t="n">
        <v>5</v>
      </c>
      <c r="O366" s="15" t="n">
        <v>1</v>
      </c>
      <c r="P366" s="15" t="n">
        <v>1</v>
      </c>
      <c r="Q366" s="15" t="n">
        <v>1</v>
      </c>
    </row>
    <row r="367" customFormat="false" ht="15" hidden="false" customHeight="false" outlineLevel="0" collapsed="false">
      <c r="A367" s="15" t="n">
        <v>363</v>
      </c>
      <c r="B367" s="16" t="n">
        <v>36.528</v>
      </c>
      <c r="C367" s="15" t="n">
        <v>5</v>
      </c>
      <c r="D367" s="15" t="n">
        <v>5</v>
      </c>
      <c r="E367" s="15" t="n">
        <v>4</v>
      </c>
      <c r="F367" s="15" t="n">
        <v>3</v>
      </c>
      <c r="G367" s="15" t="n">
        <v>4</v>
      </c>
      <c r="H367" s="15" t="n">
        <v>2</v>
      </c>
      <c r="I367" s="15" t="n">
        <v>4</v>
      </c>
      <c r="J367" s="15" t="n">
        <v>3</v>
      </c>
      <c r="K367" s="15" t="n">
        <v>5</v>
      </c>
      <c r="L367" s="16" t="n">
        <v>3.162</v>
      </c>
      <c r="M367" s="16" t="n">
        <v>2.393</v>
      </c>
      <c r="N367" s="15" t="n">
        <v>5</v>
      </c>
      <c r="O367" s="15" t="n">
        <v>1</v>
      </c>
      <c r="P367" s="15" t="n">
        <v>1</v>
      </c>
      <c r="Q367" s="15" t="n">
        <v>1</v>
      </c>
    </row>
    <row r="368" customFormat="false" ht="15" hidden="false" customHeight="false" outlineLevel="0" collapsed="false">
      <c r="A368" s="15" t="n">
        <v>364</v>
      </c>
      <c r="B368" s="16" t="n">
        <v>36.628</v>
      </c>
      <c r="C368" s="15" t="n">
        <v>5</v>
      </c>
      <c r="D368" s="15" t="n">
        <v>5</v>
      </c>
      <c r="E368" s="15" t="n">
        <v>5</v>
      </c>
      <c r="F368" s="15" t="n">
        <v>4</v>
      </c>
      <c r="G368" s="15" t="n">
        <v>4</v>
      </c>
      <c r="H368" s="15" t="n">
        <v>2</v>
      </c>
      <c r="I368" s="15" t="n">
        <v>5</v>
      </c>
      <c r="J368" s="15" t="n">
        <v>3</v>
      </c>
      <c r="K368" s="15" t="n">
        <v>5</v>
      </c>
      <c r="L368" s="16" t="n">
        <v>2.938</v>
      </c>
      <c r="M368" s="16" t="n">
        <v>2.531</v>
      </c>
      <c r="N368" s="15" t="n">
        <v>5</v>
      </c>
      <c r="O368" s="15" t="n">
        <v>1</v>
      </c>
      <c r="P368" s="15" t="n">
        <v>1</v>
      </c>
      <c r="Q368" s="15" t="n">
        <v>1</v>
      </c>
    </row>
    <row r="369" customFormat="false" ht="15" hidden="false" customHeight="false" outlineLevel="0" collapsed="false">
      <c r="A369" s="15" t="n">
        <v>365</v>
      </c>
      <c r="B369" s="16" t="n">
        <v>36.728</v>
      </c>
      <c r="C369" s="15" t="n">
        <v>5</v>
      </c>
      <c r="D369" s="15" t="n">
        <v>5</v>
      </c>
      <c r="E369" s="15" t="n">
        <v>5</v>
      </c>
      <c r="F369" s="15" t="n">
        <v>5</v>
      </c>
      <c r="G369" s="15" t="n">
        <v>4</v>
      </c>
      <c r="H369" s="15" t="n">
        <v>2</v>
      </c>
      <c r="I369" s="15" t="n">
        <v>5</v>
      </c>
      <c r="J369" s="15" t="n">
        <v>3</v>
      </c>
      <c r="K369" s="15" t="n">
        <v>5</v>
      </c>
      <c r="L369" s="16" t="n">
        <v>2.933</v>
      </c>
      <c r="M369" s="16" t="n">
        <v>2.479</v>
      </c>
      <c r="N369" s="15" t="n">
        <v>5</v>
      </c>
      <c r="O369" s="15" t="n">
        <v>1</v>
      </c>
      <c r="P369" s="15" t="n">
        <v>1</v>
      </c>
      <c r="Q369" s="15" t="n">
        <v>1</v>
      </c>
    </row>
    <row r="370" customFormat="false" ht="15" hidden="false" customHeight="false" outlineLevel="0" collapsed="false">
      <c r="A370" s="15" t="n">
        <v>366</v>
      </c>
      <c r="B370" s="16" t="n">
        <v>36.827</v>
      </c>
      <c r="C370" s="15" t="n">
        <v>5</v>
      </c>
      <c r="D370" s="15" t="n">
        <v>5</v>
      </c>
      <c r="E370" s="15" t="n">
        <v>5</v>
      </c>
      <c r="F370" s="15" t="n">
        <v>4</v>
      </c>
      <c r="G370" s="15" t="n">
        <v>4</v>
      </c>
      <c r="H370" s="15" t="n">
        <v>2</v>
      </c>
      <c r="I370" s="15" t="n">
        <v>5</v>
      </c>
      <c r="J370" s="15" t="n">
        <v>3</v>
      </c>
      <c r="K370" s="15" t="n">
        <v>5</v>
      </c>
      <c r="L370" s="16" t="n">
        <v>3.209</v>
      </c>
      <c r="M370" s="16" t="n">
        <v>2.441</v>
      </c>
      <c r="N370" s="15" t="n">
        <v>5</v>
      </c>
      <c r="O370" s="15" t="n">
        <v>1</v>
      </c>
      <c r="P370" s="15" t="n">
        <v>1</v>
      </c>
      <c r="Q370" s="15" t="n">
        <v>5</v>
      </c>
    </row>
    <row r="371" customFormat="false" ht="15" hidden="false" customHeight="false" outlineLevel="0" collapsed="false">
      <c r="A371" s="15" t="n">
        <v>367</v>
      </c>
      <c r="B371" s="16" t="n">
        <v>36.928</v>
      </c>
      <c r="C371" s="15" t="n">
        <v>5</v>
      </c>
      <c r="D371" s="15" t="n">
        <v>5</v>
      </c>
      <c r="E371" s="15" t="n">
        <v>5</v>
      </c>
      <c r="F371" s="15" t="n">
        <v>5</v>
      </c>
      <c r="G371" s="15" t="n">
        <v>4</v>
      </c>
      <c r="H371" s="15" t="n">
        <v>2</v>
      </c>
      <c r="I371" s="15" t="n">
        <v>5</v>
      </c>
      <c r="J371" s="15" t="n">
        <v>3</v>
      </c>
      <c r="K371" s="15" t="n">
        <v>5</v>
      </c>
      <c r="L371" s="16" t="n">
        <v>3.317</v>
      </c>
      <c r="M371" s="16" t="n">
        <v>2.422</v>
      </c>
      <c r="N371" s="15" t="n">
        <v>5</v>
      </c>
      <c r="O371" s="15" t="n">
        <v>1</v>
      </c>
      <c r="P371" s="15" t="n">
        <v>1</v>
      </c>
      <c r="Q371" s="15" t="n">
        <v>5</v>
      </c>
    </row>
    <row r="372" customFormat="false" ht="15" hidden="false" customHeight="false" outlineLevel="0" collapsed="false">
      <c r="A372" s="15" t="n">
        <v>368</v>
      </c>
      <c r="B372" s="16" t="n">
        <v>37.028</v>
      </c>
      <c r="C372" s="15" t="n">
        <v>5</v>
      </c>
      <c r="D372" s="15" t="n">
        <v>5</v>
      </c>
      <c r="E372" s="15" t="n">
        <v>5</v>
      </c>
      <c r="F372" s="15" t="n">
        <v>4</v>
      </c>
      <c r="G372" s="15" t="n">
        <v>4</v>
      </c>
      <c r="H372" s="15" t="n">
        <v>2</v>
      </c>
      <c r="I372" s="15" t="n">
        <v>5</v>
      </c>
      <c r="J372" s="15" t="n">
        <v>3</v>
      </c>
      <c r="K372" s="15" t="n">
        <v>5</v>
      </c>
      <c r="L372" s="16" t="n">
        <v>3.653</v>
      </c>
      <c r="M372" s="16" t="n">
        <v>2.488</v>
      </c>
      <c r="N372" s="15" t="n">
        <v>5</v>
      </c>
      <c r="O372" s="15" t="n">
        <v>1</v>
      </c>
      <c r="P372" s="15" t="n">
        <v>1</v>
      </c>
      <c r="Q372" s="15" t="n">
        <v>5</v>
      </c>
    </row>
    <row r="373" customFormat="false" ht="15" hidden="false" customHeight="false" outlineLevel="0" collapsed="false">
      <c r="A373" s="15" t="n">
        <v>369</v>
      </c>
      <c r="B373" s="16" t="n">
        <v>37.128</v>
      </c>
      <c r="C373" s="15" t="n">
        <v>5</v>
      </c>
      <c r="D373" s="15" t="n">
        <v>5</v>
      </c>
      <c r="E373" s="15" t="n">
        <v>5</v>
      </c>
      <c r="F373" s="15" t="n">
        <v>3</v>
      </c>
      <c r="G373" s="15" t="n">
        <v>4</v>
      </c>
      <c r="H373" s="15" t="n">
        <v>2</v>
      </c>
      <c r="I373" s="15" t="n">
        <v>5</v>
      </c>
      <c r="J373" s="15" t="n">
        <v>3</v>
      </c>
      <c r="K373" s="15" t="n">
        <v>5</v>
      </c>
      <c r="L373" s="16" t="n">
        <v>3.715</v>
      </c>
      <c r="M373" s="16" t="n">
        <v>2.192</v>
      </c>
      <c r="N373" s="15" t="n">
        <v>5</v>
      </c>
      <c r="O373" s="15" t="n">
        <v>1</v>
      </c>
      <c r="P373" s="15" t="n">
        <v>1</v>
      </c>
      <c r="Q373" s="15" t="n">
        <v>5</v>
      </c>
    </row>
    <row r="374" customFormat="false" ht="15" hidden="false" customHeight="false" outlineLevel="0" collapsed="false">
      <c r="A374" s="15" t="n">
        <v>370</v>
      </c>
      <c r="B374" s="16" t="n">
        <v>37.229</v>
      </c>
      <c r="C374" s="15" t="n">
        <v>5</v>
      </c>
      <c r="D374" s="15" t="n">
        <v>5</v>
      </c>
      <c r="E374" s="15" t="n">
        <v>5</v>
      </c>
      <c r="F374" s="15" t="n">
        <v>4</v>
      </c>
      <c r="G374" s="15" t="n">
        <v>4</v>
      </c>
      <c r="H374" s="15" t="n">
        <v>2</v>
      </c>
      <c r="I374" s="15" t="n">
        <v>5</v>
      </c>
      <c r="J374" s="15" t="n">
        <v>3</v>
      </c>
      <c r="K374" s="15" t="n">
        <v>5</v>
      </c>
      <c r="L374" s="16" t="n">
        <v>3.756</v>
      </c>
      <c r="M374" s="16" t="n">
        <v>2.513</v>
      </c>
      <c r="N374" s="15" t="n">
        <v>5</v>
      </c>
      <c r="O374" s="15" t="n">
        <v>1</v>
      </c>
      <c r="P374" s="15" t="n">
        <v>1</v>
      </c>
      <c r="Q374" s="15" t="n">
        <v>5</v>
      </c>
    </row>
    <row r="375" customFormat="false" ht="15" hidden="false" customHeight="false" outlineLevel="0" collapsed="false">
      <c r="A375" s="15" t="n">
        <v>371</v>
      </c>
      <c r="B375" s="16" t="n">
        <v>37.329</v>
      </c>
      <c r="C375" s="15" t="n">
        <v>5</v>
      </c>
      <c r="D375" s="15" t="n">
        <v>5</v>
      </c>
      <c r="E375" s="15" t="n">
        <v>5</v>
      </c>
      <c r="F375" s="15" t="n">
        <v>3</v>
      </c>
      <c r="G375" s="15" t="n">
        <v>4</v>
      </c>
      <c r="H375" s="15" t="n">
        <v>2</v>
      </c>
      <c r="I375" s="15" t="n">
        <v>5</v>
      </c>
      <c r="J375" s="15" t="n">
        <v>3</v>
      </c>
      <c r="K375" s="15" t="n">
        <v>5</v>
      </c>
      <c r="L375" s="16" t="n">
        <v>3.653</v>
      </c>
      <c r="M375" s="16" t="n">
        <v>2.766</v>
      </c>
      <c r="N375" s="15" t="n">
        <v>5</v>
      </c>
      <c r="O375" s="15" t="n">
        <v>1</v>
      </c>
      <c r="P375" s="15" t="n">
        <v>1</v>
      </c>
      <c r="Q375" s="15" t="n">
        <v>5</v>
      </c>
    </row>
    <row r="376" customFormat="false" ht="15" hidden="false" customHeight="false" outlineLevel="0" collapsed="false">
      <c r="A376" s="15" t="n">
        <v>372</v>
      </c>
      <c r="B376" s="16" t="n">
        <v>37.43</v>
      </c>
      <c r="C376" s="15" t="n">
        <v>5</v>
      </c>
      <c r="D376" s="15" t="n">
        <v>5</v>
      </c>
      <c r="E376" s="15" t="n">
        <v>5</v>
      </c>
      <c r="F376" s="15" t="n">
        <v>1</v>
      </c>
      <c r="G376" s="15" t="n">
        <v>4</v>
      </c>
      <c r="H376" s="15" t="n">
        <v>2</v>
      </c>
      <c r="I376" s="15" t="n">
        <v>5</v>
      </c>
      <c r="J376" s="15" t="n">
        <v>3</v>
      </c>
      <c r="K376" s="15" t="n">
        <v>5</v>
      </c>
      <c r="L376" s="16" t="n">
        <v>3.133</v>
      </c>
      <c r="M376" s="16" t="n">
        <v>2.971</v>
      </c>
      <c r="N376" s="15" t="n">
        <v>5</v>
      </c>
      <c r="O376" s="15" t="n">
        <v>1</v>
      </c>
      <c r="P376" s="15" t="n">
        <v>1</v>
      </c>
      <c r="Q376" s="15" t="n">
        <v>5</v>
      </c>
    </row>
    <row r="377" customFormat="false" ht="15" hidden="false" customHeight="false" outlineLevel="0" collapsed="false">
      <c r="A377" s="15" t="n">
        <v>373</v>
      </c>
      <c r="B377" s="16" t="n">
        <v>37.53</v>
      </c>
      <c r="C377" s="15" t="n">
        <v>5</v>
      </c>
      <c r="D377" s="15" t="n">
        <v>4</v>
      </c>
      <c r="E377" s="15" t="n">
        <v>5</v>
      </c>
      <c r="F377" s="15" t="n">
        <v>3</v>
      </c>
      <c r="G377" s="15" t="n">
        <v>4</v>
      </c>
      <c r="H377" s="15" t="n">
        <v>2</v>
      </c>
      <c r="I377" s="15" t="n">
        <v>3</v>
      </c>
      <c r="J377" s="15" t="n">
        <v>3</v>
      </c>
      <c r="K377" s="15" t="n">
        <v>5</v>
      </c>
      <c r="L377" s="16" t="n">
        <v>2.722</v>
      </c>
      <c r="M377" s="16" t="n">
        <v>2.925</v>
      </c>
      <c r="N377" s="15" t="n">
        <v>5</v>
      </c>
      <c r="O377" s="15" t="n">
        <v>1</v>
      </c>
      <c r="P377" s="15" t="n">
        <v>1</v>
      </c>
      <c r="Q377" s="15" t="n">
        <v>5</v>
      </c>
    </row>
    <row r="378" customFormat="false" ht="15" hidden="false" customHeight="false" outlineLevel="0" collapsed="false">
      <c r="A378" s="15" t="n">
        <v>374</v>
      </c>
      <c r="B378" s="16" t="n">
        <v>37.63</v>
      </c>
      <c r="C378" s="15" t="n">
        <v>5</v>
      </c>
      <c r="D378" s="15" t="n">
        <v>4</v>
      </c>
      <c r="E378" s="15" t="n">
        <v>4</v>
      </c>
      <c r="F378" s="15" t="n">
        <v>5</v>
      </c>
      <c r="G378" s="15" t="n">
        <v>4</v>
      </c>
      <c r="H378" s="15" t="n">
        <v>2</v>
      </c>
      <c r="I378" s="15" t="n">
        <v>2</v>
      </c>
      <c r="J378" s="15" t="n">
        <v>3</v>
      </c>
      <c r="K378" s="15" t="n">
        <v>5</v>
      </c>
      <c r="L378" s="16" t="n">
        <v>2.122</v>
      </c>
      <c r="M378" s="16" t="n">
        <v>3.355</v>
      </c>
      <c r="N378" s="15" t="n">
        <v>5</v>
      </c>
      <c r="O378" s="15" t="n">
        <v>1</v>
      </c>
      <c r="P378" s="15" t="n">
        <v>1</v>
      </c>
      <c r="Q378" s="15" t="n">
        <v>1</v>
      </c>
    </row>
    <row r="379" customFormat="false" ht="15" hidden="false" customHeight="false" outlineLevel="0" collapsed="false">
      <c r="A379" s="15" t="n">
        <v>375</v>
      </c>
      <c r="B379" s="16" t="n">
        <v>37.731</v>
      </c>
      <c r="C379" s="15" t="n">
        <v>5</v>
      </c>
      <c r="D379" s="15" t="n">
        <v>4</v>
      </c>
      <c r="E379" s="15" t="n">
        <v>4</v>
      </c>
      <c r="F379" s="15" t="n">
        <v>5</v>
      </c>
      <c r="G379" s="15" t="n">
        <v>4</v>
      </c>
      <c r="H379" s="15" t="n">
        <v>2</v>
      </c>
      <c r="I379" s="15" t="n">
        <v>1</v>
      </c>
      <c r="J379" s="15" t="n">
        <v>3</v>
      </c>
      <c r="K379" s="15" t="n">
        <v>5</v>
      </c>
      <c r="L379" s="16" t="n">
        <v>1.498</v>
      </c>
      <c r="M379" s="16" t="n">
        <v>3.138</v>
      </c>
      <c r="N379" s="15" t="n">
        <v>5</v>
      </c>
      <c r="O379" s="15" t="n">
        <v>1</v>
      </c>
      <c r="P379" s="15" t="n">
        <v>1</v>
      </c>
      <c r="Q379" s="15" t="n">
        <v>1</v>
      </c>
    </row>
    <row r="380" customFormat="false" ht="15" hidden="false" customHeight="false" outlineLevel="0" collapsed="false">
      <c r="A380" s="15" t="n">
        <v>376</v>
      </c>
      <c r="B380" s="16" t="n">
        <v>37.831</v>
      </c>
      <c r="C380" s="15" t="n">
        <v>5</v>
      </c>
      <c r="D380" s="15" t="n">
        <v>4</v>
      </c>
      <c r="E380" s="15" t="n">
        <v>4</v>
      </c>
      <c r="F380" s="15" t="n">
        <v>5</v>
      </c>
      <c r="G380" s="15" t="n">
        <v>4</v>
      </c>
      <c r="H380" s="15" t="n">
        <v>2</v>
      </c>
      <c r="I380" s="15" t="n">
        <v>1</v>
      </c>
      <c r="J380" s="15" t="n">
        <v>3</v>
      </c>
      <c r="K380" s="15" t="n">
        <v>5</v>
      </c>
      <c r="L380" s="16" t="n">
        <v>1.311</v>
      </c>
      <c r="M380" s="16" t="n">
        <v>3.833</v>
      </c>
      <c r="N380" s="15" t="n">
        <v>5</v>
      </c>
      <c r="O380" s="15" t="n">
        <v>1</v>
      </c>
      <c r="P380" s="15" t="n">
        <v>1</v>
      </c>
      <c r="Q380" s="15" t="n">
        <v>1</v>
      </c>
    </row>
    <row r="381" customFormat="false" ht="15" hidden="false" customHeight="false" outlineLevel="0" collapsed="false">
      <c r="A381" s="15" t="n">
        <v>377</v>
      </c>
      <c r="B381" s="16" t="n">
        <v>37.931</v>
      </c>
      <c r="C381" s="15" t="n">
        <v>5</v>
      </c>
      <c r="D381" s="15" t="n">
        <v>4</v>
      </c>
      <c r="E381" s="15" t="n">
        <v>4</v>
      </c>
      <c r="F381" s="15" t="n">
        <v>5</v>
      </c>
      <c r="G381" s="15" t="n">
        <v>4</v>
      </c>
      <c r="H381" s="15" t="n">
        <v>2</v>
      </c>
      <c r="I381" s="15" t="n">
        <v>2</v>
      </c>
      <c r="J381" s="15" t="n">
        <v>3</v>
      </c>
      <c r="K381" s="15" t="n">
        <v>5</v>
      </c>
      <c r="L381" s="16" t="n">
        <v>1.827</v>
      </c>
      <c r="M381" s="16" t="n">
        <v>3.48</v>
      </c>
      <c r="N381" s="15" t="n">
        <v>4</v>
      </c>
      <c r="O381" s="15" t="n">
        <v>1</v>
      </c>
      <c r="P381" s="15" t="n">
        <v>1</v>
      </c>
      <c r="Q381" s="15" t="n">
        <v>5</v>
      </c>
    </row>
    <row r="382" customFormat="false" ht="15" hidden="false" customHeight="false" outlineLevel="0" collapsed="false">
      <c r="A382" s="15" t="n">
        <v>378</v>
      </c>
      <c r="B382" s="16" t="n">
        <v>38.031</v>
      </c>
      <c r="C382" s="15" t="n">
        <v>5</v>
      </c>
      <c r="D382" s="15" t="n">
        <v>4</v>
      </c>
      <c r="E382" s="15" t="n">
        <v>5</v>
      </c>
      <c r="F382" s="15" t="n">
        <v>5</v>
      </c>
      <c r="G382" s="15" t="n">
        <v>4</v>
      </c>
      <c r="H382" s="15" t="n">
        <v>2</v>
      </c>
      <c r="I382" s="15" t="n">
        <v>4</v>
      </c>
      <c r="J382" s="15" t="n">
        <v>3</v>
      </c>
      <c r="K382" s="15" t="n">
        <v>5</v>
      </c>
      <c r="L382" s="16" t="n">
        <v>2.127</v>
      </c>
      <c r="M382" s="16" t="n">
        <v>3.028</v>
      </c>
      <c r="N382" s="15" t="n">
        <v>4</v>
      </c>
      <c r="O382" s="15" t="n">
        <v>1</v>
      </c>
      <c r="P382" s="15" t="n">
        <v>1</v>
      </c>
      <c r="Q382" s="15" t="n">
        <v>5</v>
      </c>
    </row>
    <row r="383" customFormat="false" ht="15" hidden="false" customHeight="false" outlineLevel="0" collapsed="false">
      <c r="A383" s="15" t="n">
        <v>379</v>
      </c>
      <c r="B383" s="16" t="n">
        <v>38.131</v>
      </c>
      <c r="C383" s="15" t="n">
        <v>5</v>
      </c>
      <c r="D383" s="15" t="n">
        <v>4</v>
      </c>
      <c r="E383" s="15" t="n">
        <v>4</v>
      </c>
      <c r="F383" s="15" t="n">
        <v>5</v>
      </c>
      <c r="G383" s="15" t="n">
        <v>4</v>
      </c>
      <c r="H383" s="15" t="n">
        <v>2</v>
      </c>
      <c r="I383" s="15" t="n">
        <v>4</v>
      </c>
      <c r="J383" s="15" t="n">
        <v>3</v>
      </c>
      <c r="K383" s="15" t="n">
        <v>5</v>
      </c>
      <c r="L383" s="16" t="n">
        <v>2.038</v>
      </c>
      <c r="M383" s="16" t="n">
        <v>3.5</v>
      </c>
      <c r="N383" s="15" t="n">
        <v>4</v>
      </c>
      <c r="O383" s="15" t="n">
        <v>1</v>
      </c>
      <c r="P383" s="15" t="n">
        <v>1</v>
      </c>
      <c r="Q383" s="15" t="n">
        <v>5</v>
      </c>
    </row>
    <row r="384" customFormat="false" ht="15" hidden="false" customHeight="false" outlineLevel="0" collapsed="false">
      <c r="A384" s="15" t="n">
        <v>380</v>
      </c>
      <c r="B384" s="16" t="n">
        <v>38.23</v>
      </c>
      <c r="C384" s="15" t="n">
        <v>5</v>
      </c>
      <c r="D384" s="15" t="n">
        <v>4</v>
      </c>
      <c r="E384" s="15" t="n">
        <v>4</v>
      </c>
      <c r="F384" s="15" t="n">
        <v>5</v>
      </c>
      <c r="G384" s="15" t="n">
        <v>4</v>
      </c>
      <c r="H384" s="15" t="n">
        <v>2</v>
      </c>
      <c r="I384" s="15" t="n">
        <v>4</v>
      </c>
      <c r="J384" s="15" t="n">
        <v>3</v>
      </c>
      <c r="K384" s="15" t="n">
        <v>5</v>
      </c>
      <c r="L384" s="16" t="n">
        <v>2.096</v>
      </c>
      <c r="M384" s="16" t="n">
        <v>3.08</v>
      </c>
      <c r="N384" s="15" t="n">
        <v>4</v>
      </c>
      <c r="O384" s="15" t="n">
        <v>1</v>
      </c>
      <c r="P384" s="15" t="n">
        <v>1</v>
      </c>
      <c r="Q384" s="15" t="n">
        <v>5</v>
      </c>
    </row>
    <row r="385" customFormat="false" ht="15" hidden="false" customHeight="false" outlineLevel="0" collapsed="false">
      <c r="A385" s="15" t="n">
        <v>381</v>
      </c>
      <c r="B385" s="16" t="n">
        <v>38.329</v>
      </c>
      <c r="C385" s="15" t="n">
        <v>5</v>
      </c>
      <c r="D385" s="15" t="n">
        <v>4</v>
      </c>
      <c r="E385" s="15" t="n">
        <v>4</v>
      </c>
      <c r="F385" s="15" t="n">
        <v>5</v>
      </c>
      <c r="G385" s="15" t="n">
        <v>4</v>
      </c>
      <c r="H385" s="15" t="n">
        <v>2</v>
      </c>
      <c r="I385" s="15" t="n">
        <v>4</v>
      </c>
      <c r="J385" s="15" t="n">
        <v>3</v>
      </c>
      <c r="K385" s="15" t="n">
        <v>5</v>
      </c>
      <c r="L385" s="16" t="n">
        <v>1.458</v>
      </c>
      <c r="M385" s="16" t="n">
        <v>3.261</v>
      </c>
      <c r="N385" s="15" t="n">
        <v>4</v>
      </c>
      <c r="O385" s="15" t="n">
        <v>1</v>
      </c>
      <c r="P385" s="15" t="n">
        <v>1</v>
      </c>
      <c r="Q385" s="15" t="n">
        <v>1</v>
      </c>
    </row>
    <row r="386" customFormat="false" ht="15" hidden="false" customHeight="false" outlineLevel="0" collapsed="false">
      <c r="A386" s="15" t="n">
        <v>382</v>
      </c>
      <c r="B386" s="16" t="n">
        <v>38.428</v>
      </c>
      <c r="C386" s="15" t="n">
        <v>5</v>
      </c>
      <c r="D386" s="15" t="n">
        <v>4</v>
      </c>
      <c r="E386" s="15" t="n">
        <v>5</v>
      </c>
      <c r="F386" s="15" t="n">
        <v>2</v>
      </c>
      <c r="G386" s="15" t="n">
        <v>4</v>
      </c>
      <c r="H386" s="15" t="n">
        <v>2</v>
      </c>
      <c r="I386" s="15" t="n">
        <v>5</v>
      </c>
      <c r="J386" s="15" t="n">
        <v>3</v>
      </c>
      <c r="K386" s="15" t="n">
        <v>5</v>
      </c>
      <c r="L386" s="16" t="n">
        <v>1.515</v>
      </c>
      <c r="M386" s="16" t="n">
        <v>3.313</v>
      </c>
      <c r="N386" s="15" t="n">
        <v>4</v>
      </c>
      <c r="O386" s="15" t="n">
        <v>1</v>
      </c>
      <c r="P386" s="15" t="n">
        <v>1</v>
      </c>
      <c r="Q386" s="15" t="n">
        <v>1</v>
      </c>
    </row>
    <row r="387" customFormat="false" ht="15" hidden="false" customHeight="false" outlineLevel="0" collapsed="false">
      <c r="A387" s="15" t="n">
        <v>383</v>
      </c>
      <c r="B387" s="16" t="n">
        <v>38.528</v>
      </c>
      <c r="C387" s="15" t="n">
        <v>5</v>
      </c>
      <c r="D387" s="15" t="n">
        <v>4</v>
      </c>
      <c r="E387" s="15" t="n">
        <v>5</v>
      </c>
      <c r="F387" s="15" t="n">
        <v>3</v>
      </c>
      <c r="G387" s="15" t="n">
        <v>4</v>
      </c>
      <c r="H387" s="15" t="n">
        <v>2</v>
      </c>
      <c r="I387" s="15" t="n">
        <v>5</v>
      </c>
      <c r="J387" s="15" t="n">
        <v>3</v>
      </c>
      <c r="K387" s="15" t="n">
        <v>5</v>
      </c>
      <c r="L387" s="16" t="n">
        <v>1.853</v>
      </c>
      <c r="M387" s="16" t="n">
        <v>3.576</v>
      </c>
      <c r="N387" s="15" t="n">
        <v>4</v>
      </c>
      <c r="O387" s="15" t="n">
        <v>1</v>
      </c>
      <c r="P387" s="15" t="n">
        <v>1</v>
      </c>
      <c r="Q387" s="15" t="n">
        <v>1</v>
      </c>
    </row>
    <row r="388" customFormat="false" ht="15" hidden="false" customHeight="false" outlineLevel="0" collapsed="false">
      <c r="A388" s="15" t="n">
        <v>384</v>
      </c>
      <c r="B388" s="16" t="n">
        <v>38.627</v>
      </c>
      <c r="C388" s="15" t="n">
        <v>5</v>
      </c>
      <c r="D388" s="15" t="n">
        <v>4</v>
      </c>
      <c r="E388" s="15" t="n">
        <v>5</v>
      </c>
      <c r="F388" s="15" t="n">
        <v>2</v>
      </c>
      <c r="G388" s="15" t="n">
        <v>4</v>
      </c>
      <c r="H388" s="15" t="n">
        <v>2</v>
      </c>
      <c r="I388" s="15" t="n">
        <v>5</v>
      </c>
      <c r="J388" s="15" t="n">
        <v>3</v>
      </c>
      <c r="K388" s="15" t="n">
        <v>5</v>
      </c>
      <c r="L388" s="16" t="n">
        <v>2.052</v>
      </c>
      <c r="M388" s="16" t="n">
        <v>3.593</v>
      </c>
      <c r="N388" s="15" t="n">
        <v>4</v>
      </c>
      <c r="O388" s="15" t="n">
        <v>1</v>
      </c>
      <c r="P388" s="15" t="n">
        <v>1</v>
      </c>
      <c r="Q388" s="15" t="n">
        <v>1</v>
      </c>
    </row>
    <row r="389" customFormat="false" ht="15" hidden="false" customHeight="false" outlineLevel="0" collapsed="false">
      <c r="A389" s="15" t="n">
        <v>385</v>
      </c>
      <c r="B389" s="16" t="n">
        <v>38.726</v>
      </c>
      <c r="C389" s="15" t="n">
        <v>5</v>
      </c>
      <c r="D389" s="15" t="n">
        <v>4</v>
      </c>
      <c r="E389" s="15" t="n">
        <v>5</v>
      </c>
      <c r="F389" s="15" t="n">
        <v>2</v>
      </c>
      <c r="G389" s="15" t="n">
        <v>4</v>
      </c>
      <c r="H389" s="15" t="n">
        <v>2</v>
      </c>
      <c r="I389" s="15" t="n">
        <v>5</v>
      </c>
      <c r="J389" s="15" t="n">
        <v>3</v>
      </c>
      <c r="K389" s="15" t="n">
        <v>5</v>
      </c>
      <c r="L389" s="16" t="n">
        <v>1.983</v>
      </c>
      <c r="M389" s="16" t="n">
        <v>3.179</v>
      </c>
      <c r="N389" s="15" t="n">
        <v>4</v>
      </c>
      <c r="O389" s="15" t="n">
        <v>1</v>
      </c>
      <c r="P389" s="15" t="n">
        <v>1</v>
      </c>
      <c r="Q389" s="15" t="n">
        <v>1</v>
      </c>
    </row>
    <row r="390" customFormat="false" ht="15" hidden="false" customHeight="false" outlineLevel="0" collapsed="false">
      <c r="A390" s="15" t="n">
        <v>386</v>
      </c>
      <c r="B390" s="16" t="n">
        <v>38.827</v>
      </c>
      <c r="C390" s="15" t="n">
        <v>5</v>
      </c>
      <c r="D390" s="15" t="n">
        <v>4</v>
      </c>
      <c r="E390" s="15" t="n">
        <v>5</v>
      </c>
      <c r="F390" s="15" t="n">
        <v>2</v>
      </c>
      <c r="G390" s="15" t="n">
        <v>4</v>
      </c>
      <c r="H390" s="15" t="n">
        <v>2</v>
      </c>
      <c r="I390" s="15" t="n">
        <v>5</v>
      </c>
      <c r="J390" s="15" t="n">
        <v>3</v>
      </c>
      <c r="K390" s="15" t="n">
        <v>5</v>
      </c>
      <c r="L390" s="16" t="n">
        <v>1.714</v>
      </c>
      <c r="M390" s="16" t="n">
        <v>3.138</v>
      </c>
      <c r="N390" s="15" t="n">
        <v>4</v>
      </c>
      <c r="O390" s="15" t="n">
        <v>1</v>
      </c>
      <c r="P390" s="15" t="n">
        <v>1</v>
      </c>
      <c r="Q390" s="15" t="n">
        <v>1</v>
      </c>
    </row>
    <row r="391" customFormat="false" ht="15" hidden="false" customHeight="false" outlineLevel="0" collapsed="false">
      <c r="A391" s="15" t="n">
        <v>387</v>
      </c>
      <c r="B391" s="16" t="n">
        <v>38.927</v>
      </c>
      <c r="C391" s="15" t="n">
        <v>5</v>
      </c>
      <c r="D391" s="15" t="n">
        <v>4</v>
      </c>
      <c r="E391" s="15" t="n">
        <v>5</v>
      </c>
      <c r="F391" s="15" t="n">
        <v>1</v>
      </c>
      <c r="G391" s="15" t="n">
        <v>4</v>
      </c>
      <c r="H391" s="15" t="n">
        <v>2</v>
      </c>
      <c r="I391" s="15" t="n">
        <v>5</v>
      </c>
      <c r="J391" s="15" t="n">
        <v>3</v>
      </c>
      <c r="K391" s="15" t="n">
        <v>5</v>
      </c>
      <c r="L391" s="16" t="n">
        <v>2.005</v>
      </c>
      <c r="M391" s="16" t="n">
        <v>3.455</v>
      </c>
      <c r="N391" s="15" t="n">
        <v>4</v>
      </c>
      <c r="O391" s="15" t="n">
        <v>1</v>
      </c>
      <c r="P391" s="15" t="n">
        <v>1</v>
      </c>
      <c r="Q391" s="15" t="n">
        <v>1</v>
      </c>
    </row>
    <row r="392" customFormat="false" ht="15" hidden="false" customHeight="false" outlineLevel="0" collapsed="false">
      <c r="A392" s="15" t="n">
        <v>388</v>
      </c>
      <c r="B392" s="16" t="n">
        <v>39.027</v>
      </c>
      <c r="C392" s="15" t="n">
        <v>5</v>
      </c>
      <c r="D392" s="15" t="n">
        <v>4</v>
      </c>
      <c r="E392" s="15" t="n">
        <v>5</v>
      </c>
      <c r="F392" s="15" t="n">
        <v>2</v>
      </c>
      <c r="G392" s="15" t="n">
        <v>4</v>
      </c>
      <c r="H392" s="15" t="n">
        <v>2</v>
      </c>
      <c r="I392" s="15" t="n">
        <v>5</v>
      </c>
      <c r="J392" s="15" t="n">
        <v>3</v>
      </c>
      <c r="K392" s="15" t="n">
        <v>5</v>
      </c>
      <c r="L392" s="16" t="n">
        <v>2.179</v>
      </c>
      <c r="M392" s="16" t="n">
        <v>3.522</v>
      </c>
      <c r="N392" s="15" t="n">
        <v>4</v>
      </c>
      <c r="O392" s="15" t="n">
        <v>1</v>
      </c>
      <c r="P392" s="15" t="n">
        <v>1</v>
      </c>
      <c r="Q392" s="15" t="n">
        <v>1</v>
      </c>
    </row>
    <row r="393" customFormat="false" ht="15" hidden="false" customHeight="false" outlineLevel="0" collapsed="false">
      <c r="A393" s="15" t="n">
        <v>389</v>
      </c>
      <c r="B393" s="16" t="n">
        <v>39.127</v>
      </c>
      <c r="C393" s="15" t="n">
        <v>5</v>
      </c>
      <c r="D393" s="15" t="n">
        <v>4</v>
      </c>
      <c r="E393" s="15" t="n">
        <v>5</v>
      </c>
      <c r="F393" s="15" t="n">
        <v>1</v>
      </c>
      <c r="G393" s="15" t="n">
        <v>4</v>
      </c>
      <c r="H393" s="15" t="n">
        <v>2</v>
      </c>
      <c r="I393" s="15" t="n">
        <v>5</v>
      </c>
      <c r="J393" s="15" t="n">
        <v>3</v>
      </c>
      <c r="K393" s="15" t="n">
        <v>5</v>
      </c>
      <c r="L393" s="16" t="n">
        <v>2.274</v>
      </c>
      <c r="M393" s="16" t="n">
        <v>3.208</v>
      </c>
      <c r="N393" s="15" t="n">
        <v>4</v>
      </c>
      <c r="O393" s="15" t="n">
        <v>1</v>
      </c>
      <c r="P393" s="15" t="n">
        <v>1</v>
      </c>
      <c r="Q393" s="15" t="n">
        <v>1</v>
      </c>
    </row>
    <row r="394" customFormat="false" ht="15" hidden="false" customHeight="false" outlineLevel="0" collapsed="false">
      <c r="A394" s="15" t="n">
        <v>390</v>
      </c>
      <c r="B394" s="16" t="n">
        <v>39.227</v>
      </c>
      <c r="C394" s="15" t="n">
        <v>5</v>
      </c>
      <c r="D394" s="15" t="n">
        <v>4</v>
      </c>
      <c r="E394" s="15" t="n">
        <v>5</v>
      </c>
      <c r="F394" s="15" t="n">
        <v>2</v>
      </c>
      <c r="G394" s="15" t="n">
        <v>4</v>
      </c>
      <c r="H394" s="15" t="n">
        <v>2</v>
      </c>
      <c r="I394" s="15" t="n">
        <v>5</v>
      </c>
      <c r="J394" s="15" t="n">
        <v>3</v>
      </c>
      <c r="K394" s="15" t="n">
        <v>5</v>
      </c>
      <c r="L394" s="16" t="n">
        <v>2.35</v>
      </c>
      <c r="M394" s="16" t="n">
        <v>3.831</v>
      </c>
      <c r="N394" s="15" t="n">
        <v>4</v>
      </c>
      <c r="O394" s="15" t="n">
        <v>1</v>
      </c>
      <c r="P394" s="15" t="n">
        <v>1</v>
      </c>
      <c r="Q394" s="15" t="n">
        <v>1</v>
      </c>
    </row>
    <row r="395" customFormat="false" ht="15" hidden="false" customHeight="false" outlineLevel="0" collapsed="false">
      <c r="A395" s="15" t="n">
        <v>391</v>
      </c>
      <c r="B395" s="16" t="n">
        <v>39.327</v>
      </c>
      <c r="C395" s="15" t="n">
        <v>5</v>
      </c>
      <c r="D395" s="15" t="n">
        <v>4</v>
      </c>
      <c r="E395" s="15" t="n">
        <v>5</v>
      </c>
      <c r="F395" s="15" t="n">
        <v>2</v>
      </c>
      <c r="G395" s="15" t="n">
        <v>4</v>
      </c>
      <c r="H395" s="15" t="n">
        <v>2</v>
      </c>
      <c r="I395" s="15" t="n">
        <v>5</v>
      </c>
      <c r="J395" s="15" t="n">
        <v>3</v>
      </c>
      <c r="K395" s="15" t="n">
        <v>5</v>
      </c>
      <c r="L395" s="16" t="n">
        <v>2.12</v>
      </c>
      <c r="M395" s="16" t="n">
        <v>3.629</v>
      </c>
      <c r="N395" s="15" t="n">
        <v>4</v>
      </c>
      <c r="O395" s="15" t="n">
        <v>1</v>
      </c>
      <c r="P395" s="15" t="n">
        <v>1</v>
      </c>
      <c r="Q395" s="15" t="n">
        <v>1</v>
      </c>
    </row>
    <row r="396" customFormat="false" ht="15" hidden="false" customHeight="false" outlineLevel="0" collapsed="false">
      <c r="A396" s="15" t="n">
        <v>392</v>
      </c>
      <c r="B396" s="16" t="n">
        <v>39.427</v>
      </c>
      <c r="C396" s="15" t="n">
        <v>5</v>
      </c>
      <c r="D396" s="15" t="n">
        <v>4</v>
      </c>
      <c r="E396" s="15" t="n">
        <v>5</v>
      </c>
      <c r="F396" s="15" t="n">
        <v>2</v>
      </c>
      <c r="G396" s="15" t="n">
        <v>4</v>
      </c>
      <c r="H396" s="15" t="n">
        <v>2</v>
      </c>
      <c r="I396" s="15" t="n">
        <v>5</v>
      </c>
      <c r="J396" s="15" t="n">
        <v>3</v>
      </c>
      <c r="K396" s="15" t="n">
        <v>5</v>
      </c>
      <c r="L396" s="16" t="n">
        <v>2.412</v>
      </c>
      <c r="M396" s="16" t="n">
        <v>3.428</v>
      </c>
      <c r="N396" s="15" t="n">
        <v>4</v>
      </c>
      <c r="O396" s="15" t="n">
        <v>1</v>
      </c>
      <c r="P396" s="15" t="n">
        <v>1</v>
      </c>
      <c r="Q396" s="15" t="n">
        <v>1</v>
      </c>
    </row>
    <row r="397" customFormat="false" ht="15" hidden="false" customHeight="false" outlineLevel="0" collapsed="false">
      <c r="A397" s="15" t="n">
        <v>393</v>
      </c>
      <c r="B397" s="16" t="n">
        <v>39.526</v>
      </c>
      <c r="C397" s="15" t="n">
        <v>5</v>
      </c>
      <c r="D397" s="15" t="n">
        <v>4</v>
      </c>
      <c r="E397" s="15" t="n">
        <v>5</v>
      </c>
      <c r="F397" s="15" t="n">
        <v>1</v>
      </c>
      <c r="G397" s="15" t="n">
        <v>4</v>
      </c>
      <c r="H397" s="15" t="n">
        <v>2</v>
      </c>
      <c r="I397" s="15" t="n">
        <v>5</v>
      </c>
      <c r="J397" s="15" t="n">
        <v>3</v>
      </c>
      <c r="K397" s="15" t="n">
        <v>5</v>
      </c>
      <c r="L397" s="16" t="n">
        <v>2.455</v>
      </c>
      <c r="M397" s="16" t="n">
        <v>3.526</v>
      </c>
      <c r="N397" s="15" t="n">
        <v>4</v>
      </c>
      <c r="O397" s="15" t="n">
        <v>1</v>
      </c>
      <c r="P397" s="15" t="n">
        <v>1</v>
      </c>
      <c r="Q397" s="15" t="n">
        <v>1</v>
      </c>
    </row>
    <row r="398" customFormat="false" ht="15" hidden="false" customHeight="false" outlineLevel="0" collapsed="false">
      <c r="A398" s="15" t="n">
        <v>394</v>
      </c>
      <c r="B398" s="16" t="n">
        <v>39.626</v>
      </c>
      <c r="C398" s="15" t="n">
        <v>5</v>
      </c>
      <c r="D398" s="15" t="n">
        <v>4</v>
      </c>
      <c r="E398" s="15" t="n">
        <v>5</v>
      </c>
      <c r="F398" s="15" t="n">
        <v>2</v>
      </c>
      <c r="G398" s="15" t="n">
        <v>4</v>
      </c>
      <c r="H398" s="15" t="n">
        <v>2</v>
      </c>
      <c r="I398" s="15" t="n">
        <v>4</v>
      </c>
      <c r="J398" s="15" t="n">
        <v>3</v>
      </c>
      <c r="K398" s="15" t="n">
        <v>5</v>
      </c>
      <c r="L398" s="16" t="n">
        <v>2.71</v>
      </c>
      <c r="M398" s="16" t="n">
        <v>3.32</v>
      </c>
      <c r="N398" s="15" t="n">
        <v>4</v>
      </c>
      <c r="O398" s="15" t="n">
        <v>1</v>
      </c>
      <c r="P398" s="15" t="n">
        <v>1</v>
      </c>
      <c r="Q398" s="15" t="n">
        <v>1</v>
      </c>
    </row>
    <row r="399" customFormat="false" ht="15" hidden="false" customHeight="false" outlineLevel="0" collapsed="false">
      <c r="A399" s="15" t="n">
        <v>395</v>
      </c>
      <c r="B399" s="16" t="n">
        <v>39.725</v>
      </c>
      <c r="C399" s="15" t="n">
        <v>5</v>
      </c>
      <c r="D399" s="15" t="n">
        <v>4</v>
      </c>
      <c r="E399" s="15" t="n">
        <v>4</v>
      </c>
      <c r="F399" s="15" t="n">
        <v>3</v>
      </c>
      <c r="G399" s="15" t="n">
        <v>4</v>
      </c>
      <c r="H399" s="15" t="n">
        <v>2</v>
      </c>
      <c r="I399" s="15" t="n">
        <v>4</v>
      </c>
      <c r="J399" s="15" t="n">
        <v>3</v>
      </c>
      <c r="K399" s="15" t="n">
        <v>5</v>
      </c>
      <c r="L399" s="16" t="n">
        <v>2.615</v>
      </c>
      <c r="M399" s="16" t="n">
        <v>3.542</v>
      </c>
      <c r="N399" s="15" t="n">
        <v>4</v>
      </c>
      <c r="O399" s="15" t="n">
        <v>1</v>
      </c>
      <c r="P399" s="15" t="n">
        <v>1</v>
      </c>
      <c r="Q399" s="15" t="n">
        <v>1</v>
      </c>
    </row>
    <row r="400" customFormat="false" ht="15" hidden="false" customHeight="false" outlineLevel="0" collapsed="false">
      <c r="A400" s="15" t="n">
        <v>396</v>
      </c>
      <c r="B400" s="16" t="n">
        <v>39.824</v>
      </c>
      <c r="C400" s="15" t="n">
        <v>5</v>
      </c>
      <c r="D400" s="15" t="n">
        <v>4</v>
      </c>
      <c r="E400" s="15" t="n">
        <v>4</v>
      </c>
      <c r="F400" s="15" t="n">
        <v>2</v>
      </c>
      <c r="G400" s="15" t="n">
        <v>4</v>
      </c>
      <c r="H400" s="15" t="n">
        <v>2</v>
      </c>
      <c r="I400" s="15" t="n">
        <v>4</v>
      </c>
      <c r="J400" s="15" t="n">
        <v>3</v>
      </c>
      <c r="K400" s="15" t="n">
        <v>5</v>
      </c>
      <c r="L400" s="16" t="n">
        <v>2.595</v>
      </c>
      <c r="M400" s="16" t="n">
        <v>3.559</v>
      </c>
      <c r="N400" s="15" t="n">
        <v>4</v>
      </c>
      <c r="O400" s="15" t="n">
        <v>1</v>
      </c>
      <c r="P400" s="15" t="n">
        <v>1</v>
      </c>
      <c r="Q400" s="15" t="n">
        <v>1</v>
      </c>
    </row>
    <row r="401" customFormat="false" ht="15" hidden="false" customHeight="false" outlineLevel="0" collapsed="false">
      <c r="A401" s="15" t="n">
        <v>397</v>
      </c>
      <c r="B401" s="16" t="n">
        <v>39.924</v>
      </c>
      <c r="C401" s="15" t="n">
        <v>5</v>
      </c>
      <c r="D401" s="15" t="n">
        <v>4</v>
      </c>
      <c r="E401" s="15" t="n">
        <v>4</v>
      </c>
      <c r="F401" s="15" t="n">
        <v>2</v>
      </c>
      <c r="G401" s="15" t="n">
        <v>4</v>
      </c>
      <c r="H401" s="15" t="n">
        <v>2</v>
      </c>
      <c r="I401" s="15" t="n">
        <v>4</v>
      </c>
      <c r="J401" s="15" t="n">
        <v>3</v>
      </c>
      <c r="K401" s="15" t="n">
        <v>5</v>
      </c>
      <c r="L401" s="16" t="n">
        <v>2.078</v>
      </c>
      <c r="M401" s="16" t="n">
        <v>3.631</v>
      </c>
      <c r="N401" s="15" t="n">
        <v>4</v>
      </c>
      <c r="O401" s="15" t="n">
        <v>1</v>
      </c>
      <c r="P401" s="15" t="n">
        <v>1</v>
      </c>
      <c r="Q401" s="15" t="n">
        <v>1</v>
      </c>
    </row>
    <row r="402" customFormat="false" ht="15" hidden="false" customHeight="false" outlineLevel="0" collapsed="false">
      <c r="A402" s="15" t="n">
        <v>398</v>
      </c>
      <c r="B402" s="16" t="n">
        <v>40.023</v>
      </c>
      <c r="C402" s="15" t="n">
        <v>5</v>
      </c>
      <c r="D402" s="15" t="n">
        <v>4</v>
      </c>
      <c r="E402" s="15" t="n">
        <v>5</v>
      </c>
      <c r="F402" s="15" t="n">
        <v>2</v>
      </c>
      <c r="G402" s="15" t="n">
        <v>4</v>
      </c>
      <c r="H402" s="15" t="n">
        <v>2</v>
      </c>
      <c r="I402" s="15" t="n">
        <v>4</v>
      </c>
      <c r="J402" s="15" t="n">
        <v>3</v>
      </c>
      <c r="K402" s="15" t="n">
        <v>5</v>
      </c>
      <c r="L402" s="16" t="n">
        <v>1.945</v>
      </c>
      <c r="M402" s="16" t="n">
        <v>3.731</v>
      </c>
      <c r="N402" s="15" t="n">
        <v>4</v>
      </c>
      <c r="O402" s="15" t="n">
        <v>1</v>
      </c>
      <c r="P402" s="15" t="n">
        <v>1</v>
      </c>
      <c r="Q402" s="15" t="n">
        <v>1</v>
      </c>
    </row>
    <row r="403" customFormat="false" ht="15" hidden="false" customHeight="false" outlineLevel="0" collapsed="false">
      <c r="A403" s="15" t="n">
        <v>399</v>
      </c>
      <c r="B403" s="16" t="n">
        <v>40.123</v>
      </c>
      <c r="C403" s="15" t="n">
        <v>5</v>
      </c>
      <c r="D403" s="15" t="n">
        <v>4</v>
      </c>
      <c r="E403" s="15" t="n">
        <v>5</v>
      </c>
      <c r="F403" s="15" t="n">
        <v>2</v>
      </c>
      <c r="G403" s="15" t="n">
        <v>4</v>
      </c>
      <c r="H403" s="15" t="n">
        <v>2</v>
      </c>
      <c r="I403" s="15" t="n">
        <v>5</v>
      </c>
      <c r="J403" s="15" t="n">
        <v>3</v>
      </c>
      <c r="K403" s="15" t="n">
        <v>5</v>
      </c>
      <c r="L403" s="16" t="n">
        <v>1.906</v>
      </c>
      <c r="M403" s="16" t="n">
        <v>3.723</v>
      </c>
      <c r="N403" s="15" t="n">
        <v>4</v>
      </c>
      <c r="O403" s="15" t="n">
        <v>1</v>
      </c>
      <c r="P403" s="15" t="n">
        <v>1</v>
      </c>
      <c r="Q403" s="15" t="n">
        <v>1</v>
      </c>
    </row>
    <row r="404" customFormat="false" ht="15" hidden="false" customHeight="false" outlineLevel="0" collapsed="false">
      <c r="A404" s="15" t="n">
        <v>400</v>
      </c>
      <c r="B404" s="16" t="n">
        <v>40.223</v>
      </c>
      <c r="C404" s="15" t="n">
        <v>5</v>
      </c>
      <c r="D404" s="15" t="n">
        <v>4</v>
      </c>
      <c r="E404" s="15" t="n">
        <v>5</v>
      </c>
      <c r="F404" s="15" t="n">
        <v>2</v>
      </c>
      <c r="G404" s="15" t="n">
        <v>4</v>
      </c>
      <c r="H404" s="15" t="n">
        <v>2</v>
      </c>
      <c r="I404" s="15" t="n">
        <v>4</v>
      </c>
      <c r="J404" s="15" t="n">
        <v>3</v>
      </c>
      <c r="K404" s="15" t="n">
        <v>5</v>
      </c>
      <c r="L404" s="16" t="n">
        <v>1.983</v>
      </c>
      <c r="M404" s="16" t="n">
        <v>3.87</v>
      </c>
      <c r="N404" s="15" t="n">
        <v>4</v>
      </c>
      <c r="O404" s="15" t="n">
        <v>1</v>
      </c>
      <c r="P404" s="15" t="n">
        <v>1</v>
      </c>
      <c r="Q404" s="15" t="n">
        <v>1</v>
      </c>
    </row>
    <row r="405" customFormat="false" ht="15" hidden="false" customHeight="false" outlineLevel="0" collapsed="false">
      <c r="A405" s="15" t="n">
        <v>401</v>
      </c>
      <c r="B405" s="16" t="n">
        <v>40.323</v>
      </c>
      <c r="C405" s="15" t="n">
        <v>5</v>
      </c>
      <c r="D405" s="15" t="n">
        <v>4</v>
      </c>
      <c r="E405" s="15" t="n">
        <v>4</v>
      </c>
      <c r="F405" s="15" t="n">
        <v>3</v>
      </c>
      <c r="G405" s="15" t="n">
        <v>4</v>
      </c>
      <c r="H405" s="15" t="n">
        <v>2</v>
      </c>
      <c r="I405" s="15" t="n">
        <v>4</v>
      </c>
      <c r="J405" s="15" t="n">
        <v>3</v>
      </c>
      <c r="K405" s="15" t="n">
        <v>5</v>
      </c>
      <c r="L405" s="16" t="n">
        <v>1.981</v>
      </c>
      <c r="M405" s="16" t="n">
        <v>4</v>
      </c>
      <c r="N405" s="15" t="n">
        <v>4</v>
      </c>
      <c r="O405" s="15" t="n">
        <v>1</v>
      </c>
      <c r="P405" s="15" t="n">
        <v>1</v>
      </c>
      <c r="Q405" s="15" t="n">
        <v>1</v>
      </c>
    </row>
    <row r="406" customFormat="false" ht="15" hidden="false" customHeight="false" outlineLevel="0" collapsed="false">
      <c r="A406" s="15" t="n">
        <v>402</v>
      </c>
      <c r="B406" s="16" t="n">
        <v>40.423</v>
      </c>
      <c r="C406" s="15" t="n">
        <v>5</v>
      </c>
      <c r="D406" s="15" t="n">
        <v>4</v>
      </c>
      <c r="E406" s="15" t="n">
        <v>4</v>
      </c>
      <c r="F406" s="15" t="n">
        <v>2</v>
      </c>
      <c r="G406" s="15" t="n">
        <v>4</v>
      </c>
      <c r="H406" s="15" t="n">
        <v>2</v>
      </c>
      <c r="I406" s="15" t="n">
        <v>4</v>
      </c>
      <c r="J406" s="15" t="n">
        <v>3</v>
      </c>
      <c r="K406" s="15" t="n">
        <v>5</v>
      </c>
      <c r="L406" s="16" t="n">
        <v>2.11</v>
      </c>
      <c r="M406" s="16" t="n">
        <v>3.941</v>
      </c>
      <c r="N406" s="15" t="n">
        <v>4</v>
      </c>
      <c r="O406" s="15" t="n">
        <v>1</v>
      </c>
      <c r="P406" s="15" t="n">
        <v>1</v>
      </c>
      <c r="Q406" s="15" t="n">
        <v>1</v>
      </c>
    </row>
    <row r="407" customFormat="false" ht="15" hidden="false" customHeight="false" outlineLevel="0" collapsed="false">
      <c r="A407" s="15" t="n">
        <v>403</v>
      </c>
      <c r="B407" s="16" t="n">
        <v>40.523</v>
      </c>
      <c r="C407" s="15" t="n">
        <v>5</v>
      </c>
      <c r="D407" s="15" t="n">
        <v>4</v>
      </c>
      <c r="E407" s="15" t="n">
        <v>5</v>
      </c>
      <c r="F407" s="15" t="n">
        <v>2</v>
      </c>
      <c r="G407" s="15" t="n">
        <v>4</v>
      </c>
      <c r="H407" s="15" t="n">
        <v>2</v>
      </c>
      <c r="I407" s="15" t="n">
        <v>4</v>
      </c>
      <c r="J407" s="15" t="n">
        <v>3</v>
      </c>
      <c r="K407" s="15" t="n">
        <v>5</v>
      </c>
      <c r="L407" s="16" t="n">
        <v>2.643</v>
      </c>
      <c r="M407" s="16" t="n">
        <v>3.977</v>
      </c>
      <c r="N407" s="15" t="n">
        <v>4</v>
      </c>
      <c r="O407" s="15" t="n">
        <v>1</v>
      </c>
      <c r="P407" s="15" t="n">
        <v>1</v>
      </c>
      <c r="Q407" s="15" t="n">
        <v>1</v>
      </c>
    </row>
    <row r="408" customFormat="false" ht="15" hidden="false" customHeight="false" outlineLevel="0" collapsed="false">
      <c r="A408" s="15" t="n">
        <v>404</v>
      </c>
      <c r="B408" s="16" t="n">
        <v>40.623</v>
      </c>
      <c r="C408" s="15" t="n">
        <v>5</v>
      </c>
      <c r="D408" s="15" t="n">
        <v>4</v>
      </c>
      <c r="E408" s="15" t="n">
        <v>5</v>
      </c>
      <c r="F408" s="15" t="n">
        <v>2</v>
      </c>
      <c r="G408" s="15" t="n">
        <v>4</v>
      </c>
      <c r="H408" s="15" t="n">
        <v>2</v>
      </c>
      <c r="I408" s="15" t="n">
        <v>4</v>
      </c>
      <c r="J408" s="15" t="n">
        <v>3</v>
      </c>
      <c r="K408" s="15" t="n">
        <v>5</v>
      </c>
      <c r="L408" s="16" t="n">
        <v>3.032</v>
      </c>
      <c r="M408" s="16" t="n">
        <v>3.892</v>
      </c>
      <c r="N408" s="15" t="n">
        <v>4</v>
      </c>
      <c r="O408" s="15" t="n">
        <v>1</v>
      </c>
      <c r="P408" s="15" t="n">
        <v>1</v>
      </c>
      <c r="Q408" s="15" t="n">
        <v>1</v>
      </c>
    </row>
    <row r="409" customFormat="false" ht="15" hidden="false" customHeight="false" outlineLevel="0" collapsed="false">
      <c r="A409" s="15" t="n">
        <v>405</v>
      </c>
      <c r="B409" s="16" t="n">
        <v>40.722</v>
      </c>
      <c r="C409" s="15" t="n">
        <v>5</v>
      </c>
      <c r="D409" s="15" t="n">
        <v>4</v>
      </c>
      <c r="E409" s="15" t="n">
        <v>4</v>
      </c>
      <c r="F409" s="15" t="n">
        <v>3</v>
      </c>
      <c r="G409" s="15" t="n">
        <v>4</v>
      </c>
      <c r="H409" s="15" t="n">
        <v>2</v>
      </c>
      <c r="I409" s="15" t="n">
        <v>3</v>
      </c>
      <c r="J409" s="15" t="n">
        <v>3</v>
      </c>
      <c r="K409" s="15" t="n">
        <v>5</v>
      </c>
      <c r="L409" s="16" t="n">
        <v>3.105</v>
      </c>
      <c r="M409" s="16" t="n">
        <v>3.814</v>
      </c>
      <c r="N409" s="15" t="n">
        <v>4</v>
      </c>
      <c r="O409" s="15" t="n">
        <v>1</v>
      </c>
      <c r="P409" s="15" t="n">
        <v>1</v>
      </c>
      <c r="Q409" s="15" t="n">
        <v>1</v>
      </c>
    </row>
    <row r="410" customFormat="false" ht="15" hidden="false" customHeight="false" outlineLevel="0" collapsed="false">
      <c r="A410" s="15" t="n">
        <v>406</v>
      </c>
      <c r="B410" s="16" t="n">
        <v>40.822</v>
      </c>
      <c r="C410" s="15" t="n">
        <v>5</v>
      </c>
      <c r="D410" s="15" t="n">
        <v>4</v>
      </c>
      <c r="E410" s="15" t="n">
        <v>4</v>
      </c>
      <c r="F410" s="15" t="n">
        <v>3</v>
      </c>
      <c r="G410" s="15" t="n">
        <v>4</v>
      </c>
      <c r="H410" s="15" t="n">
        <v>2</v>
      </c>
      <c r="I410" s="15" t="n">
        <v>3</v>
      </c>
      <c r="J410" s="15" t="n">
        <v>3</v>
      </c>
      <c r="K410" s="15" t="n">
        <v>5</v>
      </c>
      <c r="L410" s="16" t="n">
        <v>3.015</v>
      </c>
      <c r="M410" s="16" t="n">
        <v>3.735</v>
      </c>
      <c r="N410" s="15" t="n">
        <v>4</v>
      </c>
      <c r="O410" s="15" t="n">
        <v>1</v>
      </c>
      <c r="P410" s="15" t="n">
        <v>1</v>
      </c>
      <c r="Q410" s="15" t="n">
        <v>1</v>
      </c>
    </row>
    <row r="411" customFormat="false" ht="15" hidden="false" customHeight="false" outlineLevel="0" collapsed="false">
      <c r="A411" s="15" t="n">
        <v>407</v>
      </c>
      <c r="B411" s="16" t="n">
        <v>40.922</v>
      </c>
      <c r="C411" s="15" t="n">
        <v>5</v>
      </c>
      <c r="D411" s="15" t="n">
        <v>4</v>
      </c>
      <c r="E411" s="15" t="n">
        <v>4</v>
      </c>
      <c r="F411" s="15" t="n">
        <v>2</v>
      </c>
      <c r="G411" s="15" t="n">
        <v>4</v>
      </c>
      <c r="H411" s="15" t="n">
        <v>2</v>
      </c>
      <c r="I411" s="15" t="n">
        <v>4</v>
      </c>
      <c r="J411" s="15" t="n">
        <v>3</v>
      </c>
      <c r="K411" s="15" t="n">
        <v>5</v>
      </c>
      <c r="L411" s="16" t="n">
        <v>2.772</v>
      </c>
      <c r="M411" s="16" t="n">
        <v>3.763</v>
      </c>
      <c r="N411" s="15" t="n">
        <v>4</v>
      </c>
      <c r="O411" s="15" t="n">
        <v>1</v>
      </c>
      <c r="P411" s="15" t="n">
        <v>1</v>
      </c>
      <c r="Q411" s="15" t="n">
        <v>1</v>
      </c>
    </row>
    <row r="412" customFormat="false" ht="15" hidden="false" customHeight="false" outlineLevel="0" collapsed="false">
      <c r="A412" s="15" t="n">
        <v>408</v>
      </c>
      <c r="B412" s="16" t="n">
        <v>41.022</v>
      </c>
      <c r="C412" s="15" t="n">
        <v>5</v>
      </c>
      <c r="D412" s="15" t="n">
        <v>4</v>
      </c>
      <c r="E412" s="15" t="n">
        <v>5</v>
      </c>
      <c r="F412" s="15" t="n">
        <v>2</v>
      </c>
      <c r="G412" s="15" t="n">
        <v>4</v>
      </c>
      <c r="H412" s="15" t="n">
        <v>2</v>
      </c>
      <c r="I412" s="15" t="n">
        <v>4</v>
      </c>
      <c r="J412" s="15" t="n">
        <v>3</v>
      </c>
      <c r="K412" s="15" t="n">
        <v>5</v>
      </c>
      <c r="L412" s="16" t="n">
        <v>2.574</v>
      </c>
      <c r="M412" s="16" t="n">
        <v>3.846</v>
      </c>
      <c r="N412" s="15" t="n">
        <v>4</v>
      </c>
      <c r="O412" s="15" t="n">
        <v>1</v>
      </c>
      <c r="P412" s="15" t="n">
        <v>1</v>
      </c>
      <c r="Q412" s="15" t="n">
        <v>1</v>
      </c>
    </row>
    <row r="413" customFormat="false" ht="15" hidden="false" customHeight="false" outlineLevel="0" collapsed="false">
      <c r="A413" s="15" t="n">
        <v>409</v>
      </c>
      <c r="B413" s="16" t="n">
        <v>41.122</v>
      </c>
      <c r="C413" s="15" t="n">
        <v>5</v>
      </c>
      <c r="D413" s="15" t="n">
        <v>4</v>
      </c>
      <c r="E413" s="15" t="n">
        <v>4</v>
      </c>
      <c r="F413" s="15" t="n">
        <v>3</v>
      </c>
      <c r="G413" s="15" t="n">
        <v>4</v>
      </c>
      <c r="H413" s="15" t="n">
        <v>2</v>
      </c>
      <c r="I413" s="15" t="n">
        <v>4</v>
      </c>
      <c r="J413" s="15" t="n">
        <v>3</v>
      </c>
      <c r="K413" s="15" t="n">
        <v>5</v>
      </c>
      <c r="L413" s="16" t="n">
        <v>2.342</v>
      </c>
      <c r="M413" s="16" t="n">
        <v>3.737</v>
      </c>
      <c r="N413" s="15" t="n">
        <v>4</v>
      </c>
      <c r="O413" s="15" t="n">
        <v>1</v>
      </c>
      <c r="P413" s="15" t="n">
        <v>1</v>
      </c>
      <c r="Q413" s="15" t="n">
        <v>1</v>
      </c>
    </row>
    <row r="414" customFormat="false" ht="15" hidden="false" customHeight="false" outlineLevel="0" collapsed="false">
      <c r="A414" s="15" t="n">
        <v>410</v>
      </c>
      <c r="B414" s="16" t="n">
        <v>41.222</v>
      </c>
      <c r="C414" s="15" t="n">
        <v>5</v>
      </c>
      <c r="D414" s="15" t="n">
        <v>4</v>
      </c>
      <c r="E414" s="15" t="n">
        <v>4</v>
      </c>
      <c r="F414" s="15" t="n">
        <v>3</v>
      </c>
      <c r="G414" s="15" t="n">
        <v>4</v>
      </c>
      <c r="H414" s="15" t="n">
        <v>2</v>
      </c>
      <c r="I414" s="15" t="n">
        <v>4</v>
      </c>
      <c r="J414" s="15" t="n">
        <v>3</v>
      </c>
      <c r="K414" s="15" t="n">
        <v>5</v>
      </c>
      <c r="L414" s="16" t="n">
        <v>2.718</v>
      </c>
      <c r="M414" s="16" t="n">
        <v>3.463</v>
      </c>
      <c r="N414" s="15" t="n">
        <v>4</v>
      </c>
      <c r="O414" s="15" t="n">
        <v>1</v>
      </c>
      <c r="P414" s="15" t="n">
        <v>1</v>
      </c>
      <c r="Q414" s="15" t="n">
        <v>1</v>
      </c>
    </row>
    <row r="415" customFormat="false" ht="15" hidden="false" customHeight="false" outlineLevel="0" collapsed="false">
      <c r="A415" s="15" t="n">
        <v>411</v>
      </c>
      <c r="B415" s="16" t="n">
        <v>41.323</v>
      </c>
      <c r="C415" s="15" t="n">
        <v>5</v>
      </c>
      <c r="D415" s="15" t="n">
        <v>4</v>
      </c>
      <c r="E415" s="15" t="n">
        <v>5</v>
      </c>
      <c r="F415" s="15" t="n">
        <v>3</v>
      </c>
      <c r="G415" s="15" t="n">
        <v>4</v>
      </c>
      <c r="H415" s="15" t="n">
        <v>2</v>
      </c>
      <c r="I415" s="15" t="n">
        <v>4</v>
      </c>
      <c r="J415" s="15" t="n">
        <v>3</v>
      </c>
      <c r="K415" s="15" t="n">
        <v>5</v>
      </c>
      <c r="L415" s="16" t="n">
        <v>2.509</v>
      </c>
      <c r="M415" s="16" t="n">
        <v>3.516</v>
      </c>
      <c r="N415" s="15" t="n">
        <v>4</v>
      </c>
      <c r="O415" s="15" t="n">
        <v>1</v>
      </c>
      <c r="P415" s="15" t="n">
        <v>1</v>
      </c>
      <c r="Q415" s="15" t="n">
        <v>1</v>
      </c>
    </row>
    <row r="416" customFormat="false" ht="15" hidden="false" customHeight="false" outlineLevel="0" collapsed="false">
      <c r="A416" s="15" t="n">
        <v>412</v>
      </c>
      <c r="B416" s="16" t="n">
        <v>41.424</v>
      </c>
      <c r="C416" s="15" t="n">
        <v>5</v>
      </c>
      <c r="D416" s="15" t="n">
        <v>4</v>
      </c>
      <c r="E416" s="15" t="n">
        <v>5</v>
      </c>
      <c r="F416" s="15" t="n">
        <v>3</v>
      </c>
      <c r="G416" s="15" t="n">
        <v>4</v>
      </c>
      <c r="H416" s="15" t="n">
        <v>2</v>
      </c>
      <c r="I416" s="15" t="n">
        <v>5</v>
      </c>
      <c r="J416" s="15" t="n">
        <v>3</v>
      </c>
      <c r="K416" s="15" t="n">
        <v>5</v>
      </c>
      <c r="L416" s="16" t="n">
        <v>2.616</v>
      </c>
      <c r="M416" s="16" t="n">
        <v>3.415</v>
      </c>
      <c r="N416" s="15" t="n">
        <v>4</v>
      </c>
      <c r="O416" s="15" t="n">
        <v>1</v>
      </c>
      <c r="P416" s="15" t="n">
        <v>1</v>
      </c>
      <c r="Q416" s="15" t="n">
        <v>1</v>
      </c>
    </row>
    <row r="417" customFormat="false" ht="15" hidden="false" customHeight="false" outlineLevel="0" collapsed="false">
      <c r="A417" s="15" t="n">
        <v>413</v>
      </c>
      <c r="B417" s="16" t="n">
        <v>41.524</v>
      </c>
      <c r="C417" s="15" t="n">
        <v>5</v>
      </c>
      <c r="D417" s="15" t="n">
        <v>4</v>
      </c>
      <c r="E417" s="15" t="n">
        <v>5</v>
      </c>
      <c r="F417" s="15" t="n">
        <v>2</v>
      </c>
      <c r="G417" s="15" t="n">
        <v>4</v>
      </c>
      <c r="H417" s="15" t="n">
        <v>2</v>
      </c>
      <c r="I417" s="15" t="n">
        <v>5</v>
      </c>
      <c r="J417" s="15" t="n">
        <v>3</v>
      </c>
      <c r="K417" s="15" t="n">
        <v>5</v>
      </c>
      <c r="L417" s="16" t="n">
        <v>2.364</v>
      </c>
      <c r="M417" s="16" t="n">
        <v>3.574</v>
      </c>
      <c r="N417" s="15" t="n">
        <v>4</v>
      </c>
      <c r="O417" s="15" t="n">
        <v>1</v>
      </c>
      <c r="P417" s="15" t="n">
        <v>1</v>
      </c>
      <c r="Q417" s="15" t="n">
        <v>1</v>
      </c>
    </row>
    <row r="418" customFormat="false" ht="15" hidden="false" customHeight="false" outlineLevel="0" collapsed="false">
      <c r="A418" s="15" t="n">
        <v>414</v>
      </c>
      <c r="B418" s="16" t="n">
        <v>41.624</v>
      </c>
      <c r="C418" s="15" t="n">
        <v>5</v>
      </c>
      <c r="D418" s="15" t="n">
        <v>4</v>
      </c>
      <c r="E418" s="15" t="n">
        <v>5</v>
      </c>
      <c r="F418" s="15" t="n">
        <v>2</v>
      </c>
      <c r="G418" s="15" t="n">
        <v>4</v>
      </c>
      <c r="H418" s="15" t="n">
        <v>2</v>
      </c>
      <c r="I418" s="15" t="n">
        <v>4</v>
      </c>
      <c r="J418" s="15" t="n">
        <v>3</v>
      </c>
      <c r="K418" s="15" t="n">
        <v>5</v>
      </c>
      <c r="L418" s="16" t="n">
        <v>2.554</v>
      </c>
      <c r="M418" s="16" t="n">
        <v>3.697</v>
      </c>
      <c r="N418" s="15" t="n">
        <v>4</v>
      </c>
      <c r="O418" s="15" t="n">
        <v>1</v>
      </c>
      <c r="P418" s="15" t="n">
        <v>1</v>
      </c>
      <c r="Q418" s="15" t="n">
        <v>1</v>
      </c>
    </row>
    <row r="419" customFormat="false" ht="15" hidden="false" customHeight="false" outlineLevel="0" collapsed="false">
      <c r="A419" s="15" t="n">
        <v>415</v>
      </c>
      <c r="B419" s="16" t="n">
        <v>41.724</v>
      </c>
      <c r="C419" s="15" t="n">
        <v>5</v>
      </c>
      <c r="D419" s="15" t="n">
        <v>4</v>
      </c>
      <c r="E419" s="15" t="n">
        <v>5</v>
      </c>
      <c r="F419" s="15" t="n">
        <v>3</v>
      </c>
      <c r="G419" s="15" t="n">
        <v>4</v>
      </c>
      <c r="H419" s="15" t="n">
        <v>2</v>
      </c>
      <c r="I419" s="15" t="n">
        <v>4</v>
      </c>
      <c r="J419" s="15" t="n">
        <v>3</v>
      </c>
      <c r="K419" s="15" t="n">
        <v>5</v>
      </c>
      <c r="L419" s="16" t="n">
        <v>2.617</v>
      </c>
      <c r="M419" s="16" t="n">
        <v>3.978</v>
      </c>
      <c r="N419" s="15" t="n">
        <v>5</v>
      </c>
      <c r="O419" s="15" t="n">
        <v>1</v>
      </c>
      <c r="P419" s="15" t="n">
        <v>1</v>
      </c>
      <c r="Q419" s="15" t="n">
        <v>1</v>
      </c>
    </row>
    <row r="420" customFormat="false" ht="15" hidden="false" customHeight="false" outlineLevel="0" collapsed="false">
      <c r="A420" s="15" t="n">
        <v>416</v>
      </c>
      <c r="B420" s="16" t="n">
        <v>41.823</v>
      </c>
      <c r="C420" s="15" t="n">
        <v>5</v>
      </c>
      <c r="D420" s="15" t="n">
        <v>4</v>
      </c>
      <c r="E420" s="15" t="n">
        <v>5</v>
      </c>
      <c r="F420" s="15" t="n">
        <v>2</v>
      </c>
      <c r="G420" s="15" t="n">
        <v>4</v>
      </c>
      <c r="H420" s="15" t="n">
        <v>2</v>
      </c>
      <c r="I420" s="15" t="n">
        <v>4</v>
      </c>
      <c r="J420" s="15" t="n">
        <v>3</v>
      </c>
      <c r="K420" s="15" t="n">
        <v>5</v>
      </c>
      <c r="L420" s="16" t="n">
        <v>3.005</v>
      </c>
      <c r="M420" s="16" t="n">
        <v>4</v>
      </c>
      <c r="N420" s="15" t="n">
        <v>4</v>
      </c>
      <c r="O420" s="15" t="n">
        <v>1</v>
      </c>
      <c r="P420" s="15" t="n">
        <v>1</v>
      </c>
      <c r="Q420" s="15" t="n">
        <v>1</v>
      </c>
    </row>
    <row r="421" customFormat="false" ht="15" hidden="false" customHeight="false" outlineLevel="0" collapsed="false">
      <c r="A421" s="15" t="n">
        <v>417</v>
      </c>
      <c r="B421" s="16" t="n">
        <v>41.921</v>
      </c>
      <c r="C421" s="15" t="n">
        <v>5</v>
      </c>
      <c r="D421" s="15" t="n">
        <v>4</v>
      </c>
      <c r="E421" s="15" t="n">
        <v>4</v>
      </c>
      <c r="F421" s="15" t="n">
        <v>2</v>
      </c>
      <c r="G421" s="15" t="n">
        <v>4</v>
      </c>
      <c r="H421" s="15" t="n">
        <v>2</v>
      </c>
      <c r="I421" s="15" t="n">
        <v>4</v>
      </c>
      <c r="J421" s="15" t="n">
        <v>3</v>
      </c>
      <c r="K421" s="15" t="n">
        <v>5</v>
      </c>
      <c r="L421" s="16" t="n">
        <v>2.978</v>
      </c>
      <c r="M421" s="16" t="n">
        <v>4</v>
      </c>
      <c r="N421" s="15" t="n">
        <v>4</v>
      </c>
      <c r="O421" s="15" t="n">
        <v>1</v>
      </c>
      <c r="P421" s="15" t="n">
        <v>1</v>
      </c>
      <c r="Q421" s="15" t="n">
        <v>1</v>
      </c>
    </row>
    <row r="422" customFormat="false" ht="15" hidden="false" customHeight="false" outlineLevel="0" collapsed="false">
      <c r="A422" s="15" t="n">
        <v>418</v>
      </c>
      <c r="B422" s="16" t="n">
        <v>42.02</v>
      </c>
      <c r="C422" s="15" t="n">
        <v>5</v>
      </c>
      <c r="D422" s="15" t="n">
        <v>4</v>
      </c>
      <c r="E422" s="15" t="n">
        <v>4</v>
      </c>
      <c r="F422" s="15" t="n">
        <v>3</v>
      </c>
      <c r="G422" s="15" t="n">
        <v>4</v>
      </c>
      <c r="H422" s="15" t="n">
        <v>2</v>
      </c>
      <c r="I422" s="15" t="n">
        <v>4</v>
      </c>
      <c r="J422" s="15" t="n">
        <v>3</v>
      </c>
      <c r="K422" s="15" t="n">
        <v>5</v>
      </c>
      <c r="L422" s="16" t="n">
        <v>3.071</v>
      </c>
      <c r="M422" s="16" t="n">
        <v>4</v>
      </c>
      <c r="N422" s="15" t="n">
        <v>5</v>
      </c>
      <c r="O422" s="15" t="n">
        <v>1</v>
      </c>
      <c r="P422" s="15" t="n">
        <v>1</v>
      </c>
      <c r="Q422" s="15" t="n">
        <v>1</v>
      </c>
    </row>
    <row r="423" customFormat="false" ht="15" hidden="false" customHeight="false" outlineLevel="0" collapsed="false">
      <c r="A423" s="15" t="n">
        <v>419</v>
      </c>
      <c r="B423" s="16" t="n">
        <v>42.118</v>
      </c>
      <c r="C423" s="15" t="n">
        <v>5</v>
      </c>
      <c r="D423" s="15" t="n">
        <v>4</v>
      </c>
      <c r="E423" s="15" t="n">
        <v>4</v>
      </c>
      <c r="F423" s="15" t="n">
        <v>2</v>
      </c>
      <c r="G423" s="15" t="n">
        <v>4</v>
      </c>
      <c r="H423" s="15" t="n">
        <v>2</v>
      </c>
      <c r="I423" s="15" t="n">
        <v>3</v>
      </c>
      <c r="J423" s="15" t="n">
        <v>3</v>
      </c>
      <c r="K423" s="15" t="n">
        <v>5</v>
      </c>
      <c r="L423" s="16" t="n">
        <v>2.969</v>
      </c>
      <c r="M423" s="16" t="n">
        <v>3.878</v>
      </c>
      <c r="N423" s="15" t="n">
        <v>5</v>
      </c>
      <c r="O423" s="15" t="n">
        <v>1</v>
      </c>
      <c r="P423" s="15" t="n">
        <v>1</v>
      </c>
      <c r="Q423" s="15" t="n">
        <v>1</v>
      </c>
    </row>
    <row r="424" customFormat="false" ht="15" hidden="false" customHeight="false" outlineLevel="0" collapsed="false">
      <c r="A424" s="15" t="n">
        <v>420</v>
      </c>
      <c r="B424" s="16" t="n">
        <v>42.217</v>
      </c>
      <c r="C424" s="15" t="n">
        <v>5</v>
      </c>
      <c r="D424" s="15" t="n">
        <v>4</v>
      </c>
      <c r="E424" s="15" t="n">
        <v>4</v>
      </c>
      <c r="F424" s="15" t="n">
        <v>2</v>
      </c>
      <c r="G424" s="15" t="n">
        <v>4</v>
      </c>
      <c r="H424" s="15" t="n">
        <v>2</v>
      </c>
      <c r="I424" s="15" t="n">
        <v>3</v>
      </c>
      <c r="J424" s="15" t="n">
        <v>3</v>
      </c>
      <c r="K424" s="15" t="n">
        <v>5</v>
      </c>
      <c r="L424" s="16" t="n">
        <v>2.851</v>
      </c>
      <c r="M424" s="16" t="n">
        <v>3.795</v>
      </c>
      <c r="N424" s="15" t="n">
        <v>5</v>
      </c>
      <c r="O424" s="15" t="n">
        <v>1</v>
      </c>
      <c r="P424" s="15" t="n">
        <v>1</v>
      </c>
      <c r="Q424" s="15" t="n">
        <v>1</v>
      </c>
    </row>
    <row r="425" customFormat="false" ht="15" hidden="false" customHeight="false" outlineLevel="0" collapsed="false">
      <c r="A425" s="15" t="n">
        <v>421</v>
      </c>
      <c r="B425" s="16" t="n">
        <v>42.317</v>
      </c>
      <c r="C425" s="15" t="n">
        <v>5</v>
      </c>
      <c r="D425" s="15" t="n">
        <v>4</v>
      </c>
      <c r="E425" s="15" t="n">
        <v>5</v>
      </c>
      <c r="F425" s="15" t="n">
        <v>2</v>
      </c>
      <c r="G425" s="15" t="n">
        <v>4</v>
      </c>
      <c r="H425" s="15" t="n">
        <v>2</v>
      </c>
      <c r="I425" s="15" t="n">
        <v>3</v>
      </c>
      <c r="J425" s="15" t="n">
        <v>3</v>
      </c>
      <c r="K425" s="15" t="n">
        <v>5</v>
      </c>
      <c r="L425" s="16" t="n">
        <v>2.961</v>
      </c>
      <c r="M425" s="16" t="n">
        <v>3.756</v>
      </c>
      <c r="N425" s="15" t="n">
        <v>5</v>
      </c>
      <c r="O425" s="15" t="n">
        <v>1</v>
      </c>
      <c r="P425" s="15" t="n">
        <v>1</v>
      </c>
      <c r="Q425" s="15" t="n">
        <v>1</v>
      </c>
    </row>
    <row r="426" customFormat="false" ht="15" hidden="false" customHeight="false" outlineLevel="0" collapsed="false">
      <c r="A426" s="15" t="n">
        <v>422</v>
      </c>
      <c r="B426" s="16" t="n">
        <v>42.417</v>
      </c>
      <c r="C426" s="15" t="n">
        <v>5</v>
      </c>
      <c r="D426" s="15" t="n">
        <v>4</v>
      </c>
      <c r="E426" s="15" t="n">
        <v>4</v>
      </c>
      <c r="F426" s="15" t="n">
        <v>2</v>
      </c>
      <c r="G426" s="15" t="n">
        <v>4</v>
      </c>
      <c r="H426" s="15" t="n">
        <v>2</v>
      </c>
      <c r="I426" s="15" t="n">
        <v>3</v>
      </c>
      <c r="J426" s="15" t="n">
        <v>3</v>
      </c>
      <c r="K426" s="15" t="n">
        <v>5</v>
      </c>
      <c r="L426" s="16" t="n">
        <v>2.914</v>
      </c>
      <c r="M426" s="16" t="n">
        <v>3.977</v>
      </c>
      <c r="N426" s="15" t="n">
        <v>5</v>
      </c>
      <c r="O426" s="15" t="n">
        <v>1</v>
      </c>
      <c r="P426" s="15" t="n">
        <v>1</v>
      </c>
      <c r="Q426" s="15" t="n">
        <v>1</v>
      </c>
    </row>
    <row r="427" customFormat="false" ht="15" hidden="false" customHeight="false" outlineLevel="0" collapsed="false">
      <c r="A427" s="15" t="n">
        <v>423</v>
      </c>
      <c r="B427" s="16" t="n">
        <v>42.517</v>
      </c>
      <c r="C427" s="15" t="n">
        <v>5</v>
      </c>
      <c r="D427" s="15" t="n">
        <v>4</v>
      </c>
      <c r="E427" s="15" t="n">
        <v>4</v>
      </c>
      <c r="F427" s="15" t="n">
        <v>2</v>
      </c>
      <c r="G427" s="15" t="n">
        <v>4</v>
      </c>
      <c r="H427" s="15" t="n">
        <v>2</v>
      </c>
      <c r="I427" s="15" t="n">
        <v>3</v>
      </c>
      <c r="J427" s="15" t="n">
        <v>3</v>
      </c>
      <c r="K427" s="15" t="n">
        <v>5</v>
      </c>
      <c r="L427" s="16" t="n">
        <v>3.044</v>
      </c>
      <c r="M427" s="16" t="n">
        <v>3.949</v>
      </c>
      <c r="N427" s="15" t="n">
        <v>5</v>
      </c>
      <c r="O427" s="15" t="n">
        <v>1</v>
      </c>
      <c r="P427" s="15" t="n">
        <v>1</v>
      </c>
      <c r="Q427" s="15" t="n">
        <v>1</v>
      </c>
    </row>
    <row r="428" customFormat="false" ht="15" hidden="false" customHeight="false" outlineLevel="0" collapsed="false">
      <c r="A428" s="15" t="n">
        <v>424</v>
      </c>
      <c r="B428" s="16" t="n">
        <v>42.617</v>
      </c>
      <c r="C428" s="15" t="n">
        <v>5</v>
      </c>
      <c r="D428" s="15" t="n">
        <v>4</v>
      </c>
      <c r="E428" s="15" t="n">
        <v>4</v>
      </c>
      <c r="F428" s="15" t="n">
        <v>3</v>
      </c>
      <c r="G428" s="15" t="n">
        <v>4</v>
      </c>
      <c r="H428" s="15" t="n">
        <v>2</v>
      </c>
      <c r="I428" s="15" t="n">
        <v>3</v>
      </c>
      <c r="J428" s="15" t="n">
        <v>3</v>
      </c>
      <c r="K428" s="15" t="n">
        <v>5</v>
      </c>
      <c r="L428" s="16" t="n">
        <v>3.078</v>
      </c>
      <c r="M428" s="16" t="n">
        <v>3.903</v>
      </c>
      <c r="N428" s="15" t="n">
        <v>5</v>
      </c>
      <c r="O428" s="15" t="n">
        <v>1</v>
      </c>
      <c r="P428" s="15" t="n">
        <v>1</v>
      </c>
      <c r="Q428" s="15" t="n">
        <v>1</v>
      </c>
    </row>
    <row r="429" customFormat="false" ht="15" hidden="false" customHeight="false" outlineLevel="0" collapsed="false">
      <c r="A429" s="15" t="n">
        <v>425</v>
      </c>
      <c r="B429" s="16" t="n">
        <v>42.716</v>
      </c>
      <c r="C429" s="15" t="n">
        <v>5</v>
      </c>
      <c r="D429" s="15" t="n">
        <v>4</v>
      </c>
      <c r="E429" s="15" t="n">
        <v>4</v>
      </c>
      <c r="F429" s="15" t="n">
        <v>2</v>
      </c>
      <c r="G429" s="15" t="n">
        <v>4</v>
      </c>
      <c r="H429" s="15" t="n">
        <v>2</v>
      </c>
      <c r="I429" s="15" t="n">
        <v>3</v>
      </c>
      <c r="J429" s="15" t="n">
        <v>3</v>
      </c>
      <c r="K429" s="15" t="n">
        <v>5</v>
      </c>
      <c r="L429" s="16" t="n">
        <v>3.053</v>
      </c>
      <c r="M429" s="16" t="n">
        <v>3.822</v>
      </c>
      <c r="N429" s="15" t="n">
        <v>5</v>
      </c>
      <c r="O429" s="15" t="n">
        <v>1</v>
      </c>
      <c r="P429" s="15" t="n">
        <v>2</v>
      </c>
      <c r="Q429" s="15" t="n">
        <v>1</v>
      </c>
    </row>
    <row r="430" customFormat="false" ht="15" hidden="false" customHeight="false" outlineLevel="0" collapsed="false">
      <c r="A430" s="15" t="n">
        <v>426</v>
      </c>
      <c r="B430" s="16" t="n">
        <v>42.816</v>
      </c>
      <c r="C430" s="15" t="n">
        <v>5</v>
      </c>
      <c r="D430" s="15" t="n">
        <v>4</v>
      </c>
      <c r="E430" s="15" t="n">
        <v>5</v>
      </c>
      <c r="F430" s="15" t="n">
        <v>2</v>
      </c>
      <c r="G430" s="15" t="n">
        <v>4</v>
      </c>
      <c r="H430" s="15" t="n">
        <v>2</v>
      </c>
      <c r="I430" s="15" t="n">
        <v>5</v>
      </c>
      <c r="J430" s="15" t="n">
        <v>3</v>
      </c>
      <c r="K430" s="15" t="n">
        <v>5</v>
      </c>
      <c r="L430" s="16" t="n">
        <v>3.022</v>
      </c>
      <c r="M430" s="16" t="n">
        <v>3.806</v>
      </c>
      <c r="N430" s="15" t="n">
        <v>5</v>
      </c>
      <c r="O430" s="15" t="n">
        <v>1</v>
      </c>
      <c r="P430" s="15" t="n">
        <v>2</v>
      </c>
      <c r="Q430" s="15" t="n">
        <v>1</v>
      </c>
    </row>
    <row r="431" customFormat="false" ht="15" hidden="false" customHeight="false" outlineLevel="0" collapsed="false">
      <c r="A431" s="15" t="n">
        <v>427</v>
      </c>
      <c r="B431" s="16" t="n">
        <v>42.915</v>
      </c>
      <c r="C431" s="15" t="n">
        <v>5</v>
      </c>
      <c r="D431" s="15" t="n">
        <v>4</v>
      </c>
      <c r="E431" s="15" t="n">
        <v>5</v>
      </c>
      <c r="F431" s="15" t="n">
        <v>3</v>
      </c>
      <c r="G431" s="15" t="n">
        <v>4</v>
      </c>
      <c r="H431" s="15" t="n">
        <v>2</v>
      </c>
      <c r="I431" s="15" t="n">
        <v>5</v>
      </c>
      <c r="J431" s="15" t="n">
        <v>3</v>
      </c>
      <c r="K431" s="15" t="n">
        <v>5</v>
      </c>
      <c r="L431" s="16" t="n">
        <v>2.917</v>
      </c>
      <c r="M431" s="16" t="n">
        <v>3.633</v>
      </c>
      <c r="N431" s="15" t="n">
        <v>5</v>
      </c>
      <c r="O431" s="15" t="n">
        <v>1</v>
      </c>
      <c r="P431" s="15" t="n">
        <v>2</v>
      </c>
      <c r="Q431" s="15" t="n">
        <v>1</v>
      </c>
    </row>
    <row r="432" customFormat="false" ht="15" hidden="false" customHeight="false" outlineLevel="0" collapsed="false">
      <c r="A432" s="15" t="n">
        <v>428</v>
      </c>
      <c r="B432" s="16" t="n">
        <v>43.014</v>
      </c>
      <c r="C432" s="15" t="n">
        <v>5</v>
      </c>
      <c r="D432" s="15" t="n">
        <v>4</v>
      </c>
      <c r="E432" s="15" t="n">
        <v>5</v>
      </c>
      <c r="F432" s="15" t="n">
        <v>2</v>
      </c>
      <c r="G432" s="15" t="n">
        <v>4</v>
      </c>
      <c r="H432" s="15" t="n">
        <v>2</v>
      </c>
      <c r="I432" s="15" t="n">
        <v>4</v>
      </c>
      <c r="J432" s="15" t="n">
        <v>3</v>
      </c>
      <c r="K432" s="15" t="n">
        <v>5</v>
      </c>
      <c r="L432" s="16" t="n">
        <v>2.961</v>
      </c>
      <c r="M432" s="16" t="n">
        <v>3.374</v>
      </c>
      <c r="N432" s="15" t="n">
        <v>5</v>
      </c>
      <c r="O432" s="15" t="n">
        <v>1</v>
      </c>
      <c r="P432" s="15" t="n">
        <v>2</v>
      </c>
      <c r="Q432" s="15" t="n">
        <v>1</v>
      </c>
    </row>
    <row r="433" customFormat="false" ht="15" hidden="false" customHeight="false" outlineLevel="0" collapsed="false">
      <c r="A433" s="15" t="n">
        <v>429</v>
      </c>
      <c r="B433" s="16" t="n">
        <v>43.113</v>
      </c>
      <c r="C433" s="15" t="n">
        <v>4</v>
      </c>
      <c r="D433" s="15" t="n">
        <v>4</v>
      </c>
      <c r="E433" s="15" t="n">
        <v>5</v>
      </c>
      <c r="F433" s="15" t="n">
        <v>2</v>
      </c>
      <c r="G433" s="15" t="n">
        <v>4</v>
      </c>
      <c r="H433" s="15" t="n">
        <v>2</v>
      </c>
      <c r="I433" s="15" t="n">
        <v>5</v>
      </c>
      <c r="J433" s="15" t="n">
        <v>3</v>
      </c>
      <c r="K433" s="15" t="n">
        <v>5</v>
      </c>
      <c r="L433" s="16" t="n">
        <v>2.711</v>
      </c>
      <c r="M433" s="16" t="n">
        <v>3.339</v>
      </c>
      <c r="N433" s="15" t="n">
        <v>5</v>
      </c>
      <c r="O433" s="15" t="n">
        <v>1</v>
      </c>
      <c r="P433" s="15" t="n">
        <v>2</v>
      </c>
      <c r="Q433" s="15" t="n">
        <v>1</v>
      </c>
    </row>
    <row r="434" customFormat="false" ht="15" hidden="false" customHeight="false" outlineLevel="0" collapsed="false">
      <c r="A434" s="15" t="n">
        <v>430</v>
      </c>
      <c r="B434" s="16" t="n">
        <v>43.212</v>
      </c>
      <c r="C434" s="15" t="n">
        <v>5</v>
      </c>
      <c r="D434" s="15" t="n">
        <v>4</v>
      </c>
      <c r="E434" s="15" t="n">
        <v>5</v>
      </c>
      <c r="F434" s="15" t="n">
        <v>2</v>
      </c>
      <c r="G434" s="15" t="n">
        <v>4</v>
      </c>
      <c r="H434" s="15" t="n">
        <v>2</v>
      </c>
      <c r="I434" s="15" t="n">
        <v>4</v>
      </c>
      <c r="J434" s="15" t="n">
        <v>3</v>
      </c>
      <c r="K434" s="15" t="n">
        <v>5</v>
      </c>
      <c r="L434" s="16" t="n">
        <v>2.693</v>
      </c>
      <c r="M434" s="16" t="n">
        <v>3.462</v>
      </c>
      <c r="N434" s="15" t="n">
        <v>4</v>
      </c>
      <c r="O434" s="15" t="n">
        <v>1</v>
      </c>
      <c r="P434" s="15" t="n">
        <v>2</v>
      </c>
      <c r="Q434" s="15" t="n">
        <v>1</v>
      </c>
    </row>
    <row r="435" customFormat="false" ht="15" hidden="false" customHeight="false" outlineLevel="0" collapsed="false">
      <c r="A435" s="15" t="n">
        <v>431</v>
      </c>
      <c r="B435" s="16" t="n">
        <v>43.311</v>
      </c>
      <c r="C435" s="15" t="n">
        <v>5</v>
      </c>
      <c r="D435" s="15" t="n">
        <v>4</v>
      </c>
      <c r="E435" s="15" t="n">
        <v>5</v>
      </c>
      <c r="F435" s="15" t="n">
        <v>2</v>
      </c>
      <c r="G435" s="15" t="n">
        <v>4</v>
      </c>
      <c r="H435" s="15" t="n">
        <v>2</v>
      </c>
      <c r="I435" s="15" t="n">
        <v>4</v>
      </c>
      <c r="J435" s="15" t="n">
        <v>3</v>
      </c>
      <c r="K435" s="15" t="n">
        <v>5</v>
      </c>
      <c r="L435" s="16" t="n">
        <v>2.667</v>
      </c>
      <c r="M435" s="16" t="n">
        <v>3.486</v>
      </c>
      <c r="N435" s="15" t="n">
        <v>4</v>
      </c>
      <c r="O435" s="15" t="n">
        <v>1</v>
      </c>
      <c r="P435" s="15" t="n">
        <v>2</v>
      </c>
      <c r="Q435" s="15" t="n">
        <v>1</v>
      </c>
    </row>
    <row r="436" customFormat="false" ht="15" hidden="false" customHeight="false" outlineLevel="0" collapsed="false">
      <c r="A436" s="15" t="n">
        <v>432</v>
      </c>
      <c r="B436" s="16" t="n">
        <v>43.41</v>
      </c>
      <c r="C436" s="15" t="n">
        <v>5</v>
      </c>
      <c r="D436" s="15" t="n">
        <v>4</v>
      </c>
      <c r="E436" s="15" t="n">
        <v>5</v>
      </c>
      <c r="F436" s="15" t="n">
        <v>2</v>
      </c>
      <c r="G436" s="15" t="n">
        <v>4</v>
      </c>
      <c r="H436" s="15" t="n">
        <v>2</v>
      </c>
      <c r="I436" s="15" t="n">
        <v>4</v>
      </c>
      <c r="J436" s="15" t="n">
        <v>3</v>
      </c>
      <c r="K436" s="15" t="n">
        <v>5</v>
      </c>
      <c r="L436" s="16" t="n">
        <v>2.659</v>
      </c>
      <c r="M436" s="16" t="n">
        <v>3.717</v>
      </c>
      <c r="N436" s="15" t="n">
        <v>4</v>
      </c>
      <c r="O436" s="15" t="n">
        <v>1</v>
      </c>
      <c r="P436" s="15" t="n">
        <v>2</v>
      </c>
      <c r="Q436" s="15" t="n">
        <v>2</v>
      </c>
    </row>
    <row r="437" customFormat="false" ht="15" hidden="false" customHeight="false" outlineLevel="0" collapsed="false">
      <c r="A437" s="15" t="n">
        <v>433</v>
      </c>
      <c r="B437" s="16" t="n">
        <v>43.51</v>
      </c>
      <c r="C437" s="15" t="n">
        <v>5</v>
      </c>
      <c r="D437" s="15" t="n">
        <v>4</v>
      </c>
      <c r="E437" s="15" t="n">
        <v>5</v>
      </c>
      <c r="F437" s="15" t="n">
        <v>2</v>
      </c>
      <c r="G437" s="15" t="n">
        <v>4</v>
      </c>
      <c r="H437" s="15" t="n">
        <v>2</v>
      </c>
      <c r="I437" s="15" t="n">
        <v>5</v>
      </c>
      <c r="J437" s="15" t="n">
        <v>3</v>
      </c>
      <c r="K437" s="15" t="n">
        <v>5</v>
      </c>
      <c r="L437" s="16" t="n">
        <v>2.323</v>
      </c>
      <c r="M437" s="16" t="n">
        <v>3.856</v>
      </c>
      <c r="N437" s="15" t="n">
        <v>4</v>
      </c>
      <c r="O437" s="15" t="n">
        <v>1</v>
      </c>
      <c r="P437" s="15" t="n">
        <v>2</v>
      </c>
      <c r="Q437" s="15" t="n">
        <v>1</v>
      </c>
    </row>
    <row r="438" customFormat="false" ht="15" hidden="false" customHeight="false" outlineLevel="0" collapsed="false">
      <c r="A438" s="15" t="n">
        <v>434</v>
      </c>
      <c r="B438" s="16" t="n">
        <v>43.609</v>
      </c>
      <c r="C438" s="15" t="n">
        <v>5</v>
      </c>
      <c r="D438" s="15" t="n">
        <v>4</v>
      </c>
      <c r="E438" s="15" t="n">
        <v>5</v>
      </c>
      <c r="F438" s="15" t="n">
        <v>3</v>
      </c>
      <c r="G438" s="15" t="n">
        <v>4</v>
      </c>
      <c r="H438" s="15" t="n">
        <v>2</v>
      </c>
      <c r="I438" s="15" t="n">
        <v>5</v>
      </c>
      <c r="J438" s="15" t="n">
        <v>3</v>
      </c>
      <c r="K438" s="15" t="n">
        <v>5</v>
      </c>
      <c r="L438" s="16" t="n">
        <v>2.566</v>
      </c>
      <c r="M438" s="16" t="n">
        <v>3.432</v>
      </c>
      <c r="N438" s="15" t="n">
        <v>4</v>
      </c>
      <c r="O438" s="15" t="n">
        <v>1</v>
      </c>
      <c r="P438" s="15" t="n">
        <v>2</v>
      </c>
      <c r="Q438" s="15" t="n">
        <v>1</v>
      </c>
    </row>
    <row r="439" customFormat="false" ht="15" hidden="false" customHeight="false" outlineLevel="0" collapsed="false">
      <c r="A439" s="15" t="n">
        <v>435</v>
      </c>
      <c r="B439" s="16" t="n">
        <v>43.709</v>
      </c>
      <c r="C439" s="15" t="n">
        <v>5</v>
      </c>
      <c r="D439" s="15" t="n">
        <v>4</v>
      </c>
      <c r="E439" s="15" t="n">
        <v>5</v>
      </c>
      <c r="F439" s="15" t="n">
        <v>2</v>
      </c>
      <c r="G439" s="15" t="n">
        <v>4</v>
      </c>
      <c r="H439" s="15" t="n">
        <v>2</v>
      </c>
      <c r="I439" s="15" t="n">
        <v>5</v>
      </c>
      <c r="J439" s="15" t="n">
        <v>3</v>
      </c>
      <c r="K439" s="15" t="n">
        <v>5</v>
      </c>
      <c r="L439" s="16" t="n">
        <v>3.001</v>
      </c>
      <c r="M439" s="16" t="n">
        <v>2.875</v>
      </c>
      <c r="N439" s="15" t="n">
        <v>4</v>
      </c>
      <c r="O439" s="15" t="n">
        <v>1</v>
      </c>
      <c r="P439" s="15" t="n">
        <v>2</v>
      </c>
      <c r="Q439" s="15" t="n">
        <v>1</v>
      </c>
    </row>
    <row r="440" customFormat="false" ht="15" hidden="false" customHeight="false" outlineLevel="0" collapsed="false">
      <c r="A440" s="15" t="n">
        <v>436</v>
      </c>
      <c r="B440" s="16" t="n">
        <v>43.808</v>
      </c>
      <c r="C440" s="15" t="n">
        <v>5</v>
      </c>
      <c r="D440" s="15" t="n">
        <v>4</v>
      </c>
      <c r="E440" s="15" t="n">
        <v>5</v>
      </c>
      <c r="F440" s="15" t="n">
        <v>2</v>
      </c>
      <c r="G440" s="15" t="n">
        <v>4</v>
      </c>
      <c r="H440" s="15" t="n">
        <v>2</v>
      </c>
      <c r="I440" s="15" t="n">
        <v>3</v>
      </c>
      <c r="J440" s="15" t="n">
        <v>3</v>
      </c>
      <c r="K440" s="15" t="n">
        <v>5</v>
      </c>
      <c r="L440" s="16" t="n">
        <v>2.584</v>
      </c>
      <c r="M440" s="16" t="n">
        <v>2.819</v>
      </c>
      <c r="N440" s="15" t="n">
        <v>4</v>
      </c>
      <c r="O440" s="15" t="n">
        <v>1</v>
      </c>
      <c r="P440" s="15" t="n">
        <v>2</v>
      </c>
      <c r="Q440" s="15" t="n">
        <v>1</v>
      </c>
    </row>
    <row r="441" customFormat="false" ht="15" hidden="false" customHeight="false" outlineLevel="0" collapsed="false">
      <c r="A441" s="15" t="n">
        <v>437</v>
      </c>
      <c r="B441" s="16" t="n">
        <v>43.908</v>
      </c>
      <c r="C441" s="15" t="n">
        <v>5</v>
      </c>
      <c r="D441" s="15" t="n">
        <v>4</v>
      </c>
      <c r="E441" s="15" t="n">
        <v>5</v>
      </c>
      <c r="F441" s="15" t="n">
        <v>3</v>
      </c>
      <c r="G441" s="15" t="n">
        <v>4</v>
      </c>
      <c r="H441" s="15" t="n">
        <v>2</v>
      </c>
      <c r="I441" s="15" t="n">
        <v>3</v>
      </c>
      <c r="J441" s="15" t="n">
        <v>3</v>
      </c>
      <c r="K441" s="15" t="n">
        <v>5</v>
      </c>
      <c r="L441" s="16" t="n">
        <v>2.202</v>
      </c>
      <c r="M441" s="16" t="n">
        <v>2.908</v>
      </c>
      <c r="N441" s="15" t="n">
        <v>4</v>
      </c>
      <c r="O441" s="15" t="n">
        <v>1</v>
      </c>
      <c r="P441" s="15" t="n">
        <v>2</v>
      </c>
      <c r="Q441" s="15" t="n">
        <v>1</v>
      </c>
    </row>
    <row r="442" customFormat="false" ht="15" hidden="false" customHeight="false" outlineLevel="0" collapsed="false">
      <c r="A442" s="15" t="n">
        <v>438</v>
      </c>
      <c r="B442" s="16" t="n">
        <v>44.008</v>
      </c>
      <c r="C442" s="15" t="n">
        <v>5</v>
      </c>
      <c r="D442" s="15" t="n">
        <v>5</v>
      </c>
      <c r="E442" s="15" t="n">
        <v>5</v>
      </c>
      <c r="F442" s="15" t="n">
        <v>3</v>
      </c>
      <c r="G442" s="15" t="n">
        <v>4</v>
      </c>
      <c r="H442" s="15" t="n">
        <v>2</v>
      </c>
      <c r="I442" s="15" t="n">
        <v>4</v>
      </c>
      <c r="J442" s="15" t="n">
        <v>3</v>
      </c>
      <c r="K442" s="15" t="n">
        <v>5</v>
      </c>
      <c r="L442" s="16" t="n">
        <v>2.166</v>
      </c>
      <c r="M442" s="16" t="n">
        <v>2.555</v>
      </c>
      <c r="N442" s="15" t="n">
        <v>4</v>
      </c>
      <c r="O442" s="15" t="n">
        <v>1</v>
      </c>
      <c r="P442" s="15" t="n">
        <v>2</v>
      </c>
      <c r="Q442" s="15" t="n">
        <v>1</v>
      </c>
    </row>
    <row r="443" customFormat="false" ht="15" hidden="false" customHeight="false" outlineLevel="0" collapsed="false">
      <c r="A443" s="15" t="n">
        <v>439</v>
      </c>
      <c r="B443" s="16" t="n">
        <v>44.108</v>
      </c>
      <c r="C443" s="15" t="n">
        <v>5</v>
      </c>
      <c r="D443" s="15" t="n">
        <v>5</v>
      </c>
      <c r="E443" s="15" t="n">
        <v>5</v>
      </c>
      <c r="F443" s="15" t="n">
        <v>3</v>
      </c>
      <c r="G443" s="15" t="n">
        <v>4</v>
      </c>
      <c r="H443" s="15" t="n">
        <v>2</v>
      </c>
      <c r="I443" s="15" t="n">
        <v>4</v>
      </c>
      <c r="J443" s="15" t="n">
        <v>3</v>
      </c>
      <c r="K443" s="15" t="n">
        <v>5</v>
      </c>
      <c r="L443" s="16" t="n">
        <v>2.204</v>
      </c>
      <c r="M443" s="16" t="n">
        <v>2.728</v>
      </c>
      <c r="N443" s="15" t="n">
        <v>4</v>
      </c>
      <c r="O443" s="15" t="n">
        <v>1</v>
      </c>
      <c r="P443" s="15" t="n">
        <v>2</v>
      </c>
      <c r="Q443" s="15" t="n">
        <v>1</v>
      </c>
    </row>
    <row r="444" customFormat="false" ht="15" hidden="false" customHeight="false" outlineLevel="0" collapsed="false">
      <c r="A444" s="15" t="n">
        <v>440</v>
      </c>
      <c r="B444" s="16" t="n">
        <v>44.208</v>
      </c>
      <c r="C444" s="15" t="n">
        <v>5</v>
      </c>
      <c r="D444" s="15" t="n">
        <v>5</v>
      </c>
      <c r="E444" s="15" t="n">
        <v>5</v>
      </c>
      <c r="F444" s="15" t="n">
        <v>2</v>
      </c>
      <c r="G444" s="15" t="n">
        <v>4</v>
      </c>
      <c r="H444" s="15" t="n">
        <v>2</v>
      </c>
      <c r="I444" s="15" t="n">
        <v>4</v>
      </c>
      <c r="J444" s="15" t="n">
        <v>3</v>
      </c>
      <c r="K444" s="15" t="n">
        <v>5</v>
      </c>
      <c r="L444" s="16" t="n">
        <v>2.041</v>
      </c>
      <c r="M444" s="16" t="n">
        <v>2.946</v>
      </c>
      <c r="N444" s="15" t="n">
        <v>4</v>
      </c>
      <c r="O444" s="15" t="n">
        <v>1</v>
      </c>
      <c r="P444" s="15" t="n">
        <v>2</v>
      </c>
      <c r="Q444" s="15" t="n">
        <v>1</v>
      </c>
    </row>
    <row r="445" customFormat="false" ht="15" hidden="false" customHeight="false" outlineLevel="0" collapsed="false">
      <c r="A445" s="15" t="n">
        <v>441</v>
      </c>
      <c r="B445" s="16" t="n">
        <v>44.307</v>
      </c>
      <c r="C445" s="15" t="n">
        <v>5</v>
      </c>
      <c r="D445" s="15" t="n">
        <v>5</v>
      </c>
      <c r="E445" s="15" t="n">
        <v>5</v>
      </c>
      <c r="F445" s="15" t="n">
        <v>3</v>
      </c>
      <c r="G445" s="15" t="n">
        <v>4</v>
      </c>
      <c r="H445" s="15" t="n">
        <v>2</v>
      </c>
      <c r="I445" s="15" t="n">
        <v>4</v>
      </c>
      <c r="J445" s="15" t="n">
        <v>3</v>
      </c>
      <c r="K445" s="15" t="n">
        <v>5</v>
      </c>
      <c r="L445" s="16" t="n">
        <v>2.027</v>
      </c>
      <c r="M445" s="16" t="n">
        <v>3.327</v>
      </c>
      <c r="N445" s="15" t="n">
        <v>4</v>
      </c>
      <c r="O445" s="15" t="n">
        <v>1</v>
      </c>
      <c r="P445" s="15" t="n">
        <v>2</v>
      </c>
      <c r="Q445" s="15" t="n">
        <v>1</v>
      </c>
    </row>
    <row r="446" customFormat="false" ht="15" hidden="false" customHeight="false" outlineLevel="0" collapsed="false">
      <c r="A446" s="15" t="n">
        <v>442</v>
      </c>
      <c r="B446" s="16" t="n">
        <v>44.407</v>
      </c>
      <c r="C446" s="15" t="n">
        <v>4</v>
      </c>
      <c r="D446" s="15" t="n">
        <v>5</v>
      </c>
      <c r="E446" s="15" t="n">
        <v>5</v>
      </c>
      <c r="F446" s="15" t="n">
        <v>2</v>
      </c>
      <c r="G446" s="15" t="n">
        <v>4</v>
      </c>
      <c r="H446" s="15" t="n">
        <v>2</v>
      </c>
      <c r="I446" s="15" t="n">
        <v>5</v>
      </c>
      <c r="J446" s="15" t="n">
        <v>3</v>
      </c>
      <c r="K446" s="15" t="n">
        <v>5</v>
      </c>
      <c r="L446" s="16" t="n">
        <v>2.587</v>
      </c>
      <c r="M446" s="16" t="n">
        <v>3.472</v>
      </c>
      <c r="N446" s="15" t="n">
        <v>4</v>
      </c>
      <c r="O446" s="15" t="n">
        <v>1</v>
      </c>
      <c r="P446" s="15" t="n">
        <v>2</v>
      </c>
      <c r="Q446" s="15" t="n">
        <v>1</v>
      </c>
    </row>
    <row r="447" customFormat="false" ht="15" hidden="false" customHeight="false" outlineLevel="0" collapsed="false">
      <c r="A447" s="15" t="n">
        <v>443</v>
      </c>
      <c r="B447" s="16" t="n">
        <v>44.506</v>
      </c>
      <c r="C447" s="15" t="n">
        <v>5</v>
      </c>
      <c r="D447" s="15" t="n">
        <v>5</v>
      </c>
      <c r="E447" s="15" t="n">
        <v>5</v>
      </c>
      <c r="F447" s="15" t="n">
        <v>3</v>
      </c>
      <c r="G447" s="15" t="n">
        <v>4</v>
      </c>
      <c r="H447" s="15" t="n">
        <v>2</v>
      </c>
      <c r="I447" s="15" t="n">
        <v>4</v>
      </c>
      <c r="J447" s="15" t="n">
        <v>3</v>
      </c>
      <c r="K447" s="15" t="n">
        <v>5</v>
      </c>
      <c r="L447" s="16" t="n">
        <v>2.642</v>
      </c>
      <c r="M447" s="16" t="n">
        <v>3.518</v>
      </c>
      <c r="N447" s="15" t="n">
        <v>4</v>
      </c>
      <c r="O447" s="15" t="n">
        <v>1</v>
      </c>
      <c r="P447" s="15" t="n">
        <v>2</v>
      </c>
      <c r="Q447" s="15" t="n">
        <v>1</v>
      </c>
    </row>
    <row r="448" customFormat="false" ht="15" hidden="false" customHeight="false" outlineLevel="0" collapsed="false">
      <c r="A448" s="15" t="n">
        <v>444</v>
      </c>
      <c r="B448" s="16" t="n">
        <v>44.606</v>
      </c>
      <c r="C448" s="15" t="n">
        <v>5</v>
      </c>
      <c r="D448" s="15" t="n">
        <v>5</v>
      </c>
      <c r="E448" s="15" t="n">
        <v>5</v>
      </c>
      <c r="F448" s="15" t="n">
        <v>4</v>
      </c>
      <c r="G448" s="15" t="n">
        <v>4</v>
      </c>
      <c r="H448" s="15" t="n">
        <v>2</v>
      </c>
      <c r="I448" s="15" t="n">
        <v>3</v>
      </c>
      <c r="J448" s="15" t="n">
        <v>3</v>
      </c>
      <c r="K448" s="15" t="n">
        <v>5</v>
      </c>
      <c r="L448" s="16" t="n">
        <v>2.066</v>
      </c>
      <c r="M448" s="16" t="n">
        <v>3.614</v>
      </c>
      <c r="N448" s="15" t="n">
        <v>4</v>
      </c>
      <c r="O448" s="15" t="n">
        <v>1</v>
      </c>
      <c r="P448" s="15" t="n">
        <v>2</v>
      </c>
      <c r="Q448" s="15" t="n">
        <v>1</v>
      </c>
    </row>
    <row r="449" customFormat="false" ht="15" hidden="false" customHeight="false" outlineLevel="0" collapsed="false">
      <c r="A449" s="15" t="n">
        <v>445</v>
      </c>
      <c r="B449" s="16" t="n">
        <v>44.704</v>
      </c>
      <c r="C449" s="15" t="n">
        <v>5</v>
      </c>
      <c r="D449" s="15" t="n">
        <v>5</v>
      </c>
      <c r="E449" s="15" t="n">
        <v>5</v>
      </c>
      <c r="F449" s="15" t="n">
        <v>3</v>
      </c>
      <c r="G449" s="15" t="n">
        <v>4</v>
      </c>
      <c r="H449" s="15" t="n">
        <v>2</v>
      </c>
      <c r="I449" s="15" t="n">
        <v>5</v>
      </c>
      <c r="J449" s="15" t="n">
        <v>3</v>
      </c>
      <c r="K449" s="15" t="n">
        <v>5</v>
      </c>
      <c r="L449" s="16" t="n">
        <v>2.385</v>
      </c>
      <c r="M449" s="16" t="n">
        <v>3.598</v>
      </c>
      <c r="N449" s="15" t="n">
        <v>4</v>
      </c>
      <c r="O449" s="15" t="n">
        <v>1</v>
      </c>
      <c r="P449" s="15" t="n">
        <v>2</v>
      </c>
      <c r="Q449" s="15" t="n">
        <v>1</v>
      </c>
    </row>
    <row r="450" customFormat="false" ht="15" hidden="false" customHeight="false" outlineLevel="0" collapsed="false">
      <c r="A450" s="15" t="n">
        <v>446</v>
      </c>
      <c r="B450" s="16" t="n">
        <v>44.803</v>
      </c>
      <c r="C450" s="15" t="n">
        <v>5</v>
      </c>
      <c r="D450" s="15" t="n">
        <v>5</v>
      </c>
      <c r="E450" s="15" t="n">
        <v>4</v>
      </c>
      <c r="F450" s="15" t="n">
        <v>3</v>
      </c>
      <c r="G450" s="15" t="n">
        <v>4</v>
      </c>
      <c r="H450" s="15" t="n">
        <v>2</v>
      </c>
      <c r="I450" s="15" t="n">
        <v>3</v>
      </c>
      <c r="J450" s="15" t="n">
        <v>3</v>
      </c>
      <c r="K450" s="15" t="n">
        <v>5</v>
      </c>
      <c r="L450" s="16" t="n">
        <v>2.498</v>
      </c>
      <c r="M450" s="16" t="n">
        <v>3.675</v>
      </c>
      <c r="N450" s="15" t="n">
        <v>4</v>
      </c>
      <c r="O450" s="15" t="n">
        <v>1</v>
      </c>
      <c r="P450" s="15" t="n">
        <v>2</v>
      </c>
      <c r="Q450" s="15" t="n">
        <v>1</v>
      </c>
    </row>
    <row r="451" customFormat="false" ht="15" hidden="false" customHeight="false" outlineLevel="0" collapsed="false">
      <c r="A451" s="15" t="n">
        <v>447</v>
      </c>
      <c r="B451" s="16" t="n">
        <v>44.902</v>
      </c>
      <c r="C451" s="15" t="n">
        <v>5</v>
      </c>
      <c r="D451" s="15" t="n">
        <v>5</v>
      </c>
      <c r="E451" s="15" t="n">
        <v>4</v>
      </c>
      <c r="F451" s="15" t="n">
        <v>3</v>
      </c>
      <c r="G451" s="15" t="n">
        <v>4</v>
      </c>
      <c r="H451" s="15" t="n">
        <v>2</v>
      </c>
      <c r="I451" s="15" t="n">
        <v>2</v>
      </c>
      <c r="J451" s="15" t="n">
        <v>3</v>
      </c>
      <c r="K451" s="15" t="n">
        <v>5</v>
      </c>
      <c r="L451" s="16" t="n">
        <v>2.668</v>
      </c>
      <c r="M451" s="16" t="n">
        <v>3.862</v>
      </c>
      <c r="N451" s="15" t="n">
        <v>4</v>
      </c>
      <c r="O451" s="15" t="n">
        <v>1</v>
      </c>
      <c r="P451" s="15" t="n">
        <v>2</v>
      </c>
      <c r="Q451" s="15" t="n">
        <v>1</v>
      </c>
    </row>
    <row r="452" customFormat="false" ht="15" hidden="false" customHeight="false" outlineLevel="0" collapsed="false">
      <c r="A452" s="15" t="n">
        <v>448</v>
      </c>
      <c r="B452" s="16" t="n">
        <v>45.001</v>
      </c>
      <c r="C452" s="15" t="n">
        <v>5</v>
      </c>
      <c r="D452" s="15" t="n">
        <v>5</v>
      </c>
      <c r="E452" s="15" t="n">
        <v>4</v>
      </c>
      <c r="F452" s="15" t="n">
        <v>3</v>
      </c>
      <c r="G452" s="15" t="n">
        <v>4</v>
      </c>
      <c r="H452" s="15" t="n">
        <v>2</v>
      </c>
      <c r="I452" s="15" t="n">
        <v>3</v>
      </c>
      <c r="J452" s="15" t="n">
        <v>3</v>
      </c>
      <c r="K452" s="15" t="n">
        <v>5</v>
      </c>
      <c r="L452" s="16" t="n">
        <v>2.657</v>
      </c>
      <c r="M452" s="16" t="n">
        <v>4</v>
      </c>
      <c r="N452" s="15" t="n">
        <v>4</v>
      </c>
      <c r="O452" s="15" t="n">
        <v>1</v>
      </c>
      <c r="P452" s="15" t="n">
        <v>2</v>
      </c>
      <c r="Q452" s="15" t="n">
        <v>1</v>
      </c>
    </row>
    <row r="453" customFormat="false" ht="15" hidden="false" customHeight="false" outlineLevel="0" collapsed="false">
      <c r="A453" s="15" t="n">
        <v>449</v>
      </c>
      <c r="B453" s="16" t="n">
        <v>45.101</v>
      </c>
      <c r="C453" s="15" t="n">
        <v>5</v>
      </c>
      <c r="D453" s="15" t="n">
        <v>5</v>
      </c>
      <c r="E453" s="15" t="n">
        <v>4</v>
      </c>
      <c r="F453" s="15" t="n">
        <v>2</v>
      </c>
      <c r="G453" s="15" t="n">
        <v>4</v>
      </c>
      <c r="H453" s="15" t="n">
        <v>2</v>
      </c>
      <c r="I453" s="15" t="n">
        <v>3</v>
      </c>
      <c r="J453" s="15" t="n">
        <v>3</v>
      </c>
      <c r="K453" s="15" t="n">
        <v>5</v>
      </c>
      <c r="L453" s="16" t="n">
        <v>2.85</v>
      </c>
      <c r="M453" s="16" t="n">
        <v>3.839</v>
      </c>
      <c r="N453" s="15" t="n">
        <v>4</v>
      </c>
      <c r="O453" s="15" t="n">
        <v>1</v>
      </c>
      <c r="P453" s="15" t="n">
        <v>2</v>
      </c>
      <c r="Q453" s="15" t="n">
        <v>1</v>
      </c>
    </row>
    <row r="454" customFormat="false" ht="15" hidden="false" customHeight="false" outlineLevel="0" collapsed="false">
      <c r="A454" s="15" t="n">
        <v>450</v>
      </c>
      <c r="B454" s="16" t="n">
        <v>45.2</v>
      </c>
      <c r="C454" s="15" t="n">
        <v>5</v>
      </c>
      <c r="D454" s="15" t="n">
        <v>5</v>
      </c>
      <c r="E454" s="15" t="n">
        <v>5</v>
      </c>
      <c r="F454" s="15" t="n">
        <v>2</v>
      </c>
      <c r="G454" s="15" t="n">
        <v>4</v>
      </c>
      <c r="H454" s="15" t="n">
        <v>2</v>
      </c>
      <c r="I454" s="15" t="n">
        <v>5</v>
      </c>
      <c r="J454" s="15" t="n">
        <v>3</v>
      </c>
      <c r="K454" s="15" t="n">
        <v>5</v>
      </c>
      <c r="L454" s="16" t="n">
        <v>2.71</v>
      </c>
      <c r="M454" s="16" t="n">
        <v>3.455</v>
      </c>
      <c r="N454" s="15" t="n">
        <v>4</v>
      </c>
      <c r="O454" s="15" t="n">
        <v>1</v>
      </c>
      <c r="P454" s="15" t="n">
        <v>2</v>
      </c>
      <c r="Q454" s="15" t="n">
        <v>1</v>
      </c>
    </row>
    <row r="455" customFormat="false" ht="15" hidden="false" customHeight="false" outlineLevel="0" collapsed="false">
      <c r="A455" s="15" t="n">
        <v>451</v>
      </c>
      <c r="B455" s="16" t="n">
        <v>45.3</v>
      </c>
      <c r="C455" s="15" t="n">
        <v>5</v>
      </c>
      <c r="D455" s="15" t="n">
        <v>5</v>
      </c>
      <c r="E455" s="15" t="n">
        <v>5</v>
      </c>
      <c r="F455" s="15" t="n">
        <v>3</v>
      </c>
      <c r="G455" s="15" t="n">
        <v>4</v>
      </c>
      <c r="H455" s="15" t="n">
        <v>2</v>
      </c>
      <c r="I455" s="15" t="n">
        <v>3</v>
      </c>
      <c r="J455" s="15" t="n">
        <v>3</v>
      </c>
      <c r="K455" s="15" t="n">
        <v>5</v>
      </c>
      <c r="L455" s="16" t="n">
        <v>2.008</v>
      </c>
      <c r="M455" s="16" t="n">
        <v>3.542</v>
      </c>
      <c r="N455" s="15" t="n">
        <v>4</v>
      </c>
      <c r="O455" s="15" t="n">
        <v>1</v>
      </c>
      <c r="P455" s="15" t="n">
        <v>2</v>
      </c>
      <c r="Q455" s="15" t="n">
        <v>1</v>
      </c>
    </row>
    <row r="456" customFormat="false" ht="15" hidden="false" customHeight="false" outlineLevel="0" collapsed="false">
      <c r="A456" s="15" t="n">
        <v>452</v>
      </c>
      <c r="B456" s="16" t="n">
        <v>45.4</v>
      </c>
      <c r="C456" s="15" t="n">
        <v>5</v>
      </c>
      <c r="D456" s="15" t="n">
        <v>5</v>
      </c>
      <c r="E456" s="15" t="n">
        <v>5</v>
      </c>
      <c r="F456" s="15" t="n">
        <v>3</v>
      </c>
      <c r="G456" s="15" t="n">
        <v>4</v>
      </c>
      <c r="H456" s="15" t="n">
        <v>2</v>
      </c>
      <c r="I456" s="15" t="n">
        <v>2</v>
      </c>
      <c r="J456" s="15" t="n">
        <v>3</v>
      </c>
      <c r="K456" s="15" t="n">
        <v>5</v>
      </c>
      <c r="L456" s="16" t="n">
        <v>1.865</v>
      </c>
      <c r="M456" s="16" t="n">
        <v>3.277</v>
      </c>
      <c r="N456" s="15" t="n">
        <v>4</v>
      </c>
      <c r="O456" s="15" t="n">
        <v>1</v>
      </c>
      <c r="P456" s="15" t="n">
        <v>2</v>
      </c>
      <c r="Q456" s="15" t="n">
        <v>3</v>
      </c>
    </row>
    <row r="457" customFormat="false" ht="15" hidden="false" customHeight="false" outlineLevel="0" collapsed="false">
      <c r="A457" s="15" t="n">
        <v>453</v>
      </c>
      <c r="B457" s="16" t="n">
        <v>45.5</v>
      </c>
      <c r="C457" s="15" t="n">
        <v>5</v>
      </c>
      <c r="D457" s="15" t="n">
        <v>5</v>
      </c>
      <c r="E457" s="15" t="n">
        <v>4</v>
      </c>
      <c r="F457" s="15" t="n">
        <v>3</v>
      </c>
      <c r="G457" s="15" t="n">
        <v>4</v>
      </c>
      <c r="H457" s="15" t="n">
        <v>2</v>
      </c>
      <c r="I457" s="15" t="n">
        <v>2</v>
      </c>
      <c r="J457" s="15" t="n">
        <v>3</v>
      </c>
      <c r="K457" s="15" t="n">
        <v>5</v>
      </c>
      <c r="L457" s="16" t="n">
        <v>1.901</v>
      </c>
      <c r="M457" s="16" t="n">
        <v>3.585</v>
      </c>
      <c r="N457" s="15" t="n">
        <v>4</v>
      </c>
      <c r="O457" s="15" t="n">
        <v>1</v>
      </c>
      <c r="P457" s="15" t="n">
        <v>2</v>
      </c>
      <c r="Q457" s="15" t="n">
        <v>1</v>
      </c>
    </row>
    <row r="458" customFormat="false" ht="15" hidden="false" customHeight="false" outlineLevel="0" collapsed="false">
      <c r="A458" s="15" t="n">
        <v>454</v>
      </c>
      <c r="B458" s="16" t="n">
        <v>45.6</v>
      </c>
      <c r="C458" s="15" t="n">
        <v>5</v>
      </c>
      <c r="D458" s="15" t="n">
        <v>5</v>
      </c>
      <c r="E458" s="15" t="n">
        <v>4</v>
      </c>
      <c r="F458" s="15" t="n">
        <v>4</v>
      </c>
      <c r="G458" s="15" t="n">
        <v>4</v>
      </c>
      <c r="H458" s="15" t="n">
        <v>1</v>
      </c>
      <c r="I458" s="15" t="n">
        <v>1</v>
      </c>
      <c r="J458" s="15" t="n">
        <v>3</v>
      </c>
      <c r="K458" s="15" t="n">
        <v>5</v>
      </c>
      <c r="L458" s="16" t="n">
        <v>2.223</v>
      </c>
      <c r="M458" s="16" t="n">
        <v>3.999</v>
      </c>
      <c r="N458" s="15" t="n">
        <v>4</v>
      </c>
      <c r="O458" s="15" t="n">
        <v>1</v>
      </c>
      <c r="P458" s="15" t="n">
        <v>2</v>
      </c>
      <c r="Q458" s="15" t="n">
        <v>1</v>
      </c>
    </row>
    <row r="459" customFormat="false" ht="15" hidden="false" customHeight="false" outlineLevel="0" collapsed="false">
      <c r="A459" s="15" t="n">
        <v>455</v>
      </c>
      <c r="B459" s="16" t="n">
        <v>45.7</v>
      </c>
      <c r="C459" s="15" t="n">
        <v>5</v>
      </c>
      <c r="D459" s="15" t="n">
        <v>5</v>
      </c>
      <c r="E459" s="15" t="n">
        <v>4</v>
      </c>
      <c r="F459" s="15" t="n">
        <v>4</v>
      </c>
      <c r="G459" s="15" t="n">
        <v>4</v>
      </c>
      <c r="H459" s="15" t="n">
        <v>1</v>
      </c>
      <c r="I459" s="15" t="n">
        <v>2</v>
      </c>
      <c r="J459" s="15" t="n">
        <v>3</v>
      </c>
      <c r="K459" s="15" t="n">
        <v>5</v>
      </c>
      <c r="L459" s="16" t="n">
        <v>2.167</v>
      </c>
      <c r="M459" s="16" t="n">
        <v>3.73</v>
      </c>
      <c r="N459" s="15" t="n">
        <v>4</v>
      </c>
      <c r="O459" s="15" t="n">
        <v>1</v>
      </c>
      <c r="P459" s="15" t="n">
        <v>2</v>
      </c>
      <c r="Q459" s="15" t="n">
        <v>1</v>
      </c>
    </row>
    <row r="460" customFormat="false" ht="15" hidden="false" customHeight="false" outlineLevel="0" collapsed="false">
      <c r="A460" s="15" t="n">
        <v>456</v>
      </c>
      <c r="B460" s="16" t="n">
        <v>45.8</v>
      </c>
      <c r="C460" s="15" t="n">
        <v>5</v>
      </c>
      <c r="D460" s="15" t="n">
        <v>5</v>
      </c>
      <c r="E460" s="15" t="n">
        <v>4</v>
      </c>
      <c r="F460" s="15" t="n">
        <v>3</v>
      </c>
      <c r="G460" s="15" t="n">
        <v>4</v>
      </c>
      <c r="H460" s="15" t="n">
        <v>1</v>
      </c>
      <c r="I460" s="15" t="n">
        <v>2</v>
      </c>
      <c r="J460" s="15" t="n">
        <v>3</v>
      </c>
      <c r="K460" s="15" t="n">
        <v>5</v>
      </c>
      <c r="L460" s="16" t="n">
        <v>1.998</v>
      </c>
      <c r="M460" s="16" t="n">
        <v>3.665</v>
      </c>
      <c r="N460" s="15" t="n">
        <v>4</v>
      </c>
      <c r="O460" s="15" t="n">
        <v>1</v>
      </c>
      <c r="P460" s="15" t="n">
        <v>2</v>
      </c>
      <c r="Q460" s="15" t="n">
        <v>1</v>
      </c>
    </row>
    <row r="461" customFormat="false" ht="15" hidden="false" customHeight="false" outlineLevel="0" collapsed="false">
      <c r="A461" s="15" t="n">
        <v>457</v>
      </c>
      <c r="B461" s="16" t="n">
        <v>45.9</v>
      </c>
      <c r="C461" s="15" t="n">
        <v>5</v>
      </c>
      <c r="D461" s="15" t="n">
        <v>5</v>
      </c>
      <c r="E461" s="15" t="n">
        <v>4</v>
      </c>
      <c r="F461" s="15" t="n">
        <v>4</v>
      </c>
      <c r="G461" s="15" t="n">
        <v>4</v>
      </c>
      <c r="H461" s="15" t="n">
        <v>1</v>
      </c>
      <c r="I461" s="15" t="n">
        <v>1</v>
      </c>
      <c r="J461" s="15" t="n">
        <v>3</v>
      </c>
      <c r="K461" s="15" t="n">
        <v>5</v>
      </c>
      <c r="L461" s="16" t="n">
        <v>2.418</v>
      </c>
      <c r="M461" s="16" t="n">
        <v>3.787</v>
      </c>
      <c r="N461" s="15" t="n">
        <v>4</v>
      </c>
      <c r="O461" s="15" t="n">
        <v>1</v>
      </c>
      <c r="P461" s="15" t="n">
        <v>2</v>
      </c>
      <c r="Q461" s="15" t="n">
        <v>1</v>
      </c>
    </row>
    <row r="462" customFormat="false" ht="15" hidden="false" customHeight="false" outlineLevel="0" collapsed="false">
      <c r="A462" s="15" t="n">
        <v>458</v>
      </c>
      <c r="B462" s="16" t="n">
        <v>46</v>
      </c>
      <c r="C462" s="15" t="n">
        <v>5</v>
      </c>
      <c r="D462" s="15" t="n">
        <v>5</v>
      </c>
      <c r="E462" s="15" t="n">
        <v>4</v>
      </c>
      <c r="F462" s="15" t="n">
        <v>4</v>
      </c>
      <c r="G462" s="15" t="n">
        <v>4</v>
      </c>
      <c r="H462" s="15" t="n">
        <v>1</v>
      </c>
      <c r="I462" s="15" t="n">
        <v>1</v>
      </c>
      <c r="J462" s="15" t="n">
        <v>3</v>
      </c>
      <c r="K462" s="15" t="n">
        <v>5</v>
      </c>
      <c r="L462" s="16" t="n">
        <v>2.422</v>
      </c>
      <c r="M462" s="16" t="n">
        <v>3.894</v>
      </c>
      <c r="N462" s="15" t="n">
        <v>4</v>
      </c>
      <c r="O462" s="15" t="n">
        <v>1</v>
      </c>
      <c r="P462" s="15" t="n">
        <v>2</v>
      </c>
      <c r="Q462" s="15" t="n">
        <v>1</v>
      </c>
    </row>
    <row r="463" customFormat="false" ht="15" hidden="false" customHeight="false" outlineLevel="0" collapsed="false">
      <c r="A463" s="15" t="n">
        <v>459</v>
      </c>
      <c r="B463" s="16" t="n">
        <v>46.101</v>
      </c>
      <c r="C463" s="15" t="n">
        <v>5</v>
      </c>
      <c r="D463" s="15" t="n">
        <v>5</v>
      </c>
      <c r="E463" s="15" t="n">
        <v>4</v>
      </c>
      <c r="F463" s="15" t="n">
        <v>4</v>
      </c>
      <c r="G463" s="15" t="n">
        <v>4</v>
      </c>
      <c r="H463" s="15" t="n">
        <v>1</v>
      </c>
      <c r="I463" s="15" t="n">
        <v>1</v>
      </c>
      <c r="J463" s="15" t="n">
        <v>3</v>
      </c>
      <c r="K463" s="15" t="n">
        <v>5</v>
      </c>
      <c r="L463" s="16" t="n">
        <v>2.142</v>
      </c>
      <c r="M463" s="16" t="n">
        <v>3.857</v>
      </c>
      <c r="N463" s="15" t="n">
        <v>4</v>
      </c>
      <c r="O463" s="15" t="n">
        <v>1</v>
      </c>
      <c r="P463" s="15" t="n">
        <v>2</v>
      </c>
      <c r="Q463" s="15" t="n">
        <v>1</v>
      </c>
    </row>
    <row r="464" customFormat="false" ht="15" hidden="false" customHeight="false" outlineLevel="0" collapsed="false">
      <c r="A464" s="15" t="n">
        <v>460</v>
      </c>
      <c r="B464" s="16" t="n">
        <v>46.202</v>
      </c>
      <c r="C464" s="15" t="n">
        <v>5</v>
      </c>
      <c r="D464" s="15" t="n">
        <v>5</v>
      </c>
      <c r="E464" s="15" t="n">
        <v>5</v>
      </c>
      <c r="F464" s="15" t="n">
        <v>2</v>
      </c>
      <c r="G464" s="15" t="n">
        <v>4</v>
      </c>
      <c r="H464" s="15" t="n">
        <v>1</v>
      </c>
      <c r="I464" s="15" t="n">
        <v>2</v>
      </c>
      <c r="J464" s="15" t="n">
        <v>3</v>
      </c>
      <c r="K464" s="15" t="n">
        <v>5</v>
      </c>
      <c r="L464" s="16" t="n">
        <v>2.318</v>
      </c>
      <c r="M464" s="16" t="n">
        <v>3.58</v>
      </c>
      <c r="N464" s="15" t="n">
        <v>4</v>
      </c>
      <c r="O464" s="15" t="n">
        <v>1</v>
      </c>
      <c r="P464" s="15" t="n">
        <v>2</v>
      </c>
      <c r="Q464" s="15" t="n">
        <v>5</v>
      </c>
    </row>
    <row r="465" customFormat="false" ht="15" hidden="false" customHeight="false" outlineLevel="0" collapsed="false">
      <c r="A465" s="15" t="n">
        <v>461</v>
      </c>
      <c r="B465" s="16" t="n">
        <v>46.303</v>
      </c>
      <c r="C465" s="15" t="n">
        <v>5</v>
      </c>
      <c r="D465" s="15" t="n">
        <v>5</v>
      </c>
      <c r="E465" s="15" t="n">
        <v>4</v>
      </c>
      <c r="F465" s="15" t="n">
        <v>5</v>
      </c>
      <c r="G465" s="15" t="n">
        <v>4</v>
      </c>
      <c r="H465" s="15" t="n">
        <v>1</v>
      </c>
      <c r="I465" s="15" t="n">
        <v>2</v>
      </c>
      <c r="J465" s="15" t="n">
        <v>3</v>
      </c>
      <c r="K465" s="15" t="n">
        <v>5</v>
      </c>
      <c r="L465" s="16" t="n">
        <v>2.791</v>
      </c>
      <c r="M465" s="16" t="n">
        <v>3.464</v>
      </c>
      <c r="N465" s="15" t="n">
        <v>4</v>
      </c>
      <c r="O465" s="15" t="n">
        <v>1</v>
      </c>
      <c r="P465" s="15" t="n">
        <v>2</v>
      </c>
      <c r="Q465" s="15" t="n">
        <v>5</v>
      </c>
    </row>
    <row r="466" customFormat="false" ht="15" hidden="false" customHeight="false" outlineLevel="0" collapsed="false">
      <c r="A466" s="15" t="n">
        <v>462</v>
      </c>
      <c r="B466" s="16" t="n">
        <v>46.403</v>
      </c>
      <c r="C466" s="15" t="n">
        <v>5</v>
      </c>
      <c r="D466" s="15" t="n">
        <v>5</v>
      </c>
      <c r="E466" s="15" t="n">
        <v>5</v>
      </c>
      <c r="F466" s="15" t="n">
        <v>2</v>
      </c>
      <c r="G466" s="15" t="n">
        <v>4</v>
      </c>
      <c r="H466" s="15" t="n">
        <v>1</v>
      </c>
      <c r="I466" s="15" t="n">
        <v>3</v>
      </c>
      <c r="J466" s="15" t="n">
        <v>3</v>
      </c>
      <c r="K466" s="15" t="n">
        <v>5</v>
      </c>
      <c r="L466" s="16" t="n">
        <v>2.855</v>
      </c>
      <c r="M466" s="16" t="n">
        <v>3.23</v>
      </c>
      <c r="N466" s="15" t="n">
        <v>4</v>
      </c>
      <c r="O466" s="15" t="n">
        <v>1</v>
      </c>
      <c r="P466" s="15" t="n">
        <v>2</v>
      </c>
      <c r="Q466" s="15" t="n">
        <v>5</v>
      </c>
    </row>
    <row r="467" customFormat="false" ht="15" hidden="false" customHeight="false" outlineLevel="0" collapsed="false">
      <c r="A467" s="15" t="n">
        <v>463</v>
      </c>
      <c r="B467" s="16" t="n">
        <v>46.503</v>
      </c>
      <c r="C467" s="15" t="n">
        <v>5</v>
      </c>
      <c r="D467" s="15" t="n">
        <v>5</v>
      </c>
      <c r="E467" s="15" t="n">
        <v>4</v>
      </c>
      <c r="F467" s="15" t="n">
        <v>3</v>
      </c>
      <c r="G467" s="15" t="n">
        <v>4</v>
      </c>
      <c r="H467" s="15" t="n">
        <v>1</v>
      </c>
      <c r="I467" s="15" t="n">
        <v>2</v>
      </c>
      <c r="J467" s="15" t="n">
        <v>3</v>
      </c>
      <c r="K467" s="15" t="n">
        <v>5</v>
      </c>
      <c r="L467" s="16" t="n">
        <v>2.625</v>
      </c>
      <c r="M467" s="16" t="n">
        <v>3.13</v>
      </c>
      <c r="N467" s="15" t="n">
        <v>4</v>
      </c>
      <c r="O467" s="15" t="n">
        <v>1</v>
      </c>
      <c r="P467" s="15" t="n">
        <v>2</v>
      </c>
      <c r="Q467" s="15" t="n">
        <v>5</v>
      </c>
    </row>
    <row r="468" customFormat="false" ht="15" hidden="false" customHeight="false" outlineLevel="0" collapsed="false">
      <c r="A468" s="15" t="n">
        <v>464</v>
      </c>
      <c r="B468" s="16" t="n">
        <v>46.603</v>
      </c>
      <c r="C468" s="15" t="n">
        <v>5</v>
      </c>
      <c r="D468" s="15" t="n">
        <v>5</v>
      </c>
      <c r="E468" s="15" t="n">
        <v>5</v>
      </c>
      <c r="F468" s="15" t="n">
        <v>3</v>
      </c>
      <c r="G468" s="15" t="n">
        <v>4</v>
      </c>
      <c r="H468" s="15" t="n">
        <v>1</v>
      </c>
      <c r="I468" s="15" t="n">
        <v>2</v>
      </c>
      <c r="J468" s="15" t="n">
        <v>3</v>
      </c>
      <c r="K468" s="15" t="n">
        <v>5</v>
      </c>
      <c r="L468" s="16" t="n">
        <v>3.061</v>
      </c>
      <c r="M468" s="16" t="n">
        <v>3.037</v>
      </c>
      <c r="N468" s="15" t="n">
        <v>4</v>
      </c>
      <c r="O468" s="15" t="n">
        <v>1</v>
      </c>
      <c r="P468" s="15" t="n">
        <v>2</v>
      </c>
      <c r="Q468" s="15" t="n">
        <v>5</v>
      </c>
    </row>
    <row r="469" customFormat="false" ht="15" hidden="false" customHeight="false" outlineLevel="0" collapsed="false">
      <c r="A469" s="15" t="n">
        <v>465</v>
      </c>
      <c r="B469" s="16" t="n">
        <v>46.701</v>
      </c>
      <c r="C469" s="15" t="n">
        <v>5</v>
      </c>
      <c r="D469" s="15" t="n">
        <v>5</v>
      </c>
      <c r="E469" s="15" t="n">
        <v>5</v>
      </c>
      <c r="F469" s="15" t="n">
        <v>2</v>
      </c>
      <c r="G469" s="15" t="n">
        <v>4</v>
      </c>
      <c r="H469" s="15" t="n">
        <v>1</v>
      </c>
      <c r="I469" s="15" t="n">
        <v>4</v>
      </c>
      <c r="J469" s="15" t="n">
        <v>3</v>
      </c>
      <c r="K469" s="15" t="n">
        <v>5</v>
      </c>
      <c r="L469" s="16" t="n">
        <v>2.964</v>
      </c>
      <c r="M469" s="16" t="n">
        <v>2.915</v>
      </c>
      <c r="N469" s="15" t="n">
        <v>4</v>
      </c>
      <c r="O469" s="15" t="n">
        <v>1</v>
      </c>
      <c r="P469" s="15" t="n">
        <v>2</v>
      </c>
      <c r="Q469" s="15" t="n">
        <v>4</v>
      </c>
    </row>
    <row r="470" customFormat="false" ht="15" hidden="false" customHeight="false" outlineLevel="0" collapsed="false">
      <c r="A470" s="15" t="n">
        <v>466</v>
      </c>
      <c r="B470" s="16" t="n">
        <v>46.799</v>
      </c>
      <c r="C470" s="15" t="n">
        <v>5</v>
      </c>
      <c r="D470" s="15" t="n">
        <v>5</v>
      </c>
      <c r="E470" s="15" t="n">
        <v>5</v>
      </c>
      <c r="F470" s="15" t="n">
        <v>2</v>
      </c>
      <c r="G470" s="15" t="n">
        <v>4</v>
      </c>
      <c r="H470" s="15" t="n">
        <v>1</v>
      </c>
      <c r="I470" s="15" t="n">
        <v>5</v>
      </c>
      <c r="J470" s="15" t="n">
        <v>3</v>
      </c>
      <c r="K470" s="15" t="n">
        <v>5</v>
      </c>
      <c r="L470" s="16" t="n">
        <v>1.999</v>
      </c>
      <c r="M470" s="16" t="n">
        <v>3.305</v>
      </c>
      <c r="N470" s="15" t="n">
        <v>4</v>
      </c>
      <c r="O470" s="15" t="n">
        <v>1</v>
      </c>
      <c r="P470" s="15" t="n">
        <v>2</v>
      </c>
      <c r="Q470" s="15" t="n">
        <v>3</v>
      </c>
    </row>
    <row r="471" customFormat="false" ht="15" hidden="false" customHeight="false" outlineLevel="0" collapsed="false">
      <c r="A471" s="15" t="n">
        <v>467</v>
      </c>
      <c r="B471" s="16" t="n">
        <v>46.897</v>
      </c>
      <c r="C471" s="15" t="n">
        <v>5</v>
      </c>
      <c r="D471" s="15" t="n">
        <v>5</v>
      </c>
      <c r="E471" s="15" t="n">
        <v>4</v>
      </c>
      <c r="F471" s="15" t="n">
        <v>5</v>
      </c>
      <c r="G471" s="15" t="n">
        <v>4</v>
      </c>
      <c r="H471" s="15" t="n">
        <v>1</v>
      </c>
      <c r="I471" s="15" t="n">
        <v>3</v>
      </c>
      <c r="J471" s="15" t="n">
        <v>3</v>
      </c>
      <c r="K471" s="15" t="n">
        <v>5</v>
      </c>
      <c r="L471" s="16" t="n">
        <v>1.197</v>
      </c>
      <c r="M471" s="16" t="n">
        <v>3.795</v>
      </c>
      <c r="N471" s="15" t="n">
        <v>4</v>
      </c>
      <c r="O471" s="15" t="n">
        <v>1</v>
      </c>
      <c r="P471" s="15" t="n">
        <v>2</v>
      </c>
      <c r="Q471" s="15" t="n">
        <v>3</v>
      </c>
    </row>
    <row r="472" customFormat="false" ht="15" hidden="false" customHeight="false" outlineLevel="0" collapsed="false">
      <c r="A472" s="15" t="n">
        <v>468</v>
      </c>
      <c r="B472" s="16" t="n">
        <v>46.994</v>
      </c>
      <c r="C472" s="15" t="n">
        <v>5</v>
      </c>
      <c r="D472" s="15" t="n">
        <v>5</v>
      </c>
      <c r="E472" s="15" t="n">
        <v>4</v>
      </c>
      <c r="F472" s="15" t="n">
        <v>5</v>
      </c>
      <c r="G472" s="15" t="n">
        <v>4</v>
      </c>
      <c r="H472" s="15" t="n">
        <v>1</v>
      </c>
      <c r="I472" s="15" t="n">
        <v>3</v>
      </c>
      <c r="J472" s="15" t="n">
        <v>3</v>
      </c>
      <c r="K472" s="15" t="n">
        <v>5</v>
      </c>
      <c r="L472" s="16" t="n">
        <v>1.676</v>
      </c>
      <c r="M472" s="16" t="n">
        <v>3.128</v>
      </c>
      <c r="N472" s="15" t="n">
        <v>4</v>
      </c>
      <c r="O472" s="15" t="n">
        <v>1</v>
      </c>
      <c r="P472" s="15" t="n">
        <v>2</v>
      </c>
      <c r="Q472" s="15" t="n">
        <v>5</v>
      </c>
    </row>
    <row r="473" customFormat="false" ht="15" hidden="false" customHeight="false" outlineLevel="0" collapsed="false">
      <c r="A473" s="15" t="n">
        <v>469</v>
      </c>
      <c r="B473" s="16" t="n">
        <v>47.093</v>
      </c>
      <c r="C473" s="15" t="n">
        <v>5</v>
      </c>
      <c r="D473" s="15" t="n">
        <v>5</v>
      </c>
      <c r="E473" s="15" t="n">
        <v>4</v>
      </c>
      <c r="F473" s="15" t="n">
        <v>5</v>
      </c>
      <c r="G473" s="15" t="n">
        <v>4</v>
      </c>
      <c r="H473" s="15" t="n">
        <v>1</v>
      </c>
      <c r="I473" s="15" t="n">
        <v>4</v>
      </c>
      <c r="J473" s="15" t="n">
        <v>3</v>
      </c>
      <c r="K473" s="15" t="n">
        <v>5</v>
      </c>
      <c r="L473" s="16" t="n">
        <v>2.009</v>
      </c>
      <c r="M473" s="16" t="n">
        <v>3.336</v>
      </c>
      <c r="N473" s="15" t="n">
        <v>4</v>
      </c>
      <c r="O473" s="15" t="n">
        <v>1</v>
      </c>
      <c r="P473" s="15" t="n">
        <v>2</v>
      </c>
      <c r="Q473" s="15" t="n">
        <v>5</v>
      </c>
    </row>
    <row r="474" customFormat="false" ht="15" hidden="false" customHeight="false" outlineLevel="0" collapsed="false">
      <c r="A474" s="15" t="n">
        <v>470</v>
      </c>
      <c r="B474" s="16" t="n">
        <v>47.191</v>
      </c>
      <c r="C474" s="15" t="n">
        <v>5</v>
      </c>
      <c r="D474" s="15" t="n">
        <v>5</v>
      </c>
      <c r="E474" s="15" t="n">
        <v>4</v>
      </c>
      <c r="F474" s="15" t="n">
        <v>5</v>
      </c>
      <c r="G474" s="15" t="n">
        <v>4</v>
      </c>
      <c r="H474" s="15" t="n">
        <v>1</v>
      </c>
      <c r="I474" s="15" t="n">
        <v>4</v>
      </c>
      <c r="J474" s="15" t="n">
        <v>3</v>
      </c>
      <c r="K474" s="15" t="n">
        <v>5</v>
      </c>
      <c r="L474" s="16" t="n">
        <v>3.109</v>
      </c>
      <c r="M474" s="16" t="n">
        <v>2.337</v>
      </c>
      <c r="N474" s="15" t="n">
        <v>4</v>
      </c>
      <c r="O474" s="15" t="n">
        <v>1</v>
      </c>
      <c r="P474" s="15" t="n">
        <v>2</v>
      </c>
      <c r="Q474" s="15" t="n">
        <v>5</v>
      </c>
    </row>
    <row r="475" customFormat="false" ht="15" hidden="false" customHeight="false" outlineLevel="0" collapsed="false">
      <c r="A475" s="15" t="n">
        <v>471</v>
      </c>
      <c r="B475" s="16" t="n">
        <v>47.29</v>
      </c>
      <c r="C475" s="15" t="n">
        <v>5</v>
      </c>
      <c r="D475" s="15" t="n">
        <v>5</v>
      </c>
      <c r="E475" s="15" t="n">
        <v>4</v>
      </c>
      <c r="F475" s="15" t="n">
        <v>5</v>
      </c>
      <c r="G475" s="15" t="n">
        <v>4</v>
      </c>
      <c r="H475" s="15" t="n">
        <v>1</v>
      </c>
      <c r="I475" s="15" t="n">
        <v>5</v>
      </c>
      <c r="J475" s="15" t="n">
        <v>3</v>
      </c>
      <c r="K475" s="15" t="n">
        <v>5</v>
      </c>
      <c r="L475" s="16" t="n">
        <v>2.866</v>
      </c>
      <c r="M475" s="16" t="n">
        <v>2.539</v>
      </c>
      <c r="N475" s="15" t="n">
        <v>4</v>
      </c>
      <c r="O475" s="15" t="n">
        <v>1</v>
      </c>
      <c r="P475" s="15" t="n">
        <v>2</v>
      </c>
      <c r="Q475" s="15" t="n">
        <v>1</v>
      </c>
    </row>
    <row r="476" customFormat="false" ht="15" hidden="false" customHeight="false" outlineLevel="0" collapsed="false">
      <c r="A476" s="15" t="n">
        <v>472</v>
      </c>
      <c r="B476" s="16" t="n">
        <v>47.389</v>
      </c>
      <c r="C476" s="15" t="n">
        <v>5</v>
      </c>
      <c r="D476" s="15" t="n">
        <v>5</v>
      </c>
      <c r="E476" s="15" t="n">
        <v>5</v>
      </c>
      <c r="F476" s="15" t="n">
        <v>5</v>
      </c>
      <c r="G476" s="15" t="n">
        <v>4</v>
      </c>
      <c r="H476" s="15" t="n">
        <v>1</v>
      </c>
      <c r="I476" s="15" t="n">
        <v>5</v>
      </c>
      <c r="J476" s="15" t="n">
        <v>3</v>
      </c>
      <c r="K476" s="15" t="n">
        <v>5</v>
      </c>
      <c r="L476" s="16" t="n">
        <v>2.953</v>
      </c>
      <c r="M476" s="16" t="n">
        <v>2.53</v>
      </c>
      <c r="N476" s="15" t="n">
        <v>4</v>
      </c>
      <c r="O476" s="15" t="n">
        <v>1</v>
      </c>
      <c r="P476" s="15" t="n">
        <v>2</v>
      </c>
      <c r="Q476" s="15" t="n">
        <v>5</v>
      </c>
    </row>
    <row r="477" customFormat="false" ht="15" hidden="false" customHeight="false" outlineLevel="0" collapsed="false">
      <c r="A477" s="15" t="n">
        <v>473</v>
      </c>
      <c r="B477" s="16" t="n">
        <v>47.49</v>
      </c>
      <c r="C477" s="15" t="n">
        <v>5</v>
      </c>
      <c r="D477" s="15" t="n">
        <v>5</v>
      </c>
      <c r="E477" s="15" t="n">
        <v>5</v>
      </c>
      <c r="F477" s="15" t="n">
        <v>4</v>
      </c>
      <c r="G477" s="15" t="n">
        <v>4</v>
      </c>
      <c r="H477" s="15" t="n">
        <v>1</v>
      </c>
      <c r="I477" s="15" t="n">
        <v>5</v>
      </c>
      <c r="J477" s="15" t="n">
        <v>3</v>
      </c>
      <c r="K477" s="15" t="n">
        <v>5</v>
      </c>
      <c r="L477" s="16" t="n">
        <v>1.313</v>
      </c>
      <c r="M477" s="16" t="n">
        <v>3.472</v>
      </c>
      <c r="N477" s="15" t="n">
        <v>4</v>
      </c>
      <c r="O477" s="15" t="n">
        <v>1</v>
      </c>
      <c r="P477" s="15" t="n">
        <v>2</v>
      </c>
      <c r="Q477" s="15" t="n">
        <v>1</v>
      </c>
    </row>
    <row r="478" customFormat="false" ht="15" hidden="false" customHeight="false" outlineLevel="0" collapsed="false">
      <c r="A478" s="15" t="n">
        <v>474</v>
      </c>
      <c r="B478" s="16" t="n">
        <v>47.59</v>
      </c>
      <c r="C478" s="15" t="n">
        <v>5</v>
      </c>
      <c r="D478" s="15" t="n">
        <v>5</v>
      </c>
      <c r="E478" s="15" t="n">
        <v>5</v>
      </c>
      <c r="F478" s="15" t="n">
        <v>3</v>
      </c>
      <c r="G478" s="15" t="n">
        <v>4</v>
      </c>
      <c r="H478" s="15" t="n">
        <v>1</v>
      </c>
      <c r="I478" s="15" t="n">
        <v>5</v>
      </c>
      <c r="J478" s="15" t="n">
        <v>3</v>
      </c>
      <c r="K478" s="15" t="n">
        <v>5</v>
      </c>
      <c r="L478" s="16" t="n">
        <v>1.607</v>
      </c>
      <c r="M478" s="16" t="n">
        <v>3.568</v>
      </c>
      <c r="N478" s="15" t="n">
        <v>4</v>
      </c>
      <c r="O478" s="15" t="n">
        <v>1</v>
      </c>
      <c r="P478" s="15" t="n">
        <v>2</v>
      </c>
      <c r="Q478" s="15" t="n">
        <v>1</v>
      </c>
    </row>
    <row r="479" customFormat="false" ht="15" hidden="false" customHeight="false" outlineLevel="0" collapsed="false">
      <c r="A479" s="15" t="n">
        <v>475</v>
      </c>
      <c r="B479" s="16" t="n">
        <v>47.691</v>
      </c>
      <c r="C479" s="15" t="n">
        <v>5</v>
      </c>
      <c r="D479" s="15" t="n">
        <v>5</v>
      </c>
      <c r="E479" s="15" t="n">
        <v>4</v>
      </c>
      <c r="F479" s="15" t="n">
        <v>4</v>
      </c>
      <c r="G479" s="15" t="n">
        <v>4</v>
      </c>
      <c r="H479" s="15" t="n">
        <v>1</v>
      </c>
      <c r="I479" s="15" t="n">
        <v>4</v>
      </c>
      <c r="J479" s="15" t="n">
        <v>3</v>
      </c>
      <c r="K479" s="15" t="n">
        <v>5</v>
      </c>
      <c r="L479" s="16" t="n">
        <v>1.985</v>
      </c>
      <c r="M479" s="16" t="n">
        <v>3.746</v>
      </c>
      <c r="N479" s="15" t="n">
        <v>4</v>
      </c>
      <c r="O479" s="15" t="n">
        <v>1</v>
      </c>
      <c r="P479" s="15" t="n">
        <v>2</v>
      </c>
      <c r="Q479" s="15" t="n">
        <v>1</v>
      </c>
    </row>
    <row r="480" customFormat="false" ht="15" hidden="false" customHeight="false" outlineLevel="0" collapsed="false">
      <c r="A480" s="15" t="n">
        <v>476</v>
      </c>
      <c r="B480" s="16" t="n">
        <v>47.792</v>
      </c>
      <c r="C480" s="15" t="n">
        <v>5</v>
      </c>
      <c r="D480" s="15" t="n">
        <v>5</v>
      </c>
      <c r="E480" s="15" t="n">
        <v>5</v>
      </c>
      <c r="F480" s="15" t="n">
        <v>3</v>
      </c>
      <c r="G480" s="15" t="n">
        <v>4</v>
      </c>
      <c r="H480" s="15" t="n">
        <v>1</v>
      </c>
      <c r="I480" s="15" t="n">
        <v>5</v>
      </c>
      <c r="J480" s="15" t="n">
        <v>3</v>
      </c>
      <c r="K480" s="15" t="n">
        <v>5</v>
      </c>
      <c r="L480" s="16" t="n">
        <v>2.396</v>
      </c>
      <c r="M480" s="16" t="n">
        <v>3.595</v>
      </c>
      <c r="N480" s="15" t="n">
        <v>4</v>
      </c>
      <c r="O480" s="15" t="n">
        <v>1</v>
      </c>
      <c r="P480" s="15" t="n">
        <v>2</v>
      </c>
      <c r="Q480" s="15" t="n">
        <v>1</v>
      </c>
    </row>
    <row r="481" customFormat="false" ht="15" hidden="false" customHeight="false" outlineLevel="0" collapsed="false">
      <c r="A481" s="15" t="n">
        <v>477</v>
      </c>
      <c r="B481" s="16" t="n">
        <v>47.892</v>
      </c>
      <c r="C481" s="15" t="n">
        <v>5</v>
      </c>
      <c r="D481" s="15" t="n">
        <v>5</v>
      </c>
      <c r="E481" s="15" t="n">
        <v>4</v>
      </c>
      <c r="F481" s="15" t="n">
        <v>4</v>
      </c>
      <c r="G481" s="15" t="n">
        <v>4</v>
      </c>
      <c r="H481" s="15" t="n">
        <v>1</v>
      </c>
      <c r="I481" s="15" t="n">
        <v>4</v>
      </c>
      <c r="J481" s="15" t="n">
        <v>3</v>
      </c>
      <c r="K481" s="15" t="n">
        <v>5</v>
      </c>
      <c r="L481" s="16" t="n">
        <v>1.889</v>
      </c>
      <c r="M481" s="16" t="n">
        <v>3.74</v>
      </c>
      <c r="N481" s="15" t="n">
        <v>4</v>
      </c>
      <c r="O481" s="15" t="n">
        <v>1</v>
      </c>
      <c r="P481" s="15" t="n">
        <v>2</v>
      </c>
      <c r="Q481" s="15" t="n">
        <v>1</v>
      </c>
    </row>
    <row r="482" customFormat="false" ht="15" hidden="false" customHeight="false" outlineLevel="0" collapsed="false">
      <c r="A482" s="15" t="n">
        <v>478</v>
      </c>
      <c r="B482" s="16" t="n">
        <v>47.992</v>
      </c>
      <c r="C482" s="15" t="n">
        <v>5</v>
      </c>
      <c r="D482" s="15" t="n">
        <v>4</v>
      </c>
      <c r="E482" s="15" t="n">
        <v>5</v>
      </c>
      <c r="F482" s="15" t="n">
        <v>3</v>
      </c>
      <c r="G482" s="15" t="n">
        <v>4</v>
      </c>
      <c r="H482" s="15" t="n">
        <v>1</v>
      </c>
      <c r="I482" s="15" t="n">
        <v>5</v>
      </c>
      <c r="J482" s="15" t="n">
        <v>3</v>
      </c>
      <c r="K482" s="15" t="n">
        <v>5</v>
      </c>
      <c r="L482" s="16" t="n">
        <v>1.715</v>
      </c>
      <c r="M482" s="16" t="n">
        <v>3.911</v>
      </c>
      <c r="N482" s="15" t="n">
        <v>4</v>
      </c>
      <c r="O482" s="15" t="n">
        <v>1</v>
      </c>
      <c r="P482" s="15" t="n">
        <v>2</v>
      </c>
      <c r="Q482" s="15" t="n">
        <v>1</v>
      </c>
    </row>
    <row r="483" customFormat="false" ht="15" hidden="false" customHeight="false" outlineLevel="0" collapsed="false">
      <c r="A483" s="15" t="n">
        <v>479</v>
      </c>
      <c r="B483" s="16" t="n">
        <v>48.092</v>
      </c>
      <c r="C483" s="15" t="n">
        <v>5</v>
      </c>
      <c r="D483" s="15" t="n">
        <v>4</v>
      </c>
      <c r="E483" s="15" t="n">
        <v>4</v>
      </c>
      <c r="F483" s="15" t="n">
        <v>2</v>
      </c>
      <c r="G483" s="15" t="n">
        <v>4</v>
      </c>
      <c r="H483" s="15" t="n">
        <v>1</v>
      </c>
      <c r="I483" s="15" t="n">
        <v>4</v>
      </c>
      <c r="J483" s="15" t="n">
        <v>3</v>
      </c>
      <c r="K483" s="15" t="n">
        <v>5</v>
      </c>
      <c r="L483" s="16" t="n">
        <v>1.825</v>
      </c>
      <c r="M483" s="16" t="n">
        <v>3.939</v>
      </c>
      <c r="N483" s="15" t="n">
        <v>5</v>
      </c>
      <c r="O483" s="15" t="n">
        <v>1</v>
      </c>
      <c r="P483" s="15" t="n">
        <v>2</v>
      </c>
      <c r="Q483" s="15" t="n">
        <v>1</v>
      </c>
    </row>
    <row r="484" customFormat="false" ht="15" hidden="false" customHeight="false" outlineLevel="0" collapsed="false">
      <c r="A484" s="15" t="n">
        <v>480</v>
      </c>
      <c r="B484" s="16" t="n">
        <v>48.191</v>
      </c>
      <c r="C484" s="15" t="n">
        <v>5</v>
      </c>
      <c r="D484" s="15" t="n">
        <v>4</v>
      </c>
      <c r="E484" s="15" t="n">
        <v>4</v>
      </c>
      <c r="F484" s="15" t="n">
        <v>3</v>
      </c>
      <c r="G484" s="15" t="n">
        <v>4</v>
      </c>
      <c r="H484" s="15" t="n">
        <v>1</v>
      </c>
      <c r="I484" s="15" t="n">
        <v>3</v>
      </c>
      <c r="J484" s="15" t="n">
        <v>3</v>
      </c>
      <c r="K484" s="15" t="n">
        <v>5</v>
      </c>
      <c r="L484" s="16" t="n">
        <v>2.6</v>
      </c>
      <c r="M484" s="16" t="n">
        <v>3.497</v>
      </c>
      <c r="N484" s="15" t="n">
        <v>5</v>
      </c>
      <c r="O484" s="15" t="n">
        <v>1</v>
      </c>
      <c r="P484" s="15" t="n">
        <v>2</v>
      </c>
      <c r="Q484" s="15" t="n">
        <v>2</v>
      </c>
    </row>
    <row r="485" customFormat="false" ht="15" hidden="false" customHeight="false" outlineLevel="0" collapsed="false">
      <c r="A485" s="15" t="n">
        <v>481</v>
      </c>
      <c r="B485" s="16" t="n">
        <v>48.29</v>
      </c>
      <c r="C485" s="15" t="n">
        <v>5</v>
      </c>
      <c r="D485" s="15" t="n">
        <v>4</v>
      </c>
      <c r="E485" s="15" t="n">
        <v>4</v>
      </c>
      <c r="F485" s="15" t="n">
        <v>4</v>
      </c>
      <c r="G485" s="15" t="n">
        <v>4</v>
      </c>
      <c r="H485" s="15" t="n">
        <v>1</v>
      </c>
      <c r="I485" s="15" t="n">
        <v>2</v>
      </c>
      <c r="J485" s="15" t="n">
        <v>3</v>
      </c>
      <c r="K485" s="15" t="n">
        <v>5</v>
      </c>
      <c r="L485" s="16" t="n">
        <v>2.453</v>
      </c>
      <c r="M485" s="16" t="n">
        <v>3.786</v>
      </c>
      <c r="N485" s="15" t="n">
        <v>5</v>
      </c>
      <c r="O485" s="15" t="n">
        <v>1</v>
      </c>
      <c r="P485" s="15" t="n">
        <v>2</v>
      </c>
      <c r="Q485" s="15" t="n">
        <v>1</v>
      </c>
    </row>
    <row r="486" customFormat="false" ht="15" hidden="false" customHeight="false" outlineLevel="0" collapsed="false">
      <c r="A486" s="15" t="n">
        <v>482</v>
      </c>
      <c r="B486" s="16" t="n">
        <v>48.389</v>
      </c>
      <c r="C486" s="15" t="n">
        <v>5</v>
      </c>
      <c r="D486" s="15" t="n">
        <v>4</v>
      </c>
      <c r="E486" s="15" t="n">
        <v>4</v>
      </c>
      <c r="F486" s="15" t="n">
        <v>4</v>
      </c>
      <c r="G486" s="15" t="n">
        <v>4</v>
      </c>
      <c r="H486" s="15" t="n">
        <v>1</v>
      </c>
      <c r="I486" s="15" t="n">
        <v>1</v>
      </c>
      <c r="J486" s="15" t="n">
        <v>3</v>
      </c>
      <c r="K486" s="15" t="n">
        <v>5</v>
      </c>
      <c r="L486" s="16" t="n">
        <v>2.267</v>
      </c>
      <c r="M486" s="16" t="n">
        <v>4</v>
      </c>
      <c r="N486" s="15" t="n">
        <v>5</v>
      </c>
      <c r="O486" s="15" t="n">
        <v>1</v>
      </c>
      <c r="P486" s="15" t="n">
        <v>2</v>
      </c>
      <c r="Q486" s="15" t="n">
        <v>1</v>
      </c>
    </row>
    <row r="487" customFormat="false" ht="15" hidden="false" customHeight="false" outlineLevel="0" collapsed="false">
      <c r="A487" s="15" t="n">
        <v>483</v>
      </c>
      <c r="B487" s="16" t="n">
        <v>48.488</v>
      </c>
      <c r="C487" s="15" t="n">
        <v>5</v>
      </c>
      <c r="D487" s="15" t="n">
        <v>5</v>
      </c>
      <c r="E487" s="15" t="n">
        <v>4</v>
      </c>
      <c r="F487" s="15" t="n">
        <v>4</v>
      </c>
      <c r="G487" s="15" t="n">
        <v>4</v>
      </c>
      <c r="H487" s="15" t="n">
        <v>1</v>
      </c>
      <c r="I487" s="15" t="n">
        <v>1</v>
      </c>
      <c r="J487" s="15" t="n">
        <v>3</v>
      </c>
      <c r="K487" s="15" t="n">
        <v>5</v>
      </c>
      <c r="L487" s="16" t="n">
        <v>2.407</v>
      </c>
      <c r="M487" s="16" t="n">
        <v>4</v>
      </c>
      <c r="N487" s="15" t="n">
        <v>5</v>
      </c>
      <c r="O487" s="15" t="n">
        <v>1</v>
      </c>
      <c r="P487" s="15" t="n">
        <v>2</v>
      </c>
      <c r="Q487" s="15" t="n">
        <v>1</v>
      </c>
    </row>
    <row r="488" customFormat="false" ht="15" hidden="false" customHeight="false" outlineLevel="0" collapsed="false">
      <c r="A488" s="15" t="n">
        <v>484</v>
      </c>
      <c r="B488" s="16" t="n">
        <v>48.587</v>
      </c>
      <c r="C488" s="15" t="n">
        <v>5</v>
      </c>
      <c r="D488" s="15" t="n">
        <v>5</v>
      </c>
      <c r="E488" s="15" t="n">
        <v>4</v>
      </c>
      <c r="F488" s="15" t="n">
        <v>3</v>
      </c>
      <c r="G488" s="15" t="n">
        <v>4</v>
      </c>
      <c r="H488" s="15" t="n">
        <v>1</v>
      </c>
      <c r="I488" s="15" t="n">
        <v>1</v>
      </c>
      <c r="J488" s="15" t="n">
        <v>3</v>
      </c>
      <c r="K488" s="15" t="n">
        <v>5</v>
      </c>
      <c r="L488" s="16" t="n">
        <v>2.374</v>
      </c>
      <c r="M488" s="16" t="n">
        <v>4</v>
      </c>
      <c r="N488" s="15" t="n">
        <v>5</v>
      </c>
      <c r="O488" s="15" t="n">
        <v>1</v>
      </c>
      <c r="P488" s="15" t="n">
        <v>2</v>
      </c>
      <c r="Q488" s="15" t="n">
        <v>1</v>
      </c>
    </row>
    <row r="489" customFormat="false" ht="15" hidden="false" customHeight="false" outlineLevel="0" collapsed="false">
      <c r="A489" s="15" t="n">
        <v>485</v>
      </c>
      <c r="B489" s="16" t="n">
        <v>48.687</v>
      </c>
      <c r="C489" s="15" t="n">
        <v>5</v>
      </c>
      <c r="D489" s="15" t="n">
        <v>5</v>
      </c>
      <c r="E489" s="15" t="n">
        <v>4</v>
      </c>
      <c r="F489" s="15" t="n">
        <v>3</v>
      </c>
      <c r="G489" s="15" t="n">
        <v>4</v>
      </c>
      <c r="H489" s="15" t="n">
        <v>1</v>
      </c>
      <c r="I489" s="15" t="n">
        <v>1</v>
      </c>
      <c r="J489" s="15" t="n">
        <v>3</v>
      </c>
      <c r="K489" s="15" t="n">
        <v>5</v>
      </c>
      <c r="L489" s="16" t="n">
        <v>2.385</v>
      </c>
      <c r="M489" s="16" t="n">
        <v>4</v>
      </c>
      <c r="N489" s="15" t="n">
        <v>5</v>
      </c>
      <c r="O489" s="15" t="n">
        <v>1</v>
      </c>
      <c r="P489" s="15" t="n">
        <v>2</v>
      </c>
      <c r="Q489" s="15" t="n">
        <v>1</v>
      </c>
    </row>
    <row r="490" customFormat="false" ht="15" hidden="false" customHeight="false" outlineLevel="0" collapsed="false">
      <c r="A490" s="15" t="n">
        <v>486</v>
      </c>
      <c r="B490" s="16" t="n">
        <v>48.786</v>
      </c>
      <c r="C490" s="15" t="n">
        <v>5</v>
      </c>
      <c r="D490" s="15" t="n">
        <v>5</v>
      </c>
      <c r="E490" s="15" t="n">
        <v>4</v>
      </c>
      <c r="F490" s="15" t="n">
        <v>3</v>
      </c>
      <c r="G490" s="15" t="n">
        <v>4</v>
      </c>
      <c r="H490" s="15" t="n">
        <v>1</v>
      </c>
      <c r="I490" s="15" t="n">
        <v>1</v>
      </c>
      <c r="J490" s="15" t="n">
        <v>3</v>
      </c>
      <c r="K490" s="15" t="n">
        <v>5</v>
      </c>
      <c r="L490" s="16" t="n">
        <v>2.375</v>
      </c>
      <c r="M490" s="16" t="n">
        <v>4</v>
      </c>
      <c r="N490" s="15" t="n">
        <v>5</v>
      </c>
      <c r="O490" s="15" t="n">
        <v>1</v>
      </c>
      <c r="P490" s="15" t="n">
        <v>2</v>
      </c>
      <c r="Q490" s="15" t="n">
        <v>1</v>
      </c>
    </row>
    <row r="491" customFormat="false" ht="15" hidden="false" customHeight="false" outlineLevel="0" collapsed="false">
      <c r="A491" s="15" t="n">
        <v>487</v>
      </c>
      <c r="B491" s="16" t="n">
        <v>48.885</v>
      </c>
      <c r="C491" s="15" t="n">
        <v>5</v>
      </c>
      <c r="D491" s="15" t="n">
        <v>5</v>
      </c>
      <c r="E491" s="15" t="n">
        <v>4</v>
      </c>
      <c r="F491" s="15" t="n">
        <v>3</v>
      </c>
      <c r="G491" s="15" t="n">
        <v>4</v>
      </c>
      <c r="H491" s="15" t="n">
        <v>1</v>
      </c>
      <c r="I491" s="15" t="n">
        <v>1</v>
      </c>
      <c r="J491" s="15" t="n">
        <v>3</v>
      </c>
      <c r="K491" s="15" t="n">
        <v>5</v>
      </c>
      <c r="L491" s="16" t="n">
        <v>2.407</v>
      </c>
      <c r="M491" s="16" t="n">
        <v>4</v>
      </c>
      <c r="N491" s="15" t="n">
        <v>5</v>
      </c>
      <c r="O491" s="15" t="n">
        <v>1</v>
      </c>
      <c r="P491" s="15" t="n">
        <v>2</v>
      </c>
      <c r="Q491" s="15" t="n">
        <v>1</v>
      </c>
    </row>
    <row r="492" customFormat="false" ht="15" hidden="false" customHeight="false" outlineLevel="0" collapsed="false">
      <c r="A492" s="15" t="n">
        <v>488</v>
      </c>
      <c r="B492" s="16" t="n">
        <v>48.984</v>
      </c>
      <c r="C492" s="15" t="n">
        <v>5</v>
      </c>
      <c r="D492" s="15" t="n">
        <v>5</v>
      </c>
      <c r="E492" s="15" t="n">
        <v>4</v>
      </c>
      <c r="F492" s="15" t="n">
        <v>3</v>
      </c>
      <c r="G492" s="15" t="n">
        <v>4</v>
      </c>
      <c r="H492" s="15" t="n">
        <v>1</v>
      </c>
      <c r="I492" s="15" t="n">
        <v>1</v>
      </c>
      <c r="J492" s="15" t="n">
        <v>3</v>
      </c>
      <c r="K492" s="15" t="n">
        <v>5</v>
      </c>
      <c r="L492" s="16" t="n">
        <v>2.441</v>
      </c>
      <c r="M492" s="16" t="n">
        <v>4</v>
      </c>
      <c r="N492" s="15" t="n">
        <v>5</v>
      </c>
      <c r="O492" s="15" t="n">
        <v>1</v>
      </c>
      <c r="P492" s="15" t="n">
        <v>2</v>
      </c>
      <c r="Q492" s="15" t="n">
        <v>1</v>
      </c>
    </row>
    <row r="493" customFormat="false" ht="15" hidden="false" customHeight="false" outlineLevel="0" collapsed="false">
      <c r="A493" s="15" t="n">
        <v>489</v>
      </c>
      <c r="B493" s="16" t="n">
        <v>49.084</v>
      </c>
      <c r="C493" s="15" t="n">
        <v>4</v>
      </c>
      <c r="D493" s="15" t="n">
        <v>5</v>
      </c>
      <c r="E493" s="15" t="n">
        <v>4</v>
      </c>
      <c r="F493" s="15" t="n">
        <v>3</v>
      </c>
      <c r="G493" s="15" t="n">
        <v>4</v>
      </c>
      <c r="H493" s="15" t="n">
        <v>1</v>
      </c>
      <c r="I493" s="15" t="n">
        <v>2</v>
      </c>
      <c r="J493" s="15" t="n">
        <v>3</v>
      </c>
      <c r="K493" s="15" t="n">
        <v>5</v>
      </c>
      <c r="L493" s="16" t="n">
        <v>2.476</v>
      </c>
      <c r="M493" s="16" t="n">
        <v>4</v>
      </c>
      <c r="N493" s="15" t="n">
        <v>5</v>
      </c>
      <c r="O493" s="15" t="n">
        <v>1</v>
      </c>
      <c r="P493" s="15" t="n">
        <v>2</v>
      </c>
      <c r="Q493" s="15" t="n">
        <v>1</v>
      </c>
    </row>
    <row r="494" customFormat="false" ht="15" hidden="false" customHeight="false" outlineLevel="0" collapsed="false">
      <c r="A494" s="15" t="n">
        <v>490</v>
      </c>
      <c r="B494" s="16" t="n">
        <v>49.183</v>
      </c>
      <c r="C494" s="15" t="n">
        <v>4</v>
      </c>
      <c r="D494" s="15" t="n">
        <v>5</v>
      </c>
      <c r="E494" s="15" t="n">
        <v>4</v>
      </c>
      <c r="F494" s="15" t="n">
        <v>3</v>
      </c>
      <c r="G494" s="15" t="n">
        <v>4</v>
      </c>
      <c r="H494" s="15" t="n">
        <v>1</v>
      </c>
      <c r="I494" s="15" t="n">
        <v>2</v>
      </c>
      <c r="J494" s="15" t="n">
        <v>3</v>
      </c>
      <c r="K494" s="15" t="n">
        <v>5</v>
      </c>
      <c r="L494" s="16" t="n">
        <v>2.453</v>
      </c>
      <c r="M494" s="16" t="n">
        <v>4</v>
      </c>
      <c r="N494" s="15" t="n">
        <v>5</v>
      </c>
      <c r="O494" s="15" t="n">
        <v>1</v>
      </c>
      <c r="P494" s="15" t="n">
        <v>2</v>
      </c>
      <c r="Q494" s="15" t="n">
        <v>1</v>
      </c>
    </row>
    <row r="495" customFormat="false" ht="15" hidden="false" customHeight="false" outlineLevel="0" collapsed="false">
      <c r="A495" s="15" t="n">
        <v>491</v>
      </c>
      <c r="B495" s="16" t="n">
        <v>49.282</v>
      </c>
      <c r="C495" s="15" t="n">
        <v>4</v>
      </c>
      <c r="D495" s="15" t="n">
        <v>5</v>
      </c>
      <c r="E495" s="15" t="n">
        <v>4</v>
      </c>
      <c r="F495" s="15" t="n">
        <v>4</v>
      </c>
      <c r="G495" s="15" t="n">
        <v>4</v>
      </c>
      <c r="H495" s="15" t="n">
        <v>1</v>
      </c>
      <c r="I495" s="15" t="n">
        <v>2</v>
      </c>
      <c r="J495" s="15" t="n">
        <v>3</v>
      </c>
      <c r="K495" s="15" t="n">
        <v>5</v>
      </c>
      <c r="L495" s="16" t="n">
        <v>2.486</v>
      </c>
      <c r="M495" s="16" t="n">
        <v>4</v>
      </c>
      <c r="N495" s="15" t="n">
        <v>5</v>
      </c>
      <c r="O495" s="15" t="n">
        <v>1</v>
      </c>
      <c r="P495" s="15" t="n">
        <v>2</v>
      </c>
      <c r="Q495" s="15" t="n">
        <v>1</v>
      </c>
    </row>
    <row r="496" customFormat="false" ht="15" hidden="false" customHeight="false" outlineLevel="0" collapsed="false">
      <c r="A496" s="15" t="n">
        <v>492</v>
      </c>
      <c r="B496" s="16" t="n">
        <v>49.381</v>
      </c>
      <c r="C496" s="15" t="n">
        <v>4</v>
      </c>
      <c r="D496" s="15" t="n">
        <v>5</v>
      </c>
      <c r="E496" s="15" t="n">
        <v>4</v>
      </c>
      <c r="F496" s="15" t="n">
        <v>4</v>
      </c>
      <c r="G496" s="15" t="n">
        <v>4</v>
      </c>
      <c r="H496" s="15" t="n">
        <v>1</v>
      </c>
      <c r="I496" s="15" t="n">
        <v>1</v>
      </c>
      <c r="J496" s="15" t="n">
        <v>3</v>
      </c>
      <c r="K496" s="15" t="n">
        <v>5</v>
      </c>
      <c r="L496" s="16" t="n">
        <v>2.464</v>
      </c>
      <c r="M496" s="16" t="n">
        <v>4</v>
      </c>
      <c r="N496" s="15" t="n">
        <v>5</v>
      </c>
      <c r="O496" s="15" t="n">
        <v>1</v>
      </c>
      <c r="P496" s="15" t="n">
        <v>2</v>
      </c>
      <c r="Q496" s="15" t="n">
        <v>1</v>
      </c>
    </row>
    <row r="497" customFormat="false" ht="15" hidden="false" customHeight="false" outlineLevel="0" collapsed="false">
      <c r="A497" s="15" t="n">
        <v>493</v>
      </c>
      <c r="B497" s="16" t="n">
        <v>49.481</v>
      </c>
      <c r="C497" s="15" t="n">
        <v>4</v>
      </c>
      <c r="D497" s="15" t="n">
        <v>5</v>
      </c>
      <c r="E497" s="15" t="n">
        <v>4</v>
      </c>
      <c r="F497" s="15" t="n">
        <v>3</v>
      </c>
      <c r="G497" s="15" t="n">
        <v>4</v>
      </c>
      <c r="H497" s="15" t="n">
        <v>1</v>
      </c>
      <c r="I497" s="15" t="n">
        <v>2</v>
      </c>
      <c r="J497" s="15" t="n">
        <v>3</v>
      </c>
      <c r="K497" s="15" t="n">
        <v>5</v>
      </c>
      <c r="L497" s="16" t="n">
        <v>2.418</v>
      </c>
      <c r="M497" s="16" t="n">
        <v>4</v>
      </c>
      <c r="N497" s="15" t="n">
        <v>5</v>
      </c>
      <c r="O497" s="15" t="n">
        <v>1</v>
      </c>
      <c r="P497" s="15" t="n">
        <v>2</v>
      </c>
      <c r="Q497" s="15" t="n">
        <v>1</v>
      </c>
    </row>
    <row r="498" customFormat="false" ht="15" hidden="false" customHeight="false" outlineLevel="0" collapsed="false">
      <c r="A498" s="15" t="n">
        <v>494</v>
      </c>
      <c r="B498" s="16" t="n">
        <v>49.58</v>
      </c>
      <c r="C498" s="15" t="n">
        <v>4</v>
      </c>
      <c r="D498" s="15" t="n">
        <v>5</v>
      </c>
      <c r="E498" s="15" t="n">
        <v>5</v>
      </c>
      <c r="F498" s="15" t="n">
        <v>3</v>
      </c>
      <c r="G498" s="15" t="n">
        <v>4</v>
      </c>
      <c r="H498" s="15" t="n">
        <v>1</v>
      </c>
      <c r="I498" s="15" t="n">
        <v>2</v>
      </c>
      <c r="J498" s="15" t="n">
        <v>3</v>
      </c>
      <c r="K498" s="15" t="n">
        <v>5</v>
      </c>
      <c r="L498" s="16" t="n">
        <v>2.414</v>
      </c>
      <c r="M498" s="16" t="n">
        <v>4</v>
      </c>
      <c r="N498" s="15" t="n">
        <v>5</v>
      </c>
      <c r="O498" s="15" t="n">
        <v>1</v>
      </c>
      <c r="P498" s="15" t="n">
        <v>2</v>
      </c>
      <c r="Q498" s="15" t="n">
        <v>1</v>
      </c>
    </row>
    <row r="499" customFormat="false" ht="15" hidden="false" customHeight="false" outlineLevel="0" collapsed="false">
      <c r="A499" s="15" t="n">
        <v>495</v>
      </c>
      <c r="B499" s="16" t="n">
        <v>49.679</v>
      </c>
      <c r="C499" s="15" t="n">
        <v>4</v>
      </c>
      <c r="D499" s="15" t="n">
        <v>5</v>
      </c>
      <c r="E499" s="15" t="n">
        <v>4</v>
      </c>
      <c r="F499" s="15" t="n">
        <v>4</v>
      </c>
      <c r="G499" s="15" t="n">
        <v>4</v>
      </c>
      <c r="H499" s="15" t="n">
        <v>1</v>
      </c>
      <c r="I499" s="15" t="n">
        <v>2</v>
      </c>
      <c r="J499" s="15" t="n">
        <v>3</v>
      </c>
      <c r="K499" s="15" t="n">
        <v>5</v>
      </c>
      <c r="L499" s="16" t="n">
        <v>2.425</v>
      </c>
      <c r="M499" s="16" t="n">
        <v>4</v>
      </c>
      <c r="N499" s="15" t="n">
        <v>5</v>
      </c>
      <c r="O499" s="15" t="n">
        <v>1</v>
      </c>
      <c r="P499" s="15" t="n">
        <v>2</v>
      </c>
      <c r="Q499" s="15" t="n">
        <v>1</v>
      </c>
    </row>
    <row r="500" customFormat="false" ht="15" hidden="false" customHeight="false" outlineLevel="0" collapsed="false">
      <c r="A500" s="15" t="n">
        <v>496</v>
      </c>
      <c r="B500" s="16" t="n">
        <v>49.778</v>
      </c>
      <c r="C500" s="15" t="n">
        <v>4</v>
      </c>
      <c r="D500" s="15" t="n">
        <v>5</v>
      </c>
      <c r="E500" s="15" t="n">
        <v>4</v>
      </c>
      <c r="F500" s="15" t="n">
        <v>3</v>
      </c>
      <c r="G500" s="15" t="n">
        <v>4</v>
      </c>
      <c r="H500" s="15" t="n">
        <v>1</v>
      </c>
      <c r="I500" s="15" t="n">
        <v>2</v>
      </c>
      <c r="J500" s="15" t="n">
        <v>3</v>
      </c>
      <c r="K500" s="15" t="n">
        <v>5</v>
      </c>
      <c r="L500" s="16" t="n">
        <v>2.427</v>
      </c>
      <c r="M500" s="16" t="n">
        <v>3.957</v>
      </c>
      <c r="N500" s="15" t="n">
        <v>5</v>
      </c>
      <c r="O500" s="15" t="n">
        <v>1</v>
      </c>
      <c r="P500" s="15" t="n">
        <v>2</v>
      </c>
      <c r="Q500" s="15" t="n">
        <v>1</v>
      </c>
    </row>
    <row r="501" customFormat="false" ht="15" hidden="false" customHeight="false" outlineLevel="0" collapsed="false">
      <c r="A501" s="15" t="n">
        <v>497</v>
      </c>
      <c r="B501" s="16" t="n">
        <v>49.877</v>
      </c>
      <c r="C501" s="15" t="n">
        <v>4</v>
      </c>
      <c r="D501" s="15" t="n">
        <v>5</v>
      </c>
      <c r="E501" s="15" t="n">
        <v>4</v>
      </c>
      <c r="F501" s="15" t="n">
        <v>4</v>
      </c>
      <c r="G501" s="15" t="n">
        <v>4</v>
      </c>
      <c r="H501" s="15" t="n">
        <v>1</v>
      </c>
      <c r="I501" s="15" t="n">
        <v>2</v>
      </c>
      <c r="J501" s="15" t="n">
        <v>3</v>
      </c>
      <c r="K501" s="15" t="n">
        <v>5</v>
      </c>
      <c r="L501" s="16" t="n">
        <v>2.398</v>
      </c>
      <c r="M501" s="16" t="n">
        <v>3.833</v>
      </c>
      <c r="N501" s="15" t="n">
        <v>5</v>
      </c>
      <c r="O501" s="15" t="n">
        <v>1</v>
      </c>
      <c r="P501" s="15" t="n">
        <v>2</v>
      </c>
      <c r="Q501" s="15" t="n">
        <v>1</v>
      </c>
    </row>
    <row r="502" customFormat="false" ht="15" hidden="false" customHeight="false" outlineLevel="0" collapsed="false">
      <c r="A502" s="15" t="n">
        <v>498</v>
      </c>
      <c r="B502" s="16" t="n">
        <v>49.975</v>
      </c>
      <c r="C502" s="15" t="n">
        <v>4</v>
      </c>
      <c r="D502" s="15" t="n">
        <v>5</v>
      </c>
      <c r="E502" s="15" t="n">
        <v>4</v>
      </c>
      <c r="F502" s="15" t="n">
        <v>4</v>
      </c>
      <c r="G502" s="15" t="n">
        <v>4</v>
      </c>
      <c r="H502" s="15" t="n">
        <v>1</v>
      </c>
      <c r="I502" s="15" t="n">
        <v>2</v>
      </c>
      <c r="J502" s="15" t="n">
        <v>3</v>
      </c>
      <c r="K502" s="15" t="n">
        <v>5</v>
      </c>
      <c r="L502" s="16" t="n">
        <v>2.373</v>
      </c>
      <c r="M502" s="16" t="n">
        <v>3.907</v>
      </c>
      <c r="N502" s="15" t="n">
        <v>5</v>
      </c>
      <c r="O502" s="15" t="n">
        <v>1</v>
      </c>
      <c r="P502" s="15" t="n">
        <v>2</v>
      </c>
      <c r="Q502" s="15" t="n">
        <v>1</v>
      </c>
    </row>
    <row r="503" customFormat="false" ht="15" hidden="false" customHeight="false" outlineLevel="0" collapsed="false">
      <c r="A503" s="15" t="n">
        <v>499</v>
      </c>
      <c r="B503" s="16" t="n">
        <v>50.074</v>
      </c>
      <c r="C503" s="15" t="n">
        <v>4</v>
      </c>
      <c r="D503" s="15" t="n">
        <v>5</v>
      </c>
      <c r="E503" s="15" t="n">
        <v>4</v>
      </c>
      <c r="F503" s="15" t="n">
        <v>4</v>
      </c>
      <c r="G503" s="15" t="n">
        <v>4</v>
      </c>
      <c r="H503" s="15" t="n">
        <v>1</v>
      </c>
      <c r="I503" s="15" t="n">
        <v>2</v>
      </c>
      <c r="J503" s="15" t="n">
        <v>3</v>
      </c>
      <c r="K503" s="15" t="n">
        <v>5</v>
      </c>
      <c r="L503" s="16" t="n">
        <v>2.288</v>
      </c>
      <c r="M503" s="16" t="n">
        <v>4</v>
      </c>
      <c r="N503" s="15" t="n">
        <v>5</v>
      </c>
      <c r="O503" s="15" t="n">
        <v>1</v>
      </c>
      <c r="P503" s="15" t="n">
        <v>2</v>
      </c>
      <c r="Q503" s="15" t="n">
        <v>1</v>
      </c>
    </row>
    <row r="504" customFormat="false" ht="15" hidden="false" customHeight="false" outlineLevel="0" collapsed="false">
      <c r="A504" s="15" t="n">
        <v>500</v>
      </c>
      <c r="B504" s="16" t="n">
        <v>50.173</v>
      </c>
      <c r="C504" s="15" t="n">
        <v>4</v>
      </c>
      <c r="D504" s="15" t="n">
        <v>5</v>
      </c>
      <c r="E504" s="15" t="n">
        <v>4</v>
      </c>
      <c r="F504" s="15" t="n">
        <v>4</v>
      </c>
      <c r="G504" s="15" t="n">
        <v>4</v>
      </c>
      <c r="H504" s="15" t="n">
        <v>1</v>
      </c>
      <c r="I504" s="15" t="n">
        <v>2</v>
      </c>
      <c r="J504" s="15" t="n">
        <v>3</v>
      </c>
      <c r="K504" s="15" t="n">
        <v>5</v>
      </c>
      <c r="L504" s="16" t="n">
        <v>2.282</v>
      </c>
      <c r="M504" s="16" t="n">
        <v>4</v>
      </c>
      <c r="N504" s="15" t="n">
        <v>5</v>
      </c>
      <c r="O504" s="15" t="n">
        <v>1</v>
      </c>
      <c r="P504" s="15" t="n">
        <v>2</v>
      </c>
      <c r="Q504" s="15" t="n">
        <v>1</v>
      </c>
    </row>
    <row r="505" customFormat="false" ht="15" hidden="false" customHeight="false" outlineLevel="0" collapsed="false">
      <c r="A505" s="15" t="n">
        <v>501</v>
      </c>
      <c r="B505" s="16" t="n">
        <v>50.272</v>
      </c>
      <c r="C505" s="15" t="n">
        <v>4</v>
      </c>
      <c r="D505" s="15" t="n">
        <v>5</v>
      </c>
      <c r="E505" s="15" t="n">
        <v>4</v>
      </c>
      <c r="F505" s="15" t="n">
        <v>4</v>
      </c>
      <c r="G505" s="15" t="n">
        <v>4</v>
      </c>
      <c r="H505" s="15" t="n">
        <v>1</v>
      </c>
      <c r="I505" s="15" t="n">
        <v>2</v>
      </c>
      <c r="J505" s="15" t="n">
        <v>3</v>
      </c>
      <c r="K505" s="15" t="n">
        <v>5</v>
      </c>
      <c r="L505" s="16" t="n">
        <v>2.382</v>
      </c>
      <c r="M505" s="16" t="n">
        <v>4</v>
      </c>
      <c r="N505" s="15" t="n">
        <v>5</v>
      </c>
      <c r="O505" s="15" t="n">
        <v>1</v>
      </c>
      <c r="P505" s="15" t="n">
        <v>2</v>
      </c>
      <c r="Q505" s="15" t="n">
        <v>1</v>
      </c>
    </row>
    <row r="506" customFormat="false" ht="15" hidden="false" customHeight="false" outlineLevel="0" collapsed="false">
      <c r="A506" s="15" t="n">
        <v>502</v>
      </c>
      <c r="B506" s="16" t="n">
        <v>50.371</v>
      </c>
      <c r="C506" s="15" t="n">
        <v>4</v>
      </c>
      <c r="D506" s="15" t="n">
        <v>5</v>
      </c>
      <c r="E506" s="15" t="n">
        <v>4</v>
      </c>
      <c r="F506" s="15" t="n">
        <v>4</v>
      </c>
      <c r="G506" s="15" t="n">
        <v>4</v>
      </c>
      <c r="H506" s="15" t="n">
        <v>1</v>
      </c>
      <c r="I506" s="15" t="n">
        <v>2</v>
      </c>
      <c r="J506" s="15" t="n">
        <v>3</v>
      </c>
      <c r="K506" s="15" t="n">
        <v>5</v>
      </c>
      <c r="L506" s="16" t="n">
        <v>2.369</v>
      </c>
      <c r="M506" s="16" t="n">
        <v>4</v>
      </c>
      <c r="N506" s="15" t="n">
        <v>5</v>
      </c>
      <c r="O506" s="15" t="n">
        <v>1</v>
      </c>
      <c r="P506" s="15" t="n">
        <v>2</v>
      </c>
      <c r="Q506" s="15" t="n">
        <v>1</v>
      </c>
    </row>
    <row r="507" customFormat="false" ht="15" hidden="false" customHeight="false" outlineLevel="0" collapsed="false">
      <c r="A507" s="15" t="n">
        <v>503</v>
      </c>
      <c r="B507" s="16" t="n">
        <v>50.471</v>
      </c>
      <c r="C507" s="15" t="n">
        <v>4</v>
      </c>
      <c r="D507" s="15" t="n">
        <v>5</v>
      </c>
      <c r="E507" s="15" t="n">
        <v>4</v>
      </c>
      <c r="F507" s="15" t="n">
        <v>4</v>
      </c>
      <c r="G507" s="15" t="n">
        <v>4</v>
      </c>
      <c r="H507" s="15" t="n">
        <v>1</v>
      </c>
      <c r="I507" s="15" t="n">
        <v>2</v>
      </c>
      <c r="J507" s="15" t="n">
        <v>3</v>
      </c>
      <c r="K507" s="15" t="n">
        <v>5</v>
      </c>
      <c r="L507" s="16" t="n">
        <v>2.422</v>
      </c>
      <c r="M507" s="16" t="n">
        <v>4</v>
      </c>
      <c r="N507" s="15" t="n">
        <v>5</v>
      </c>
      <c r="O507" s="15" t="n">
        <v>1</v>
      </c>
      <c r="P507" s="15" t="n">
        <v>2</v>
      </c>
      <c r="Q507" s="15" t="n">
        <v>1</v>
      </c>
    </row>
    <row r="508" customFormat="false" ht="15" hidden="false" customHeight="false" outlineLevel="0" collapsed="false">
      <c r="A508" s="15" t="n">
        <v>504</v>
      </c>
      <c r="B508" s="16" t="n">
        <v>50.57</v>
      </c>
      <c r="C508" s="15" t="n">
        <v>5</v>
      </c>
      <c r="D508" s="15" t="n">
        <v>5</v>
      </c>
      <c r="E508" s="15" t="n">
        <v>4</v>
      </c>
      <c r="F508" s="15" t="n">
        <v>4</v>
      </c>
      <c r="G508" s="15" t="n">
        <v>4</v>
      </c>
      <c r="H508" s="15" t="n">
        <v>1</v>
      </c>
      <c r="I508" s="15" t="n">
        <v>2</v>
      </c>
      <c r="J508" s="15" t="n">
        <v>3</v>
      </c>
      <c r="K508" s="15" t="n">
        <v>5</v>
      </c>
      <c r="L508" s="16" t="n">
        <v>2.468</v>
      </c>
      <c r="M508" s="16" t="n">
        <v>4</v>
      </c>
      <c r="N508" s="15" t="n">
        <v>5</v>
      </c>
      <c r="O508" s="15" t="n">
        <v>1</v>
      </c>
      <c r="P508" s="15" t="n">
        <v>2</v>
      </c>
      <c r="Q508" s="15" t="n">
        <v>1</v>
      </c>
    </row>
    <row r="509" customFormat="false" ht="15" hidden="false" customHeight="false" outlineLevel="0" collapsed="false">
      <c r="A509" s="15" t="n">
        <v>505</v>
      </c>
      <c r="B509" s="16" t="n">
        <v>50.67</v>
      </c>
      <c r="C509" s="15" t="n">
        <v>4</v>
      </c>
      <c r="D509" s="15" t="n">
        <v>5</v>
      </c>
      <c r="E509" s="15" t="n">
        <v>4</v>
      </c>
      <c r="F509" s="15" t="n">
        <v>4</v>
      </c>
      <c r="G509" s="15" t="n">
        <v>4</v>
      </c>
      <c r="H509" s="15" t="n">
        <v>1</v>
      </c>
      <c r="I509" s="15" t="n">
        <v>2</v>
      </c>
      <c r="J509" s="15" t="n">
        <v>3</v>
      </c>
      <c r="K509" s="15" t="n">
        <v>5</v>
      </c>
      <c r="L509" s="16" t="n">
        <v>2.441</v>
      </c>
      <c r="M509" s="16" t="n">
        <v>4</v>
      </c>
      <c r="N509" s="15" t="n">
        <v>4</v>
      </c>
      <c r="O509" s="15" t="n">
        <v>1</v>
      </c>
      <c r="P509" s="15" t="n">
        <v>2</v>
      </c>
      <c r="Q509" s="15" t="n">
        <v>1</v>
      </c>
    </row>
    <row r="510" customFormat="false" ht="15" hidden="false" customHeight="false" outlineLevel="0" collapsed="false">
      <c r="A510" s="15" t="n">
        <v>506</v>
      </c>
      <c r="B510" s="16" t="n">
        <v>50.769</v>
      </c>
      <c r="C510" s="15" t="n">
        <v>4</v>
      </c>
      <c r="D510" s="15" t="n">
        <v>5</v>
      </c>
      <c r="E510" s="15" t="n">
        <v>4</v>
      </c>
      <c r="F510" s="15" t="n">
        <v>3</v>
      </c>
      <c r="G510" s="15" t="n">
        <v>4</v>
      </c>
      <c r="H510" s="15" t="n">
        <v>1</v>
      </c>
      <c r="I510" s="15" t="n">
        <v>1</v>
      </c>
      <c r="J510" s="15" t="n">
        <v>3</v>
      </c>
      <c r="K510" s="15" t="n">
        <v>5</v>
      </c>
      <c r="L510" s="16" t="n">
        <v>2.434</v>
      </c>
      <c r="M510" s="16" t="n">
        <v>4</v>
      </c>
      <c r="N510" s="15" t="n">
        <v>4</v>
      </c>
      <c r="O510" s="15" t="n">
        <v>1</v>
      </c>
      <c r="P510" s="15" t="n">
        <v>2</v>
      </c>
      <c r="Q510" s="15" t="n">
        <v>1</v>
      </c>
    </row>
    <row r="511" customFormat="false" ht="15" hidden="false" customHeight="false" outlineLevel="0" collapsed="false">
      <c r="A511" s="15" t="n">
        <v>507</v>
      </c>
      <c r="B511" s="16" t="n">
        <v>50.869</v>
      </c>
      <c r="C511" s="15" t="n">
        <v>4</v>
      </c>
      <c r="D511" s="15" t="n">
        <v>5</v>
      </c>
      <c r="E511" s="15" t="n">
        <v>3</v>
      </c>
      <c r="F511" s="15" t="n">
        <v>3</v>
      </c>
      <c r="G511" s="15" t="n">
        <v>4</v>
      </c>
      <c r="H511" s="15" t="n">
        <v>1</v>
      </c>
      <c r="I511" s="15" t="n">
        <v>1</v>
      </c>
      <c r="J511" s="15" t="n">
        <v>3</v>
      </c>
      <c r="K511" s="15" t="n">
        <v>5</v>
      </c>
      <c r="L511" s="16" t="n">
        <v>2.436</v>
      </c>
      <c r="M511" s="16" t="n">
        <v>4</v>
      </c>
      <c r="N511" s="15" t="n">
        <v>4</v>
      </c>
      <c r="O511" s="15" t="n">
        <v>1</v>
      </c>
      <c r="P511" s="15" t="n">
        <v>2</v>
      </c>
      <c r="Q511" s="15" t="n">
        <v>1</v>
      </c>
    </row>
    <row r="512" customFormat="false" ht="15" hidden="false" customHeight="false" outlineLevel="0" collapsed="false">
      <c r="A512" s="15" t="n">
        <v>508</v>
      </c>
      <c r="B512" s="16" t="n">
        <v>50.969</v>
      </c>
      <c r="C512" s="15" t="n">
        <v>4</v>
      </c>
      <c r="D512" s="15" t="n">
        <v>5</v>
      </c>
      <c r="E512" s="15" t="n">
        <v>3</v>
      </c>
      <c r="F512" s="15" t="n">
        <v>4</v>
      </c>
      <c r="G512" s="15" t="n">
        <v>4</v>
      </c>
      <c r="H512" s="15" t="n">
        <v>1</v>
      </c>
      <c r="I512" s="15" t="n">
        <v>1</v>
      </c>
      <c r="J512" s="15" t="n">
        <v>3</v>
      </c>
      <c r="K512" s="15" t="n">
        <v>5</v>
      </c>
      <c r="L512" s="16" t="n">
        <v>2.329</v>
      </c>
      <c r="M512" s="16" t="n">
        <v>4</v>
      </c>
      <c r="N512" s="15" t="n">
        <v>4</v>
      </c>
      <c r="O512" s="15" t="n">
        <v>1</v>
      </c>
      <c r="P512" s="15" t="n">
        <v>2</v>
      </c>
      <c r="Q512" s="15" t="n">
        <v>1</v>
      </c>
    </row>
    <row r="513" customFormat="false" ht="15" hidden="false" customHeight="false" outlineLevel="0" collapsed="false">
      <c r="A513" s="15" t="n">
        <v>509</v>
      </c>
      <c r="B513" s="16" t="n">
        <v>51.068</v>
      </c>
      <c r="C513" s="15" t="n">
        <v>5</v>
      </c>
      <c r="D513" s="15" t="n">
        <v>5</v>
      </c>
      <c r="E513" s="15" t="n">
        <v>2</v>
      </c>
      <c r="F513" s="15" t="n">
        <v>4</v>
      </c>
      <c r="G513" s="15" t="n">
        <v>4</v>
      </c>
      <c r="H513" s="15" t="n">
        <v>1</v>
      </c>
      <c r="I513" s="15" t="n">
        <v>1</v>
      </c>
      <c r="J513" s="15" t="n">
        <v>3</v>
      </c>
      <c r="K513" s="15" t="n">
        <v>5</v>
      </c>
      <c r="L513" s="16" t="n">
        <v>2.16</v>
      </c>
      <c r="M513" s="16" t="n">
        <v>4</v>
      </c>
      <c r="N513" s="15" t="n">
        <v>4</v>
      </c>
      <c r="O513" s="15" t="n">
        <v>1</v>
      </c>
      <c r="P513" s="15" t="n">
        <v>2</v>
      </c>
      <c r="Q513" s="15" t="n">
        <v>1</v>
      </c>
    </row>
    <row r="514" customFormat="false" ht="15" hidden="false" customHeight="false" outlineLevel="0" collapsed="false">
      <c r="A514" s="15" t="n">
        <v>510</v>
      </c>
      <c r="B514" s="16" t="n">
        <v>51.168</v>
      </c>
      <c r="C514" s="15" t="n">
        <v>5</v>
      </c>
      <c r="D514" s="15" t="n">
        <v>5</v>
      </c>
      <c r="E514" s="15" t="n">
        <v>1</v>
      </c>
      <c r="F514" s="15" t="n">
        <v>4</v>
      </c>
      <c r="G514" s="15" t="n">
        <v>4</v>
      </c>
      <c r="H514" s="15" t="n">
        <v>1</v>
      </c>
      <c r="I514" s="15" t="n">
        <v>1</v>
      </c>
      <c r="J514" s="15" t="n">
        <v>3</v>
      </c>
      <c r="K514" s="15" t="n">
        <v>5</v>
      </c>
      <c r="L514" s="16" t="n">
        <v>2.246</v>
      </c>
      <c r="M514" s="16" t="n">
        <v>4</v>
      </c>
      <c r="N514" s="15" t="n">
        <v>4</v>
      </c>
      <c r="O514" s="15" t="n">
        <v>1</v>
      </c>
      <c r="P514" s="15" t="n">
        <v>2</v>
      </c>
      <c r="Q514" s="15" t="n">
        <v>1</v>
      </c>
    </row>
    <row r="515" customFormat="false" ht="15" hidden="false" customHeight="false" outlineLevel="0" collapsed="false">
      <c r="A515" s="15" t="n">
        <v>511</v>
      </c>
      <c r="B515" s="16" t="n">
        <v>51.269</v>
      </c>
      <c r="C515" s="15" t="n">
        <v>5</v>
      </c>
      <c r="D515" s="15" t="n">
        <v>5</v>
      </c>
      <c r="E515" s="15" t="n">
        <v>1</v>
      </c>
      <c r="F515" s="15" t="n">
        <v>4</v>
      </c>
      <c r="G515" s="15" t="n">
        <v>4</v>
      </c>
      <c r="H515" s="15" t="n">
        <v>1</v>
      </c>
      <c r="I515" s="15" t="n">
        <v>1</v>
      </c>
      <c r="J515" s="15" t="n">
        <v>3</v>
      </c>
      <c r="K515" s="15" t="n">
        <v>5</v>
      </c>
      <c r="L515" s="16" t="n">
        <v>2.308</v>
      </c>
      <c r="M515" s="16" t="n">
        <v>4</v>
      </c>
      <c r="N515" s="15" t="n">
        <v>4</v>
      </c>
      <c r="O515" s="15" t="n">
        <v>1</v>
      </c>
      <c r="P515" s="15" t="n">
        <v>2</v>
      </c>
      <c r="Q515" s="15" t="n">
        <v>1</v>
      </c>
    </row>
    <row r="516" customFormat="false" ht="15" hidden="false" customHeight="false" outlineLevel="0" collapsed="false">
      <c r="A516" s="15" t="n">
        <v>512</v>
      </c>
      <c r="B516" s="16" t="n">
        <v>51.369</v>
      </c>
      <c r="C516" s="15" t="n">
        <v>5</v>
      </c>
      <c r="D516" s="15" t="n">
        <v>5</v>
      </c>
      <c r="E516" s="15" t="n">
        <v>1</v>
      </c>
      <c r="F516" s="15" t="n">
        <v>3</v>
      </c>
      <c r="G516" s="15" t="n">
        <v>4</v>
      </c>
      <c r="H516" s="15" t="n">
        <v>1</v>
      </c>
      <c r="I516" s="15" t="n">
        <v>1</v>
      </c>
      <c r="J516" s="15" t="n">
        <v>3</v>
      </c>
      <c r="K516" s="15" t="n">
        <v>5</v>
      </c>
      <c r="L516" s="16" t="n">
        <v>2.303</v>
      </c>
      <c r="M516" s="16" t="n">
        <v>4</v>
      </c>
      <c r="N516" s="15" t="n">
        <v>4</v>
      </c>
      <c r="O516" s="15" t="n">
        <v>1</v>
      </c>
      <c r="P516" s="15" t="n">
        <v>2</v>
      </c>
      <c r="Q516" s="15" t="n">
        <v>1</v>
      </c>
    </row>
    <row r="517" customFormat="false" ht="15" hidden="false" customHeight="false" outlineLevel="0" collapsed="false">
      <c r="A517" s="15" t="n">
        <v>513</v>
      </c>
      <c r="B517" s="16" t="n">
        <v>51.47</v>
      </c>
      <c r="C517" s="15" t="n">
        <v>5</v>
      </c>
      <c r="D517" s="15" t="n">
        <v>5</v>
      </c>
      <c r="E517" s="15" t="n">
        <v>1</v>
      </c>
      <c r="F517" s="15" t="n">
        <v>4</v>
      </c>
      <c r="G517" s="15" t="n">
        <v>4</v>
      </c>
      <c r="H517" s="15" t="n">
        <v>1</v>
      </c>
      <c r="I517" s="15" t="n">
        <v>1</v>
      </c>
      <c r="J517" s="15" t="n">
        <v>3</v>
      </c>
      <c r="K517" s="15" t="n">
        <v>5</v>
      </c>
      <c r="L517" s="16" t="n">
        <v>2.31</v>
      </c>
      <c r="M517" s="16" t="n">
        <v>4</v>
      </c>
      <c r="N517" s="15" t="n">
        <v>4</v>
      </c>
      <c r="O517" s="15" t="n">
        <v>1</v>
      </c>
      <c r="P517" s="15" t="n">
        <v>2</v>
      </c>
      <c r="Q517" s="15" t="n">
        <v>1</v>
      </c>
    </row>
    <row r="518" customFormat="false" ht="15" hidden="false" customHeight="false" outlineLevel="0" collapsed="false">
      <c r="A518" s="15" t="n">
        <v>514</v>
      </c>
      <c r="B518" s="16" t="n">
        <v>51.571</v>
      </c>
      <c r="C518" s="15" t="n">
        <v>5</v>
      </c>
      <c r="D518" s="15" t="n">
        <v>5</v>
      </c>
      <c r="E518" s="15" t="n">
        <v>1</v>
      </c>
      <c r="F518" s="15" t="n">
        <v>4</v>
      </c>
      <c r="G518" s="15" t="n">
        <v>4</v>
      </c>
      <c r="H518" s="15" t="n">
        <v>1</v>
      </c>
      <c r="I518" s="15" t="n">
        <v>1</v>
      </c>
      <c r="J518" s="15" t="n">
        <v>3</v>
      </c>
      <c r="K518" s="15" t="n">
        <v>5</v>
      </c>
      <c r="L518" s="16" t="n">
        <v>2.184</v>
      </c>
      <c r="M518" s="16" t="n">
        <v>4</v>
      </c>
      <c r="N518" s="15" t="n">
        <v>4</v>
      </c>
      <c r="O518" s="15" t="n">
        <v>1</v>
      </c>
      <c r="P518" s="15" t="n">
        <v>2</v>
      </c>
      <c r="Q518" s="15" t="n">
        <v>1</v>
      </c>
    </row>
    <row r="519" customFormat="false" ht="15" hidden="false" customHeight="false" outlineLevel="0" collapsed="false">
      <c r="A519" s="15" t="n">
        <v>515</v>
      </c>
      <c r="B519" s="16" t="n">
        <v>51.672</v>
      </c>
      <c r="C519" s="15" t="n">
        <v>5</v>
      </c>
      <c r="D519" s="15" t="n">
        <v>5</v>
      </c>
      <c r="E519" s="15" t="n">
        <v>1</v>
      </c>
      <c r="F519" s="15" t="n">
        <v>4</v>
      </c>
      <c r="G519" s="15" t="n">
        <v>4</v>
      </c>
      <c r="H519" s="15" t="n">
        <v>1</v>
      </c>
      <c r="I519" s="15" t="n">
        <v>1</v>
      </c>
      <c r="J519" s="15" t="n">
        <v>3</v>
      </c>
      <c r="K519" s="15" t="n">
        <v>5</v>
      </c>
      <c r="L519" s="16" t="n">
        <v>2.256</v>
      </c>
      <c r="M519" s="16" t="n">
        <v>4</v>
      </c>
      <c r="N519" s="15" t="n">
        <v>4</v>
      </c>
      <c r="O519" s="15" t="n">
        <v>1</v>
      </c>
      <c r="P519" s="15" t="n">
        <v>2</v>
      </c>
      <c r="Q519" s="15" t="n">
        <v>1</v>
      </c>
    </row>
    <row r="520" customFormat="false" ht="15" hidden="false" customHeight="false" outlineLevel="0" collapsed="false">
      <c r="A520" s="15" t="n">
        <v>516</v>
      </c>
      <c r="B520" s="16" t="n">
        <v>51.773</v>
      </c>
      <c r="C520" s="15" t="n">
        <v>5</v>
      </c>
      <c r="D520" s="15" t="n">
        <v>5</v>
      </c>
      <c r="E520" s="15" t="n">
        <v>1</v>
      </c>
      <c r="F520" s="15" t="n">
        <v>3</v>
      </c>
      <c r="G520" s="15" t="n">
        <v>4</v>
      </c>
      <c r="H520" s="15" t="n">
        <v>1</v>
      </c>
      <c r="I520" s="15" t="n">
        <v>1</v>
      </c>
      <c r="J520" s="15" t="n">
        <v>3</v>
      </c>
      <c r="K520" s="15" t="n">
        <v>5</v>
      </c>
      <c r="L520" s="16" t="n">
        <v>2.327</v>
      </c>
      <c r="M520" s="16" t="n">
        <v>4</v>
      </c>
      <c r="N520" s="15" t="n">
        <v>4</v>
      </c>
      <c r="O520" s="15" t="n">
        <v>1</v>
      </c>
      <c r="P520" s="15" t="n">
        <v>2</v>
      </c>
      <c r="Q520" s="15" t="n">
        <v>1</v>
      </c>
    </row>
    <row r="521" customFormat="false" ht="15" hidden="false" customHeight="false" outlineLevel="0" collapsed="false">
      <c r="A521" s="15" t="n">
        <v>517</v>
      </c>
      <c r="B521" s="16" t="n">
        <v>51.873</v>
      </c>
      <c r="C521" s="15" t="n">
        <v>5</v>
      </c>
      <c r="D521" s="15" t="n">
        <v>5</v>
      </c>
      <c r="E521" s="15" t="n">
        <v>1</v>
      </c>
      <c r="F521" s="15" t="n">
        <v>3</v>
      </c>
      <c r="G521" s="15" t="n">
        <v>4</v>
      </c>
      <c r="H521" s="15" t="n">
        <v>1</v>
      </c>
      <c r="I521" s="15" t="n">
        <v>1</v>
      </c>
      <c r="J521" s="15" t="n">
        <v>3</v>
      </c>
      <c r="K521" s="15" t="n">
        <v>5</v>
      </c>
      <c r="L521" s="16" t="n">
        <v>2.086</v>
      </c>
      <c r="M521" s="16" t="n">
        <v>4</v>
      </c>
      <c r="N521" s="15" t="n">
        <v>4</v>
      </c>
      <c r="O521" s="15" t="n">
        <v>1</v>
      </c>
      <c r="P521" s="15" t="n">
        <v>2</v>
      </c>
      <c r="Q521" s="15" t="n">
        <v>1</v>
      </c>
    </row>
    <row r="522" customFormat="false" ht="15" hidden="false" customHeight="false" outlineLevel="0" collapsed="false">
      <c r="A522" s="15" t="n">
        <v>518</v>
      </c>
      <c r="B522" s="16" t="n">
        <v>51.974</v>
      </c>
      <c r="C522" s="15" t="n">
        <v>5</v>
      </c>
      <c r="D522" s="15" t="n">
        <v>5</v>
      </c>
      <c r="E522" s="15" t="n">
        <v>2</v>
      </c>
      <c r="F522" s="15" t="n">
        <v>3</v>
      </c>
      <c r="G522" s="15" t="n">
        <v>4</v>
      </c>
      <c r="H522" s="15" t="n">
        <v>1</v>
      </c>
      <c r="I522" s="15" t="n">
        <v>1</v>
      </c>
      <c r="J522" s="15" t="n">
        <v>3</v>
      </c>
      <c r="K522" s="15" t="n">
        <v>5</v>
      </c>
      <c r="L522" s="16" t="n">
        <v>2.304</v>
      </c>
      <c r="M522" s="16" t="n">
        <v>3.701</v>
      </c>
      <c r="N522" s="15" t="n">
        <v>4</v>
      </c>
      <c r="O522" s="15" t="n">
        <v>1</v>
      </c>
      <c r="P522" s="15" t="n">
        <v>2</v>
      </c>
      <c r="Q522" s="15" t="n">
        <v>2</v>
      </c>
    </row>
    <row r="523" customFormat="false" ht="15" hidden="false" customHeight="false" outlineLevel="0" collapsed="false">
      <c r="A523" s="15" t="n">
        <v>519</v>
      </c>
      <c r="B523" s="16" t="n">
        <v>52.075</v>
      </c>
      <c r="C523" s="15" t="n">
        <v>5</v>
      </c>
      <c r="D523" s="15" t="n">
        <v>5</v>
      </c>
      <c r="E523" s="15" t="n">
        <v>3</v>
      </c>
      <c r="F523" s="15" t="n">
        <v>3</v>
      </c>
      <c r="G523" s="15" t="n">
        <v>4</v>
      </c>
      <c r="H523" s="15" t="n">
        <v>1</v>
      </c>
      <c r="I523" s="15" t="n">
        <v>1</v>
      </c>
      <c r="J523" s="15" t="n">
        <v>3</v>
      </c>
      <c r="K523" s="15" t="n">
        <v>5</v>
      </c>
      <c r="L523" s="16" t="n">
        <v>2.56</v>
      </c>
      <c r="M523" s="16" t="n">
        <v>3.482</v>
      </c>
      <c r="N523" s="15" t="n">
        <v>4</v>
      </c>
      <c r="O523" s="15" t="n">
        <v>1</v>
      </c>
      <c r="P523" s="15" t="n">
        <v>2</v>
      </c>
      <c r="Q523" s="15" t="n">
        <v>1</v>
      </c>
    </row>
    <row r="524" customFormat="false" ht="15" hidden="false" customHeight="false" outlineLevel="0" collapsed="false">
      <c r="A524" s="15" t="n">
        <v>520</v>
      </c>
      <c r="B524" s="16" t="n">
        <v>52.176</v>
      </c>
      <c r="C524" s="15" t="n">
        <v>5</v>
      </c>
      <c r="D524" s="15" t="n">
        <v>5</v>
      </c>
      <c r="E524" s="15" t="n">
        <v>2</v>
      </c>
      <c r="F524" s="15" t="n">
        <v>3</v>
      </c>
      <c r="G524" s="15" t="n">
        <v>4</v>
      </c>
      <c r="H524" s="15" t="n">
        <v>1</v>
      </c>
      <c r="I524" s="15" t="n">
        <v>1</v>
      </c>
      <c r="J524" s="15" t="n">
        <v>3</v>
      </c>
      <c r="K524" s="15" t="n">
        <v>5</v>
      </c>
      <c r="L524" s="16" t="n">
        <v>2.325</v>
      </c>
      <c r="M524" s="16" t="n">
        <v>3.969</v>
      </c>
      <c r="N524" s="15" t="n">
        <v>4</v>
      </c>
      <c r="O524" s="15" t="n">
        <v>1</v>
      </c>
      <c r="P524" s="15" t="n">
        <v>2</v>
      </c>
      <c r="Q524" s="15" t="n">
        <v>1</v>
      </c>
    </row>
    <row r="525" customFormat="false" ht="15" hidden="false" customHeight="false" outlineLevel="0" collapsed="false">
      <c r="A525" s="15" t="n">
        <v>521</v>
      </c>
      <c r="B525" s="16" t="n">
        <v>52.276</v>
      </c>
      <c r="C525" s="15" t="n">
        <v>5</v>
      </c>
      <c r="D525" s="15" t="n">
        <v>5</v>
      </c>
      <c r="E525" s="15" t="n">
        <v>1</v>
      </c>
      <c r="F525" s="15" t="n">
        <v>3</v>
      </c>
      <c r="G525" s="15" t="n">
        <v>4</v>
      </c>
      <c r="H525" s="15" t="n">
        <v>1</v>
      </c>
      <c r="I525" s="15" t="n">
        <v>1</v>
      </c>
      <c r="J525" s="15" t="n">
        <v>3</v>
      </c>
      <c r="K525" s="15" t="n">
        <v>5</v>
      </c>
      <c r="L525" s="16" t="n">
        <v>2.156</v>
      </c>
      <c r="M525" s="16" t="n">
        <v>4</v>
      </c>
      <c r="N525" s="15" t="n">
        <v>4</v>
      </c>
      <c r="O525" s="15" t="n">
        <v>1</v>
      </c>
      <c r="P525" s="15" t="n">
        <v>2</v>
      </c>
      <c r="Q525" s="15" t="n">
        <v>1</v>
      </c>
    </row>
    <row r="526" customFormat="false" ht="15" hidden="false" customHeight="false" outlineLevel="0" collapsed="false">
      <c r="A526" s="15" t="n">
        <v>522</v>
      </c>
      <c r="B526" s="16" t="n">
        <v>52.377</v>
      </c>
      <c r="C526" s="15" t="n">
        <v>5</v>
      </c>
      <c r="D526" s="15" t="n">
        <v>5</v>
      </c>
      <c r="E526" s="15" t="n">
        <v>1</v>
      </c>
      <c r="F526" s="15" t="n">
        <v>3</v>
      </c>
      <c r="G526" s="15" t="n">
        <v>4</v>
      </c>
      <c r="H526" s="15" t="n">
        <v>1</v>
      </c>
      <c r="I526" s="15" t="n">
        <v>1</v>
      </c>
      <c r="J526" s="15" t="n">
        <v>3</v>
      </c>
      <c r="K526" s="15" t="n">
        <v>5</v>
      </c>
      <c r="L526" s="16" t="n">
        <v>2.136</v>
      </c>
      <c r="M526" s="16" t="n">
        <v>4</v>
      </c>
      <c r="N526" s="15" t="n">
        <v>4</v>
      </c>
      <c r="O526" s="15" t="n">
        <v>1</v>
      </c>
      <c r="P526" s="15" t="n">
        <v>2</v>
      </c>
      <c r="Q526" s="15" t="n">
        <v>1</v>
      </c>
    </row>
    <row r="527" customFormat="false" ht="15" hidden="false" customHeight="false" outlineLevel="0" collapsed="false">
      <c r="A527" s="15" t="n">
        <v>523</v>
      </c>
      <c r="B527" s="16" t="n">
        <v>52.478</v>
      </c>
      <c r="C527" s="15" t="n">
        <v>5</v>
      </c>
      <c r="D527" s="15" t="n">
        <v>5</v>
      </c>
      <c r="E527" s="15" t="n">
        <v>1</v>
      </c>
      <c r="F527" s="15" t="n">
        <v>3</v>
      </c>
      <c r="G527" s="15" t="n">
        <v>4</v>
      </c>
      <c r="H527" s="15" t="n">
        <v>1</v>
      </c>
      <c r="I527" s="15" t="n">
        <v>1</v>
      </c>
      <c r="J527" s="15" t="n">
        <v>3</v>
      </c>
      <c r="K527" s="15" t="n">
        <v>5</v>
      </c>
      <c r="L527" s="16" t="n">
        <v>2.144</v>
      </c>
      <c r="M527" s="16" t="n">
        <v>4</v>
      </c>
      <c r="N527" s="15" t="n">
        <v>4</v>
      </c>
      <c r="O527" s="15" t="n">
        <v>1</v>
      </c>
      <c r="P527" s="15" t="n">
        <v>2</v>
      </c>
      <c r="Q527" s="15" t="n">
        <v>1</v>
      </c>
    </row>
    <row r="528" customFormat="false" ht="15" hidden="false" customHeight="false" outlineLevel="0" collapsed="false">
      <c r="A528" s="15" t="n">
        <v>524</v>
      </c>
      <c r="B528" s="16" t="n">
        <v>52.578</v>
      </c>
      <c r="C528" s="15" t="n">
        <v>4</v>
      </c>
      <c r="D528" s="15" t="n">
        <v>5</v>
      </c>
      <c r="E528" s="15" t="n">
        <v>2</v>
      </c>
      <c r="F528" s="15" t="n">
        <v>3</v>
      </c>
      <c r="G528" s="15" t="n">
        <v>4</v>
      </c>
      <c r="H528" s="15" t="n">
        <v>1</v>
      </c>
      <c r="I528" s="15" t="n">
        <v>1</v>
      </c>
      <c r="J528" s="15" t="n">
        <v>3</v>
      </c>
      <c r="K528" s="15" t="n">
        <v>5</v>
      </c>
      <c r="L528" s="16" t="n">
        <v>2.137</v>
      </c>
      <c r="M528" s="16" t="n">
        <v>4</v>
      </c>
      <c r="N528" s="15" t="n">
        <v>4</v>
      </c>
      <c r="O528" s="15" t="n">
        <v>1</v>
      </c>
      <c r="P528" s="15" t="n">
        <v>2</v>
      </c>
      <c r="Q528" s="15" t="n">
        <v>1</v>
      </c>
    </row>
    <row r="529" customFormat="false" ht="15" hidden="false" customHeight="false" outlineLevel="0" collapsed="false">
      <c r="A529" s="15" t="n">
        <v>525</v>
      </c>
      <c r="B529" s="16" t="n">
        <v>52.679</v>
      </c>
      <c r="C529" s="15" t="n">
        <v>4</v>
      </c>
      <c r="D529" s="15" t="n">
        <v>5</v>
      </c>
      <c r="E529" s="15" t="n">
        <v>3</v>
      </c>
      <c r="F529" s="15" t="n">
        <v>3</v>
      </c>
      <c r="G529" s="15" t="n">
        <v>4</v>
      </c>
      <c r="H529" s="15" t="n">
        <v>1</v>
      </c>
      <c r="I529" s="15" t="n">
        <v>1</v>
      </c>
      <c r="J529" s="15" t="n">
        <v>3</v>
      </c>
      <c r="K529" s="15" t="n">
        <v>5</v>
      </c>
      <c r="L529" s="16" t="n">
        <v>2.194</v>
      </c>
      <c r="M529" s="16" t="n">
        <v>4</v>
      </c>
      <c r="N529" s="15" t="n">
        <v>4</v>
      </c>
      <c r="O529" s="15" t="n">
        <v>1</v>
      </c>
      <c r="P529" s="15" t="n">
        <v>2</v>
      </c>
      <c r="Q529" s="15" t="n">
        <v>1</v>
      </c>
    </row>
    <row r="530" customFormat="false" ht="15" hidden="false" customHeight="false" outlineLevel="0" collapsed="false">
      <c r="A530" s="15" t="n">
        <v>526</v>
      </c>
      <c r="B530" s="16" t="n">
        <v>52.779</v>
      </c>
      <c r="C530" s="15" t="n">
        <v>4</v>
      </c>
      <c r="D530" s="15" t="n">
        <v>5</v>
      </c>
      <c r="E530" s="15" t="n">
        <v>3</v>
      </c>
      <c r="F530" s="15" t="n">
        <v>2</v>
      </c>
      <c r="G530" s="15" t="n">
        <v>4</v>
      </c>
      <c r="H530" s="15" t="n">
        <v>1</v>
      </c>
      <c r="I530" s="15" t="n">
        <v>1</v>
      </c>
      <c r="J530" s="15" t="n">
        <v>3</v>
      </c>
      <c r="K530" s="15" t="n">
        <v>5</v>
      </c>
      <c r="L530" s="16" t="n">
        <v>2.226</v>
      </c>
      <c r="M530" s="16" t="n">
        <v>3.85</v>
      </c>
      <c r="N530" s="15" t="n">
        <v>4</v>
      </c>
      <c r="O530" s="15" t="n">
        <v>1</v>
      </c>
      <c r="P530" s="15" t="n">
        <v>2</v>
      </c>
      <c r="Q530" s="15" t="n">
        <v>1</v>
      </c>
    </row>
    <row r="531" customFormat="false" ht="15" hidden="false" customHeight="false" outlineLevel="0" collapsed="false">
      <c r="A531" s="15" t="n">
        <v>527</v>
      </c>
      <c r="B531" s="16" t="n">
        <v>52.88</v>
      </c>
      <c r="C531" s="15" t="n">
        <v>4</v>
      </c>
      <c r="D531" s="15" t="n">
        <v>5</v>
      </c>
      <c r="E531" s="15" t="n">
        <v>2</v>
      </c>
      <c r="F531" s="15" t="n">
        <v>4</v>
      </c>
      <c r="G531" s="15" t="n">
        <v>4</v>
      </c>
      <c r="H531" s="15" t="n">
        <v>1</v>
      </c>
      <c r="I531" s="15" t="n">
        <v>1</v>
      </c>
      <c r="J531" s="15" t="n">
        <v>3</v>
      </c>
      <c r="K531" s="15" t="n">
        <v>5</v>
      </c>
      <c r="L531" s="16" t="n">
        <v>2.268</v>
      </c>
      <c r="M531" s="16" t="n">
        <v>3.799</v>
      </c>
      <c r="N531" s="15" t="n">
        <v>4</v>
      </c>
      <c r="O531" s="15" t="n">
        <v>1</v>
      </c>
      <c r="P531" s="15" t="n">
        <v>2</v>
      </c>
      <c r="Q531" s="15" t="n">
        <v>1</v>
      </c>
    </row>
    <row r="532" customFormat="false" ht="15" hidden="false" customHeight="false" outlineLevel="0" collapsed="false">
      <c r="A532" s="15" t="n">
        <v>528</v>
      </c>
      <c r="B532" s="16" t="n">
        <v>52.981</v>
      </c>
      <c r="C532" s="15" t="n">
        <v>4</v>
      </c>
      <c r="D532" s="15" t="n">
        <v>5</v>
      </c>
      <c r="E532" s="15" t="n">
        <v>3</v>
      </c>
      <c r="F532" s="15" t="n">
        <v>4</v>
      </c>
      <c r="G532" s="15" t="n">
        <v>4</v>
      </c>
      <c r="H532" s="15" t="n">
        <v>1</v>
      </c>
      <c r="I532" s="15" t="n">
        <v>1</v>
      </c>
      <c r="J532" s="15" t="n">
        <v>3</v>
      </c>
      <c r="K532" s="15" t="n">
        <v>5</v>
      </c>
      <c r="L532" s="16" t="n">
        <v>2.313</v>
      </c>
      <c r="M532" s="16" t="n">
        <v>3.963</v>
      </c>
      <c r="N532" s="15" t="n">
        <v>4</v>
      </c>
      <c r="O532" s="15" t="n">
        <v>1</v>
      </c>
      <c r="P532" s="15" t="n">
        <v>2</v>
      </c>
      <c r="Q532" s="15" t="n">
        <v>1</v>
      </c>
    </row>
    <row r="533" customFormat="false" ht="15" hidden="false" customHeight="false" outlineLevel="0" collapsed="false">
      <c r="A533" s="15" t="n">
        <v>529</v>
      </c>
      <c r="B533" s="16" t="n">
        <v>53.081</v>
      </c>
      <c r="C533" s="15" t="n">
        <v>4</v>
      </c>
      <c r="D533" s="15" t="n">
        <v>5</v>
      </c>
      <c r="E533" s="15" t="n">
        <v>3</v>
      </c>
      <c r="F533" s="15" t="n">
        <v>4</v>
      </c>
      <c r="G533" s="15" t="n">
        <v>4</v>
      </c>
      <c r="H533" s="15" t="n">
        <v>1</v>
      </c>
      <c r="I533" s="15" t="n">
        <v>1</v>
      </c>
      <c r="J533" s="15" t="n">
        <v>3</v>
      </c>
      <c r="K533" s="15" t="n">
        <v>5</v>
      </c>
      <c r="L533" s="16" t="n">
        <v>1.76</v>
      </c>
      <c r="M533" s="16" t="n">
        <v>3.949</v>
      </c>
      <c r="N533" s="15" t="n">
        <v>4</v>
      </c>
      <c r="O533" s="15" t="n">
        <v>1</v>
      </c>
      <c r="P533" s="15" t="n">
        <v>2</v>
      </c>
      <c r="Q533" s="15" t="n">
        <v>1</v>
      </c>
    </row>
    <row r="534" customFormat="false" ht="15" hidden="false" customHeight="false" outlineLevel="0" collapsed="false">
      <c r="A534" s="15" t="n">
        <v>530</v>
      </c>
      <c r="B534" s="16" t="n">
        <v>53.181</v>
      </c>
      <c r="C534" s="15" t="n">
        <v>4</v>
      </c>
      <c r="D534" s="15" t="n">
        <v>5</v>
      </c>
      <c r="E534" s="15" t="n">
        <v>3</v>
      </c>
      <c r="F534" s="15" t="n">
        <v>4</v>
      </c>
      <c r="G534" s="15" t="n">
        <v>4</v>
      </c>
      <c r="H534" s="15" t="n">
        <v>1</v>
      </c>
      <c r="I534" s="15" t="n">
        <v>1</v>
      </c>
      <c r="J534" s="15" t="n">
        <v>3</v>
      </c>
      <c r="K534" s="15" t="n">
        <v>5</v>
      </c>
      <c r="L534" s="16" t="n">
        <v>1.703</v>
      </c>
      <c r="M534" s="16" t="n">
        <v>4</v>
      </c>
      <c r="N534" s="15" t="n">
        <v>4</v>
      </c>
      <c r="O534" s="15" t="n">
        <v>1</v>
      </c>
      <c r="P534" s="15" t="n">
        <v>2</v>
      </c>
      <c r="Q534" s="15" t="n">
        <v>1</v>
      </c>
    </row>
    <row r="535" customFormat="false" ht="15" hidden="false" customHeight="false" outlineLevel="0" collapsed="false">
      <c r="A535" s="15" t="n">
        <v>531</v>
      </c>
      <c r="B535" s="16" t="n">
        <v>53.281</v>
      </c>
      <c r="C535" s="15" t="n">
        <v>4</v>
      </c>
      <c r="D535" s="15" t="n">
        <v>5</v>
      </c>
      <c r="E535" s="15" t="n">
        <v>3</v>
      </c>
      <c r="F535" s="15" t="n">
        <v>5</v>
      </c>
      <c r="G535" s="15" t="n">
        <v>4</v>
      </c>
      <c r="H535" s="15" t="n">
        <v>1</v>
      </c>
      <c r="I535" s="15" t="n">
        <v>2</v>
      </c>
      <c r="J535" s="15" t="n">
        <v>3</v>
      </c>
      <c r="K535" s="15" t="n">
        <v>5</v>
      </c>
      <c r="L535" s="16" t="n">
        <v>1.786</v>
      </c>
      <c r="M535" s="16" t="n">
        <v>3.999</v>
      </c>
      <c r="N535" s="15" t="n">
        <v>4</v>
      </c>
      <c r="O535" s="15" t="n">
        <v>1</v>
      </c>
      <c r="P535" s="15" t="n">
        <v>2</v>
      </c>
      <c r="Q535" s="15" t="n">
        <v>1</v>
      </c>
    </row>
    <row r="536" customFormat="false" ht="15" hidden="false" customHeight="false" outlineLevel="0" collapsed="false">
      <c r="A536" s="15" t="n">
        <v>532</v>
      </c>
      <c r="B536" s="16" t="n">
        <v>53.38</v>
      </c>
      <c r="C536" s="15" t="n">
        <v>4</v>
      </c>
      <c r="D536" s="15" t="n">
        <v>5</v>
      </c>
      <c r="E536" s="15" t="n">
        <v>3</v>
      </c>
      <c r="F536" s="15" t="n">
        <v>4</v>
      </c>
      <c r="G536" s="15" t="n">
        <v>4</v>
      </c>
      <c r="H536" s="15" t="n">
        <v>1</v>
      </c>
      <c r="I536" s="15" t="n">
        <v>1</v>
      </c>
      <c r="J536" s="15" t="n">
        <v>3</v>
      </c>
      <c r="K536" s="15" t="n">
        <v>5</v>
      </c>
      <c r="L536" s="16" t="n">
        <v>2.137</v>
      </c>
      <c r="M536" s="16" t="n">
        <v>3.772</v>
      </c>
      <c r="N536" s="15" t="n">
        <v>4</v>
      </c>
      <c r="O536" s="15" t="n">
        <v>1</v>
      </c>
      <c r="P536" s="15" t="n">
        <v>2</v>
      </c>
      <c r="Q536" s="15" t="n">
        <v>1</v>
      </c>
    </row>
    <row r="537" customFormat="false" ht="15" hidden="false" customHeight="false" outlineLevel="0" collapsed="false">
      <c r="A537" s="15" t="n">
        <v>533</v>
      </c>
      <c r="B537" s="16" t="n">
        <v>53.48</v>
      </c>
      <c r="C537" s="15" t="n">
        <v>4</v>
      </c>
      <c r="D537" s="15" t="n">
        <v>5</v>
      </c>
      <c r="E537" s="15" t="n">
        <v>3</v>
      </c>
      <c r="F537" s="15" t="n">
        <v>4</v>
      </c>
      <c r="G537" s="15" t="n">
        <v>4</v>
      </c>
      <c r="H537" s="15" t="n">
        <v>1</v>
      </c>
      <c r="I537" s="15" t="n">
        <v>1</v>
      </c>
      <c r="J537" s="15" t="n">
        <v>3</v>
      </c>
      <c r="K537" s="15" t="n">
        <v>5</v>
      </c>
      <c r="L537" s="16" t="n">
        <v>2.456</v>
      </c>
      <c r="M537" s="16" t="n">
        <v>3.568</v>
      </c>
      <c r="N537" s="15" t="n">
        <v>4</v>
      </c>
      <c r="O537" s="15" t="n">
        <v>1</v>
      </c>
      <c r="P537" s="15" t="n">
        <v>2</v>
      </c>
      <c r="Q537" s="15" t="n">
        <v>1</v>
      </c>
    </row>
    <row r="538" customFormat="false" ht="15" hidden="false" customHeight="false" outlineLevel="0" collapsed="false">
      <c r="A538" s="15" t="n">
        <v>534</v>
      </c>
      <c r="B538" s="16" t="n">
        <v>53.579</v>
      </c>
      <c r="C538" s="15" t="n">
        <v>4</v>
      </c>
      <c r="D538" s="15" t="n">
        <v>5</v>
      </c>
      <c r="E538" s="15" t="n">
        <v>3</v>
      </c>
      <c r="F538" s="15" t="n">
        <v>3</v>
      </c>
      <c r="G538" s="15" t="n">
        <v>4</v>
      </c>
      <c r="H538" s="15" t="n">
        <v>1</v>
      </c>
      <c r="I538" s="15" t="n">
        <v>1</v>
      </c>
      <c r="J538" s="15" t="n">
        <v>3</v>
      </c>
      <c r="K538" s="15" t="n">
        <v>5</v>
      </c>
      <c r="L538" s="16" t="n">
        <v>2.351</v>
      </c>
      <c r="M538" s="16" t="n">
        <v>3.568</v>
      </c>
      <c r="N538" s="15" t="n">
        <v>4</v>
      </c>
      <c r="O538" s="15" t="n">
        <v>1</v>
      </c>
      <c r="P538" s="15" t="n">
        <v>2</v>
      </c>
      <c r="Q538" s="15" t="n">
        <v>1</v>
      </c>
    </row>
    <row r="539" customFormat="false" ht="15" hidden="false" customHeight="false" outlineLevel="0" collapsed="false">
      <c r="A539" s="15" t="n">
        <v>535</v>
      </c>
      <c r="B539" s="16" t="n">
        <v>53.678</v>
      </c>
      <c r="C539" s="15" t="n">
        <v>4</v>
      </c>
      <c r="D539" s="15" t="n">
        <v>5</v>
      </c>
      <c r="E539" s="15" t="n">
        <v>3</v>
      </c>
      <c r="F539" s="15" t="n">
        <v>3</v>
      </c>
      <c r="G539" s="15" t="n">
        <v>4</v>
      </c>
      <c r="H539" s="15" t="n">
        <v>1</v>
      </c>
      <c r="I539" s="15" t="n">
        <v>1</v>
      </c>
      <c r="J539" s="15" t="n">
        <v>3</v>
      </c>
      <c r="K539" s="15" t="n">
        <v>5</v>
      </c>
      <c r="L539" s="16" t="n">
        <v>2.173</v>
      </c>
      <c r="M539" s="16" t="n">
        <v>3.601</v>
      </c>
      <c r="N539" s="15" t="n">
        <v>4</v>
      </c>
      <c r="O539" s="15" t="n">
        <v>1</v>
      </c>
      <c r="P539" s="15" t="n">
        <v>2</v>
      </c>
      <c r="Q539" s="15" t="n">
        <v>1</v>
      </c>
    </row>
    <row r="540" customFormat="false" ht="15" hidden="false" customHeight="false" outlineLevel="0" collapsed="false">
      <c r="A540" s="15" t="n">
        <v>536</v>
      </c>
      <c r="B540" s="16" t="n">
        <v>53.777</v>
      </c>
      <c r="C540" s="15" t="n">
        <v>4</v>
      </c>
      <c r="D540" s="15" t="n">
        <v>5</v>
      </c>
      <c r="E540" s="15" t="n">
        <v>1</v>
      </c>
      <c r="F540" s="15" t="n">
        <v>2</v>
      </c>
      <c r="G540" s="15" t="n">
        <v>4</v>
      </c>
      <c r="H540" s="15" t="n">
        <v>1</v>
      </c>
      <c r="I540" s="15" t="n">
        <v>1</v>
      </c>
      <c r="J540" s="15" t="n">
        <v>3</v>
      </c>
      <c r="K540" s="15" t="n">
        <v>5</v>
      </c>
      <c r="L540" s="16" t="n">
        <v>2.089</v>
      </c>
      <c r="M540" s="16" t="n">
        <v>3.674</v>
      </c>
      <c r="N540" s="15" t="n">
        <v>4</v>
      </c>
      <c r="O540" s="15" t="n">
        <v>1</v>
      </c>
      <c r="P540" s="15" t="n">
        <v>2</v>
      </c>
      <c r="Q540" s="15" t="n">
        <v>1</v>
      </c>
    </row>
    <row r="541" customFormat="false" ht="15" hidden="false" customHeight="false" outlineLevel="0" collapsed="false">
      <c r="A541" s="15" t="n">
        <v>537</v>
      </c>
      <c r="B541" s="16" t="n">
        <v>53.876</v>
      </c>
      <c r="C541" s="15" t="n">
        <v>4</v>
      </c>
      <c r="D541" s="15" t="n">
        <v>5</v>
      </c>
      <c r="E541" s="15" t="n">
        <v>1</v>
      </c>
      <c r="F541" s="15" t="n">
        <v>2</v>
      </c>
      <c r="G541" s="15" t="n">
        <v>4</v>
      </c>
      <c r="H541" s="15" t="n">
        <v>1</v>
      </c>
      <c r="I541" s="15" t="n">
        <v>1</v>
      </c>
      <c r="J541" s="15" t="n">
        <v>3</v>
      </c>
      <c r="K541" s="15" t="n">
        <v>5</v>
      </c>
      <c r="L541" s="16" t="n">
        <v>1.887</v>
      </c>
      <c r="M541" s="16" t="n">
        <v>3.985</v>
      </c>
      <c r="N541" s="15" t="n">
        <v>4</v>
      </c>
      <c r="O541" s="15" t="n">
        <v>1</v>
      </c>
      <c r="P541" s="15" t="n">
        <v>2</v>
      </c>
      <c r="Q541" s="15" t="n">
        <v>1</v>
      </c>
    </row>
    <row r="542" customFormat="false" ht="15" hidden="false" customHeight="false" outlineLevel="0" collapsed="false">
      <c r="A542" s="15" t="n">
        <v>538</v>
      </c>
      <c r="B542" s="16" t="n">
        <v>53.975</v>
      </c>
      <c r="C542" s="15" t="n">
        <v>4</v>
      </c>
      <c r="D542" s="15" t="n">
        <v>5</v>
      </c>
      <c r="E542" s="15" t="n">
        <v>1</v>
      </c>
      <c r="F542" s="15" t="n">
        <v>2</v>
      </c>
      <c r="G542" s="15" t="n">
        <v>4</v>
      </c>
      <c r="H542" s="15" t="n">
        <v>1</v>
      </c>
      <c r="I542" s="15" t="n">
        <v>1</v>
      </c>
      <c r="J542" s="15" t="n">
        <v>3</v>
      </c>
      <c r="K542" s="15" t="n">
        <v>5</v>
      </c>
      <c r="L542" s="16" t="n">
        <v>1.961</v>
      </c>
      <c r="M542" s="16" t="n">
        <v>4</v>
      </c>
      <c r="N542" s="15" t="n">
        <v>4</v>
      </c>
      <c r="O542" s="15" t="n">
        <v>1</v>
      </c>
      <c r="P542" s="15" t="n">
        <v>2</v>
      </c>
      <c r="Q542" s="15" t="n">
        <v>1</v>
      </c>
    </row>
    <row r="543" customFormat="false" ht="15" hidden="false" customHeight="false" outlineLevel="0" collapsed="false">
      <c r="A543" s="15" t="n">
        <v>539</v>
      </c>
      <c r="B543" s="16" t="n">
        <v>54.074</v>
      </c>
      <c r="C543" s="15" t="n">
        <v>4</v>
      </c>
      <c r="D543" s="15" t="n">
        <v>5</v>
      </c>
      <c r="E543" s="15" t="n">
        <v>1</v>
      </c>
      <c r="F543" s="15" t="n">
        <v>2</v>
      </c>
      <c r="G543" s="15" t="n">
        <v>4</v>
      </c>
      <c r="H543" s="15" t="n">
        <v>1</v>
      </c>
      <c r="I543" s="15" t="n">
        <v>1</v>
      </c>
      <c r="J543" s="15" t="n">
        <v>3</v>
      </c>
      <c r="K543" s="15" t="n">
        <v>5</v>
      </c>
      <c r="L543" s="16" t="n">
        <v>2.015</v>
      </c>
      <c r="M543" s="16" t="n">
        <v>4</v>
      </c>
      <c r="N543" s="15" t="n">
        <v>4</v>
      </c>
      <c r="O543" s="15" t="n">
        <v>1</v>
      </c>
      <c r="P543" s="15" t="n">
        <v>2</v>
      </c>
      <c r="Q543" s="15" t="n">
        <v>1</v>
      </c>
    </row>
    <row r="544" customFormat="false" ht="15" hidden="false" customHeight="false" outlineLevel="0" collapsed="false">
      <c r="A544" s="15" t="n">
        <v>540</v>
      </c>
      <c r="B544" s="16" t="n">
        <v>54.174</v>
      </c>
      <c r="C544" s="15" t="n">
        <v>4</v>
      </c>
      <c r="D544" s="15" t="n">
        <v>5</v>
      </c>
      <c r="E544" s="15" t="n">
        <v>1</v>
      </c>
      <c r="F544" s="15" t="n">
        <v>2</v>
      </c>
      <c r="G544" s="15" t="n">
        <v>4</v>
      </c>
      <c r="H544" s="15" t="n">
        <v>1</v>
      </c>
      <c r="I544" s="15" t="n">
        <v>1</v>
      </c>
      <c r="J544" s="15" t="n">
        <v>3</v>
      </c>
      <c r="K544" s="15" t="n">
        <v>5</v>
      </c>
      <c r="L544" s="16" t="n">
        <v>2.13</v>
      </c>
      <c r="M544" s="16" t="n">
        <v>4</v>
      </c>
      <c r="N544" s="15" t="n">
        <v>4</v>
      </c>
      <c r="O544" s="15" t="n">
        <v>1</v>
      </c>
      <c r="P544" s="15" t="n">
        <v>2</v>
      </c>
      <c r="Q544" s="15" t="n">
        <v>1</v>
      </c>
    </row>
    <row r="545" customFormat="false" ht="15" hidden="false" customHeight="false" outlineLevel="0" collapsed="false">
      <c r="A545" s="15" t="n">
        <v>541</v>
      </c>
      <c r="B545" s="16" t="n">
        <v>54.274</v>
      </c>
      <c r="C545" s="15" t="n">
        <v>3</v>
      </c>
      <c r="D545" s="15" t="n">
        <v>5</v>
      </c>
      <c r="E545" s="15" t="n">
        <v>1</v>
      </c>
      <c r="F545" s="15" t="n">
        <v>2</v>
      </c>
      <c r="G545" s="15" t="n">
        <v>4</v>
      </c>
      <c r="H545" s="15" t="n">
        <v>1</v>
      </c>
      <c r="I545" s="15" t="n">
        <v>1</v>
      </c>
      <c r="J545" s="15" t="n">
        <v>3</v>
      </c>
      <c r="K545" s="15" t="n">
        <v>5</v>
      </c>
      <c r="L545" s="16" t="n">
        <v>2.171</v>
      </c>
      <c r="M545" s="16" t="n">
        <v>4</v>
      </c>
      <c r="N545" s="15" t="n">
        <v>4</v>
      </c>
      <c r="O545" s="15" t="n">
        <v>1</v>
      </c>
      <c r="P545" s="15" t="n">
        <v>2</v>
      </c>
      <c r="Q545" s="15" t="n">
        <v>1</v>
      </c>
    </row>
    <row r="546" customFormat="false" ht="15" hidden="false" customHeight="false" outlineLevel="0" collapsed="false">
      <c r="A546" s="15" t="n">
        <v>542</v>
      </c>
      <c r="B546" s="16" t="n">
        <v>54.374</v>
      </c>
      <c r="C546" s="15" t="n">
        <v>3</v>
      </c>
      <c r="D546" s="15" t="n">
        <v>5</v>
      </c>
      <c r="E546" s="15" t="n">
        <v>1</v>
      </c>
      <c r="F546" s="15" t="n">
        <v>2</v>
      </c>
      <c r="G546" s="15" t="n">
        <v>4</v>
      </c>
      <c r="H546" s="15" t="n">
        <v>1</v>
      </c>
      <c r="I546" s="15" t="n">
        <v>1</v>
      </c>
      <c r="J546" s="15" t="n">
        <v>3</v>
      </c>
      <c r="K546" s="15" t="n">
        <v>5</v>
      </c>
      <c r="L546" s="16" t="n">
        <v>2.316</v>
      </c>
      <c r="M546" s="16" t="n">
        <v>4</v>
      </c>
      <c r="N546" s="15" t="n">
        <v>4</v>
      </c>
      <c r="O546" s="15" t="n">
        <v>1</v>
      </c>
      <c r="P546" s="15" t="n">
        <v>2</v>
      </c>
      <c r="Q546" s="15" t="n">
        <v>1</v>
      </c>
    </row>
    <row r="547" customFormat="false" ht="15" hidden="false" customHeight="false" outlineLevel="0" collapsed="false">
      <c r="A547" s="15" t="n">
        <v>543</v>
      </c>
      <c r="B547" s="16" t="n">
        <v>54.475</v>
      </c>
      <c r="C547" s="15" t="n">
        <v>3</v>
      </c>
      <c r="D547" s="15" t="n">
        <v>5</v>
      </c>
      <c r="E547" s="15" t="n">
        <v>1</v>
      </c>
      <c r="F547" s="15" t="n">
        <v>2</v>
      </c>
      <c r="G547" s="15" t="n">
        <v>4</v>
      </c>
      <c r="H547" s="15" t="n">
        <v>1</v>
      </c>
      <c r="I547" s="15" t="n">
        <v>1</v>
      </c>
      <c r="J547" s="15" t="n">
        <v>3</v>
      </c>
      <c r="K547" s="15" t="n">
        <v>5</v>
      </c>
      <c r="L547" s="16" t="n">
        <v>2.134</v>
      </c>
      <c r="M547" s="16" t="n">
        <v>4</v>
      </c>
      <c r="N547" s="15" t="n">
        <v>4</v>
      </c>
      <c r="O547" s="15" t="n">
        <v>1</v>
      </c>
      <c r="P547" s="15" t="n">
        <v>2</v>
      </c>
      <c r="Q547" s="15" t="n">
        <v>1</v>
      </c>
    </row>
    <row r="548" customFormat="false" ht="15" hidden="false" customHeight="false" outlineLevel="0" collapsed="false">
      <c r="A548" s="15" t="n">
        <v>544</v>
      </c>
      <c r="B548" s="16" t="n">
        <v>54.576</v>
      </c>
      <c r="C548" s="15" t="n">
        <v>3</v>
      </c>
      <c r="D548" s="15" t="n">
        <v>5</v>
      </c>
      <c r="E548" s="15" t="n">
        <v>1</v>
      </c>
      <c r="F548" s="15" t="n">
        <v>3</v>
      </c>
      <c r="G548" s="15" t="n">
        <v>4</v>
      </c>
      <c r="H548" s="15" t="n">
        <v>1</v>
      </c>
      <c r="I548" s="15" t="n">
        <v>1</v>
      </c>
      <c r="J548" s="15" t="n">
        <v>3</v>
      </c>
      <c r="K548" s="15" t="n">
        <v>5</v>
      </c>
      <c r="L548" s="16" t="n">
        <v>2.149</v>
      </c>
      <c r="M548" s="16" t="n">
        <v>4</v>
      </c>
      <c r="N548" s="15" t="n">
        <v>3</v>
      </c>
      <c r="O548" s="15" t="n">
        <v>1</v>
      </c>
      <c r="P548" s="15" t="n">
        <v>2</v>
      </c>
      <c r="Q548" s="15" t="n">
        <v>1</v>
      </c>
    </row>
    <row r="549" customFormat="false" ht="15" hidden="false" customHeight="false" outlineLevel="0" collapsed="false">
      <c r="A549" s="15" t="n">
        <v>545</v>
      </c>
      <c r="B549" s="16" t="n">
        <v>54.676</v>
      </c>
      <c r="C549" s="15" t="n">
        <v>3</v>
      </c>
      <c r="D549" s="15" t="n">
        <v>5</v>
      </c>
      <c r="E549" s="15" t="n">
        <v>1</v>
      </c>
      <c r="F549" s="15" t="n">
        <v>3</v>
      </c>
      <c r="G549" s="15" t="n">
        <v>4</v>
      </c>
      <c r="H549" s="15" t="n">
        <v>1</v>
      </c>
      <c r="I549" s="15" t="n">
        <v>1</v>
      </c>
      <c r="J549" s="15" t="n">
        <v>3</v>
      </c>
      <c r="K549" s="15" t="n">
        <v>5</v>
      </c>
      <c r="L549" s="16" t="n">
        <v>2.166</v>
      </c>
      <c r="M549" s="16" t="n">
        <v>4</v>
      </c>
      <c r="N549" s="15" t="n">
        <v>3</v>
      </c>
      <c r="O549" s="15" t="n">
        <v>1</v>
      </c>
      <c r="P549" s="15" t="n">
        <v>2</v>
      </c>
      <c r="Q549" s="15" t="n">
        <v>1</v>
      </c>
    </row>
    <row r="550" customFormat="false" ht="15" hidden="false" customHeight="false" outlineLevel="0" collapsed="false">
      <c r="A550" s="15" t="n">
        <v>546</v>
      </c>
      <c r="B550" s="16" t="n">
        <v>54.777</v>
      </c>
      <c r="C550" s="15" t="n">
        <v>3</v>
      </c>
      <c r="D550" s="15" t="n">
        <v>5</v>
      </c>
      <c r="E550" s="15" t="n">
        <v>1</v>
      </c>
      <c r="F550" s="15" t="n">
        <v>3</v>
      </c>
      <c r="G550" s="15" t="n">
        <v>4</v>
      </c>
      <c r="H550" s="15" t="n">
        <v>1</v>
      </c>
      <c r="I550" s="15" t="n">
        <v>1</v>
      </c>
      <c r="J550" s="15" t="n">
        <v>3</v>
      </c>
      <c r="K550" s="15" t="n">
        <v>5</v>
      </c>
      <c r="L550" s="16" t="n">
        <v>2.107</v>
      </c>
      <c r="M550" s="16" t="n">
        <v>4</v>
      </c>
      <c r="N550" s="15" t="n">
        <v>3</v>
      </c>
      <c r="O550" s="15" t="n">
        <v>1</v>
      </c>
      <c r="P550" s="15" t="n">
        <v>2</v>
      </c>
      <c r="Q550" s="15" t="n">
        <v>1</v>
      </c>
    </row>
    <row r="551" customFormat="false" ht="15" hidden="false" customHeight="false" outlineLevel="0" collapsed="false">
      <c r="A551" s="15" t="n">
        <v>547</v>
      </c>
      <c r="B551" s="16" t="n">
        <v>54.877</v>
      </c>
      <c r="C551" s="15" t="n">
        <v>3</v>
      </c>
      <c r="D551" s="15" t="n">
        <v>5</v>
      </c>
      <c r="E551" s="15" t="n">
        <v>1</v>
      </c>
      <c r="F551" s="15" t="n">
        <v>3</v>
      </c>
      <c r="G551" s="15" t="n">
        <v>4</v>
      </c>
      <c r="H551" s="15" t="n">
        <v>1</v>
      </c>
      <c r="I551" s="15" t="n">
        <v>1</v>
      </c>
      <c r="J551" s="15" t="n">
        <v>3</v>
      </c>
      <c r="K551" s="15" t="n">
        <v>5</v>
      </c>
      <c r="L551" s="16" t="n">
        <v>2.15</v>
      </c>
      <c r="M551" s="16" t="n">
        <v>4</v>
      </c>
      <c r="N551" s="15" t="n">
        <v>3</v>
      </c>
      <c r="O551" s="15" t="n">
        <v>1</v>
      </c>
      <c r="P551" s="15" t="n">
        <v>2</v>
      </c>
      <c r="Q551" s="15" t="n">
        <v>1</v>
      </c>
    </row>
    <row r="552" customFormat="false" ht="15" hidden="false" customHeight="false" outlineLevel="0" collapsed="false">
      <c r="A552" s="15" t="n">
        <v>548</v>
      </c>
      <c r="B552" s="16" t="n">
        <v>54.977</v>
      </c>
      <c r="C552" s="15" t="n">
        <v>3</v>
      </c>
      <c r="D552" s="15" t="n">
        <v>5</v>
      </c>
      <c r="E552" s="15" t="n">
        <v>1</v>
      </c>
      <c r="F552" s="15" t="n">
        <v>2</v>
      </c>
      <c r="G552" s="15" t="n">
        <v>4</v>
      </c>
      <c r="H552" s="15" t="n">
        <v>1</v>
      </c>
      <c r="I552" s="15" t="n">
        <v>1</v>
      </c>
      <c r="J552" s="15" t="n">
        <v>3</v>
      </c>
      <c r="K552" s="15" t="n">
        <v>5</v>
      </c>
      <c r="L552" s="16" t="n">
        <v>2.114</v>
      </c>
      <c r="M552" s="16" t="n">
        <v>4</v>
      </c>
      <c r="N552" s="15" t="n">
        <v>3</v>
      </c>
      <c r="O552" s="15" t="n">
        <v>1</v>
      </c>
      <c r="P552" s="15" t="n">
        <v>2</v>
      </c>
      <c r="Q552" s="15" t="n">
        <v>1</v>
      </c>
    </row>
    <row r="553" customFormat="false" ht="15" hidden="false" customHeight="false" outlineLevel="0" collapsed="false">
      <c r="A553" s="15" t="n">
        <v>549</v>
      </c>
      <c r="B553" s="16" t="n">
        <v>55.076</v>
      </c>
      <c r="C553" s="15" t="n">
        <v>3</v>
      </c>
      <c r="D553" s="15" t="n">
        <v>5</v>
      </c>
      <c r="E553" s="15" t="n">
        <v>1</v>
      </c>
      <c r="F553" s="15" t="n">
        <v>3</v>
      </c>
      <c r="G553" s="15" t="n">
        <v>4</v>
      </c>
      <c r="H553" s="15" t="n">
        <v>1</v>
      </c>
      <c r="I553" s="15" t="n">
        <v>1</v>
      </c>
      <c r="J553" s="15" t="n">
        <v>3</v>
      </c>
      <c r="K553" s="15" t="n">
        <v>5</v>
      </c>
      <c r="L553" s="16" t="n">
        <v>2.094</v>
      </c>
      <c r="M553" s="16" t="n">
        <v>4</v>
      </c>
      <c r="N553" s="15" t="n">
        <v>3</v>
      </c>
      <c r="O553" s="15" t="n">
        <v>1</v>
      </c>
      <c r="P553" s="15" t="n">
        <v>2</v>
      </c>
      <c r="Q553" s="15" t="n">
        <v>1</v>
      </c>
    </row>
    <row r="554" customFormat="false" ht="15" hidden="false" customHeight="false" outlineLevel="0" collapsed="false">
      <c r="A554" s="15" t="n">
        <v>550</v>
      </c>
      <c r="B554" s="16" t="n">
        <v>55.176</v>
      </c>
      <c r="C554" s="15" t="n">
        <v>3</v>
      </c>
      <c r="D554" s="15" t="n">
        <v>5</v>
      </c>
      <c r="E554" s="15" t="n">
        <v>1</v>
      </c>
      <c r="F554" s="15" t="n">
        <v>2</v>
      </c>
      <c r="G554" s="15" t="n">
        <v>4</v>
      </c>
      <c r="H554" s="15" t="n">
        <v>1</v>
      </c>
      <c r="I554" s="15" t="n">
        <v>1</v>
      </c>
      <c r="J554" s="15" t="n">
        <v>3</v>
      </c>
      <c r="K554" s="15" t="n">
        <v>5</v>
      </c>
      <c r="L554" s="16" t="n">
        <v>2.083</v>
      </c>
      <c r="M554" s="16" t="n">
        <v>4</v>
      </c>
      <c r="N554" s="15" t="n">
        <v>3</v>
      </c>
      <c r="O554" s="15" t="n">
        <v>1</v>
      </c>
      <c r="P554" s="15" t="n">
        <v>2</v>
      </c>
      <c r="Q554" s="15" t="n">
        <v>1</v>
      </c>
    </row>
    <row r="555" customFormat="false" ht="15" hidden="false" customHeight="false" outlineLevel="0" collapsed="false">
      <c r="A555" s="15" t="n">
        <v>551</v>
      </c>
      <c r="B555" s="16" t="n">
        <v>55.275</v>
      </c>
      <c r="C555" s="15" t="n">
        <v>3</v>
      </c>
      <c r="D555" s="15" t="n">
        <v>5</v>
      </c>
      <c r="E555" s="15" t="n">
        <v>1</v>
      </c>
      <c r="F555" s="15" t="n">
        <v>2</v>
      </c>
      <c r="G555" s="15" t="n">
        <v>4</v>
      </c>
      <c r="H555" s="15" t="n">
        <v>1</v>
      </c>
      <c r="I555" s="15" t="n">
        <v>1</v>
      </c>
      <c r="J555" s="15" t="n">
        <v>3</v>
      </c>
      <c r="K555" s="15" t="n">
        <v>5</v>
      </c>
      <c r="L555" s="16" t="n">
        <v>2.056</v>
      </c>
      <c r="M555" s="16" t="n">
        <v>4</v>
      </c>
      <c r="N555" s="15" t="n">
        <v>3</v>
      </c>
      <c r="O555" s="15" t="n">
        <v>1</v>
      </c>
      <c r="P555" s="15" t="n">
        <v>2</v>
      </c>
      <c r="Q555" s="15" t="n">
        <v>1</v>
      </c>
    </row>
    <row r="556" customFormat="false" ht="15" hidden="false" customHeight="false" outlineLevel="0" collapsed="false">
      <c r="A556" s="15" t="n">
        <v>552</v>
      </c>
      <c r="B556" s="16" t="n">
        <v>55.374</v>
      </c>
      <c r="C556" s="15" t="n">
        <v>3</v>
      </c>
      <c r="D556" s="15" t="n">
        <v>5</v>
      </c>
      <c r="E556" s="15" t="n">
        <v>2</v>
      </c>
      <c r="F556" s="15" t="n">
        <v>2</v>
      </c>
      <c r="G556" s="15" t="n">
        <v>4</v>
      </c>
      <c r="H556" s="15" t="n">
        <v>1</v>
      </c>
      <c r="I556" s="15" t="n">
        <v>1</v>
      </c>
      <c r="J556" s="15" t="n">
        <v>3</v>
      </c>
      <c r="K556" s="15" t="n">
        <v>5</v>
      </c>
      <c r="L556" s="16" t="n">
        <v>2.095</v>
      </c>
      <c r="M556" s="16" t="n">
        <v>4</v>
      </c>
      <c r="N556" s="15" t="n">
        <v>3</v>
      </c>
      <c r="O556" s="15" t="n">
        <v>1</v>
      </c>
      <c r="P556" s="15" t="n">
        <v>2</v>
      </c>
      <c r="Q556" s="15" t="n">
        <v>1</v>
      </c>
    </row>
    <row r="557" customFormat="false" ht="15" hidden="false" customHeight="false" outlineLevel="0" collapsed="false">
      <c r="A557" s="15" t="n">
        <v>553</v>
      </c>
      <c r="B557" s="16" t="n">
        <v>55.474</v>
      </c>
      <c r="C557" s="15" t="n">
        <v>4</v>
      </c>
      <c r="D557" s="15" t="n">
        <v>5</v>
      </c>
      <c r="E557" s="15" t="n">
        <v>2</v>
      </c>
      <c r="F557" s="15" t="n">
        <v>3</v>
      </c>
      <c r="G557" s="15" t="n">
        <v>4</v>
      </c>
      <c r="H557" s="15" t="n">
        <v>1</v>
      </c>
      <c r="I557" s="15" t="n">
        <v>1</v>
      </c>
      <c r="J557" s="15" t="n">
        <v>3</v>
      </c>
      <c r="K557" s="15" t="n">
        <v>5</v>
      </c>
      <c r="L557" s="16" t="n">
        <v>2.062</v>
      </c>
      <c r="M557" s="16" t="n">
        <v>4</v>
      </c>
      <c r="N557" s="15" t="n">
        <v>3</v>
      </c>
      <c r="O557" s="15" t="n">
        <v>1</v>
      </c>
      <c r="P557" s="15" t="n">
        <v>2</v>
      </c>
      <c r="Q557" s="15" t="n">
        <v>1</v>
      </c>
    </row>
    <row r="558" customFormat="false" ht="15" hidden="false" customHeight="false" outlineLevel="0" collapsed="false">
      <c r="A558" s="15" t="n">
        <v>554</v>
      </c>
      <c r="B558" s="16" t="n">
        <v>55.573</v>
      </c>
      <c r="C558" s="15" t="n">
        <v>4</v>
      </c>
      <c r="D558" s="15" t="n">
        <v>5</v>
      </c>
      <c r="E558" s="15" t="n">
        <v>2</v>
      </c>
      <c r="F558" s="15" t="n">
        <v>3</v>
      </c>
      <c r="G558" s="15" t="n">
        <v>4</v>
      </c>
      <c r="H558" s="15" t="n">
        <v>1</v>
      </c>
      <c r="I558" s="15" t="n">
        <v>1</v>
      </c>
      <c r="J558" s="15" t="n">
        <v>3</v>
      </c>
      <c r="K558" s="15" t="n">
        <v>5</v>
      </c>
      <c r="L558" s="16" t="n">
        <v>2.057</v>
      </c>
      <c r="M558" s="16" t="n">
        <v>4</v>
      </c>
      <c r="N558" s="15" t="n">
        <v>4</v>
      </c>
      <c r="O558" s="15" t="n">
        <v>1</v>
      </c>
      <c r="P558" s="15" t="n">
        <v>2</v>
      </c>
      <c r="Q558" s="15" t="n">
        <v>1</v>
      </c>
    </row>
    <row r="559" customFormat="false" ht="15" hidden="false" customHeight="false" outlineLevel="0" collapsed="false">
      <c r="A559" s="15" t="n">
        <v>555</v>
      </c>
      <c r="B559" s="16" t="n">
        <v>55.672</v>
      </c>
      <c r="C559" s="15" t="n">
        <v>4</v>
      </c>
      <c r="D559" s="15" t="n">
        <v>5</v>
      </c>
      <c r="E559" s="15" t="n">
        <v>2</v>
      </c>
      <c r="F559" s="15" t="n">
        <v>3</v>
      </c>
      <c r="G559" s="15" t="n">
        <v>4</v>
      </c>
      <c r="H559" s="15" t="n">
        <v>1</v>
      </c>
      <c r="I559" s="15" t="n">
        <v>1</v>
      </c>
      <c r="J559" s="15" t="n">
        <v>3</v>
      </c>
      <c r="K559" s="15" t="n">
        <v>5</v>
      </c>
      <c r="L559" s="16" t="n">
        <v>2.209</v>
      </c>
      <c r="M559" s="16" t="n">
        <v>4</v>
      </c>
      <c r="N559" s="15" t="n">
        <v>4</v>
      </c>
      <c r="O559" s="15" t="n">
        <v>1</v>
      </c>
      <c r="P559" s="15" t="n">
        <v>2</v>
      </c>
      <c r="Q559" s="15" t="n">
        <v>1</v>
      </c>
    </row>
    <row r="560" customFormat="false" ht="15" hidden="false" customHeight="false" outlineLevel="0" collapsed="false">
      <c r="A560" s="15" t="n">
        <v>556</v>
      </c>
      <c r="B560" s="16" t="n">
        <v>55.771</v>
      </c>
      <c r="C560" s="15" t="n">
        <v>4</v>
      </c>
      <c r="D560" s="15" t="n">
        <v>5</v>
      </c>
      <c r="E560" s="15" t="n">
        <v>2</v>
      </c>
      <c r="F560" s="15" t="n">
        <v>3</v>
      </c>
      <c r="G560" s="15" t="n">
        <v>4</v>
      </c>
      <c r="H560" s="15" t="n">
        <v>1</v>
      </c>
      <c r="I560" s="15" t="n">
        <v>1</v>
      </c>
      <c r="J560" s="15" t="n">
        <v>3</v>
      </c>
      <c r="K560" s="15" t="n">
        <v>5</v>
      </c>
      <c r="L560" s="16" t="n">
        <v>2.358</v>
      </c>
      <c r="M560" s="16" t="n">
        <v>4</v>
      </c>
      <c r="N560" s="15" t="n">
        <v>4</v>
      </c>
      <c r="O560" s="15" t="n">
        <v>1</v>
      </c>
      <c r="P560" s="15" t="n">
        <v>2</v>
      </c>
      <c r="Q560" s="15" t="n">
        <v>1</v>
      </c>
    </row>
    <row r="561" customFormat="false" ht="15" hidden="false" customHeight="false" outlineLevel="0" collapsed="false">
      <c r="A561" s="15" t="n">
        <v>557</v>
      </c>
      <c r="B561" s="16" t="n">
        <v>55.869</v>
      </c>
      <c r="C561" s="15" t="n">
        <v>4</v>
      </c>
      <c r="D561" s="15" t="n">
        <v>5</v>
      </c>
      <c r="E561" s="15" t="n">
        <v>3</v>
      </c>
      <c r="F561" s="15" t="n">
        <v>4</v>
      </c>
      <c r="G561" s="15" t="n">
        <v>4</v>
      </c>
      <c r="H561" s="15" t="n">
        <v>1</v>
      </c>
      <c r="I561" s="15" t="n">
        <v>1</v>
      </c>
      <c r="J561" s="15" t="n">
        <v>3</v>
      </c>
      <c r="K561" s="15" t="n">
        <v>5</v>
      </c>
      <c r="L561" s="16" t="n">
        <v>2.17</v>
      </c>
      <c r="M561" s="16" t="n">
        <v>4</v>
      </c>
      <c r="N561" s="15" t="n">
        <v>4</v>
      </c>
      <c r="O561" s="15" t="n">
        <v>1</v>
      </c>
      <c r="P561" s="15" t="n">
        <v>2</v>
      </c>
      <c r="Q561" s="15" t="n">
        <v>1</v>
      </c>
    </row>
    <row r="562" customFormat="false" ht="15" hidden="false" customHeight="false" outlineLevel="0" collapsed="false">
      <c r="A562" s="15" t="n">
        <v>558</v>
      </c>
      <c r="B562" s="16" t="n">
        <v>55.968</v>
      </c>
      <c r="C562" s="15" t="n">
        <v>4</v>
      </c>
      <c r="D562" s="15" t="n">
        <v>5</v>
      </c>
      <c r="E562" s="15" t="n">
        <v>3</v>
      </c>
      <c r="F562" s="15" t="n">
        <v>3</v>
      </c>
      <c r="G562" s="15" t="n">
        <v>4</v>
      </c>
      <c r="H562" s="15" t="n">
        <v>1</v>
      </c>
      <c r="I562" s="15" t="n">
        <v>1</v>
      </c>
      <c r="J562" s="15" t="n">
        <v>3</v>
      </c>
      <c r="K562" s="15" t="n">
        <v>5</v>
      </c>
      <c r="L562" s="16" t="n">
        <v>2.13</v>
      </c>
      <c r="M562" s="16" t="n">
        <v>4</v>
      </c>
      <c r="N562" s="15" t="n">
        <v>4</v>
      </c>
      <c r="O562" s="15" t="n">
        <v>1</v>
      </c>
      <c r="P562" s="15" t="n">
        <v>2</v>
      </c>
      <c r="Q562" s="15" t="n">
        <v>1</v>
      </c>
    </row>
    <row r="563" customFormat="false" ht="15" hidden="false" customHeight="false" outlineLevel="0" collapsed="false">
      <c r="A563" s="15" t="n">
        <v>559</v>
      </c>
      <c r="B563" s="16" t="n">
        <v>56.066</v>
      </c>
      <c r="C563" s="15" t="n">
        <v>4</v>
      </c>
      <c r="D563" s="15" t="n">
        <v>5</v>
      </c>
      <c r="E563" s="15" t="n">
        <v>4</v>
      </c>
      <c r="F563" s="15" t="n">
        <v>3</v>
      </c>
      <c r="G563" s="15" t="n">
        <v>4</v>
      </c>
      <c r="H563" s="15" t="n">
        <v>1</v>
      </c>
      <c r="I563" s="15" t="n">
        <v>1</v>
      </c>
      <c r="J563" s="15" t="n">
        <v>3</v>
      </c>
      <c r="K563" s="15" t="n">
        <v>5</v>
      </c>
      <c r="L563" s="16" t="n">
        <v>2.235</v>
      </c>
      <c r="M563" s="16" t="n">
        <v>4</v>
      </c>
      <c r="N563" s="15" t="n">
        <v>4</v>
      </c>
      <c r="O563" s="15" t="n">
        <v>1</v>
      </c>
      <c r="P563" s="15" t="n">
        <v>2</v>
      </c>
      <c r="Q563" s="15" t="n">
        <v>1</v>
      </c>
    </row>
    <row r="564" customFormat="false" ht="15" hidden="false" customHeight="false" outlineLevel="0" collapsed="false">
      <c r="A564" s="15" t="n">
        <v>560</v>
      </c>
      <c r="B564" s="16" t="n">
        <v>56.165</v>
      </c>
      <c r="C564" s="15" t="n">
        <v>4</v>
      </c>
      <c r="D564" s="15" t="n">
        <v>5</v>
      </c>
      <c r="E564" s="15" t="n">
        <v>4</v>
      </c>
      <c r="F564" s="15" t="n">
        <v>4</v>
      </c>
      <c r="G564" s="15" t="n">
        <v>4</v>
      </c>
      <c r="H564" s="15" t="n">
        <v>1</v>
      </c>
      <c r="I564" s="15" t="n">
        <v>1</v>
      </c>
      <c r="J564" s="15" t="n">
        <v>3</v>
      </c>
      <c r="K564" s="15" t="n">
        <v>5</v>
      </c>
      <c r="L564" s="16" t="n">
        <v>2.317</v>
      </c>
      <c r="M564" s="16" t="n">
        <v>4</v>
      </c>
      <c r="N564" s="15" t="n">
        <v>4</v>
      </c>
      <c r="O564" s="15" t="n">
        <v>1</v>
      </c>
      <c r="P564" s="15" t="n">
        <v>2</v>
      </c>
      <c r="Q564" s="15" t="n">
        <v>1</v>
      </c>
    </row>
    <row r="565" customFormat="false" ht="15" hidden="false" customHeight="false" outlineLevel="0" collapsed="false">
      <c r="A565" s="15" t="n">
        <v>561</v>
      </c>
      <c r="B565" s="16" t="n">
        <v>56.264</v>
      </c>
      <c r="C565" s="15" t="n">
        <v>4</v>
      </c>
      <c r="D565" s="15" t="n">
        <v>5</v>
      </c>
      <c r="E565" s="15" t="n">
        <v>4</v>
      </c>
      <c r="F565" s="15" t="n">
        <v>3</v>
      </c>
      <c r="G565" s="15" t="n">
        <v>4</v>
      </c>
      <c r="H565" s="15" t="n">
        <v>1</v>
      </c>
      <c r="I565" s="15" t="n">
        <v>1</v>
      </c>
      <c r="J565" s="15" t="n">
        <v>3</v>
      </c>
      <c r="K565" s="15" t="n">
        <v>5</v>
      </c>
      <c r="L565" s="16" t="n">
        <v>2.337</v>
      </c>
      <c r="M565" s="16" t="n">
        <v>4</v>
      </c>
      <c r="N565" s="15" t="n">
        <v>4</v>
      </c>
      <c r="O565" s="15" t="n">
        <v>1</v>
      </c>
      <c r="P565" s="15" t="n">
        <v>2</v>
      </c>
      <c r="Q565" s="15" t="n">
        <v>1</v>
      </c>
    </row>
    <row r="566" customFormat="false" ht="15" hidden="false" customHeight="false" outlineLevel="0" collapsed="false">
      <c r="A566" s="15" t="n">
        <v>562</v>
      </c>
      <c r="B566" s="16" t="n">
        <v>56.363</v>
      </c>
      <c r="C566" s="15" t="n">
        <v>4</v>
      </c>
      <c r="D566" s="15" t="n">
        <v>5</v>
      </c>
      <c r="E566" s="15" t="n">
        <v>4</v>
      </c>
      <c r="F566" s="15" t="n">
        <v>3</v>
      </c>
      <c r="G566" s="15" t="n">
        <v>4</v>
      </c>
      <c r="H566" s="15" t="n">
        <v>1</v>
      </c>
      <c r="I566" s="15" t="n">
        <v>2</v>
      </c>
      <c r="J566" s="15" t="n">
        <v>3</v>
      </c>
      <c r="K566" s="15" t="n">
        <v>5</v>
      </c>
      <c r="L566" s="16" t="n">
        <v>2.382</v>
      </c>
      <c r="M566" s="16" t="n">
        <v>4</v>
      </c>
      <c r="N566" s="15" t="n">
        <v>4</v>
      </c>
      <c r="O566" s="15" t="n">
        <v>1</v>
      </c>
      <c r="P566" s="15" t="n">
        <v>2</v>
      </c>
      <c r="Q566" s="15" t="n">
        <v>1</v>
      </c>
    </row>
    <row r="567" customFormat="false" ht="15" hidden="false" customHeight="false" outlineLevel="0" collapsed="false">
      <c r="A567" s="15" t="n">
        <v>563</v>
      </c>
      <c r="B567" s="16" t="n">
        <v>56.462</v>
      </c>
      <c r="C567" s="15" t="n">
        <v>4</v>
      </c>
      <c r="D567" s="15" t="n">
        <v>5</v>
      </c>
      <c r="E567" s="15" t="n">
        <v>4</v>
      </c>
      <c r="F567" s="15" t="n">
        <v>3</v>
      </c>
      <c r="G567" s="15" t="n">
        <v>4</v>
      </c>
      <c r="H567" s="15" t="n">
        <v>1</v>
      </c>
      <c r="I567" s="15" t="n">
        <v>2</v>
      </c>
      <c r="J567" s="15" t="n">
        <v>3</v>
      </c>
      <c r="K567" s="15" t="n">
        <v>5</v>
      </c>
      <c r="L567" s="16" t="n">
        <v>2.413</v>
      </c>
      <c r="M567" s="16" t="n">
        <v>4</v>
      </c>
      <c r="N567" s="15" t="n">
        <v>4</v>
      </c>
      <c r="O567" s="15" t="n">
        <v>1</v>
      </c>
      <c r="P567" s="15" t="n">
        <v>2</v>
      </c>
      <c r="Q567" s="15" t="n">
        <v>1</v>
      </c>
    </row>
    <row r="568" customFormat="false" ht="15" hidden="false" customHeight="false" outlineLevel="0" collapsed="false">
      <c r="A568" s="15" t="n">
        <v>564</v>
      </c>
      <c r="B568" s="16" t="n">
        <v>56.561</v>
      </c>
      <c r="C568" s="15" t="n">
        <v>4</v>
      </c>
      <c r="D568" s="15" t="n">
        <v>5</v>
      </c>
      <c r="E568" s="15" t="n">
        <v>4</v>
      </c>
      <c r="F568" s="15" t="n">
        <v>4</v>
      </c>
      <c r="G568" s="15" t="n">
        <v>4</v>
      </c>
      <c r="H568" s="15" t="n">
        <v>1</v>
      </c>
      <c r="I568" s="15" t="n">
        <v>2</v>
      </c>
      <c r="J568" s="15" t="n">
        <v>3</v>
      </c>
      <c r="K568" s="15" t="n">
        <v>5</v>
      </c>
      <c r="L568" s="16" t="n">
        <v>2.458</v>
      </c>
      <c r="M568" s="16" t="n">
        <v>4</v>
      </c>
      <c r="N568" s="15" t="n">
        <v>4</v>
      </c>
      <c r="O568" s="15" t="n">
        <v>1</v>
      </c>
      <c r="P568" s="15" t="n">
        <v>2</v>
      </c>
      <c r="Q568" s="15" t="n">
        <v>1</v>
      </c>
    </row>
    <row r="569" customFormat="false" ht="15" hidden="false" customHeight="false" outlineLevel="0" collapsed="false">
      <c r="A569" s="15" t="n">
        <v>565</v>
      </c>
      <c r="B569" s="16" t="n">
        <v>56.66</v>
      </c>
      <c r="C569" s="15" t="n">
        <v>4</v>
      </c>
      <c r="D569" s="15" t="n">
        <v>5</v>
      </c>
      <c r="E569" s="15" t="n">
        <v>4</v>
      </c>
      <c r="F569" s="15" t="n">
        <v>3</v>
      </c>
      <c r="G569" s="15" t="n">
        <v>4</v>
      </c>
      <c r="H569" s="15" t="n">
        <v>1</v>
      </c>
      <c r="I569" s="15" t="n">
        <v>2</v>
      </c>
      <c r="J569" s="15" t="n">
        <v>3</v>
      </c>
      <c r="K569" s="15" t="n">
        <v>5</v>
      </c>
      <c r="L569" s="16" t="n">
        <v>2.436</v>
      </c>
      <c r="M569" s="16" t="n">
        <v>4</v>
      </c>
      <c r="N569" s="15" t="n">
        <v>4</v>
      </c>
      <c r="O569" s="15" t="n">
        <v>1</v>
      </c>
      <c r="P569" s="15" t="n">
        <v>2</v>
      </c>
      <c r="Q569" s="15" t="n">
        <v>1</v>
      </c>
    </row>
    <row r="570" customFormat="false" ht="15" hidden="false" customHeight="false" outlineLevel="0" collapsed="false">
      <c r="A570" s="15" t="n">
        <v>566</v>
      </c>
      <c r="B570" s="16" t="n">
        <v>56.759</v>
      </c>
      <c r="C570" s="15" t="n">
        <v>4</v>
      </c>
      <c r="D570" s="15" t="n">
        <v>5</v>
      </c>
      <c r="E570" s="15" t="n">
        <v>4</v>
      </c>
      <c r="F570" s="15" t="n">
        <v>3</v>
      </c>
      <c r="G570" s="15" t="n">
        <v>4</v>
      </c>
      <c r="H570" s="15" t="n">
        <v>1</v>
      </c>
      <c r="I570" s="15" t="n">
        <v>2</v>
      </c>
      <c r="J570" s="15" t="n">
        <v>3</v>
      </c>
      <c r="K570" s="15" t="n">
        <v>5</v>
      </c>
      <c r="L570" s="16" t="n">
        <v>2.461</v>
      </c>
      <c r="M570" s="16" t="n">
        <v>4</v>
      </c>
      <c r="N570" s="15" t="n">
        <v>4</v>
      </c>
      <c r="O570" s="15" t="n">
        <v>1</v>
      </c>
      <c r="P570" s="15" t="n">
        <v>2</v>
      </c>
      <c r="Q570" s="15" t="n">
        <v>1</v>
      </c>
    </row>
    <row r="571" customFormat="false" ht="15" hidden="false" customHeight="false" outlineLevel="0" collapsed="false">
      <c r="A571" s="15" t="n">
        <v>567</v>
      </c>
      <c r="B571" s="16" t="n">
        <v>56.858</v>
      </c>
      <c r="C571" s="15" t="n">
        <v>4</v>
      </c>
      <c r="D571" s="15" t="n">
        <v>5</v>
      </c>
      <c r="E571" s="15" t="n">
        <v>4</v>
      </c>
      <c r="F571" s="15" t="n">
        <v>4</v>
      </c>
      <c r="G571" s="15" t="n">
        <v>4</v>
      </c>
      <c r="H571" s="15" t="n">
        <v>1</v>
      </c>
      <c r="I571" s="15" t="n">
        <v>3</v>
      </c>
      <c r="J571" s="15" t="n">
        <v>3</v>
      </c>
      <c r="K571" s="15" t="n">
        <v>5</v>
      </c>
      <c r="L571" s="16" t="n">
        <v>2.518</v>
      </c>
      <c r="M571" s="16" t="n">
        <v>4</v>
      </c>
      <c r="N571" s="15" t="n">
        <v>4</v>
      </c>
      <c r="O571" s="15" t="n">
        <v>1</v>
      </c>
      <c r="P571" s="15" t="n">
        <v>2</v>
      </c>
      <c r="Q571" s="15" t="n">
        <v>1</v>
      </c>
    </row>
    <row r="572" customFormat="false" ht="15" hidden="false" customHeight="false" outlineLevel="0" collapsed="false">
      <c r="A572" s="15" t="n">
        <v>568</v>
      </c>
      <c r="B572" s="16" t="n">
        <v>56.957</v>
      </c>
      <c r="C572" s="15" t="n">
        <v>4</v>
      </c>
      <c r="D572" s="15" t="n">
        <v>5</v>
      </c>
      <c r="E572" s="15" t="n">
        <v>3</v>
      </c>
      <c r="F572" s="15" t="n">
        <v>3</v>
      </c>
      <c r="G572" s="15" t="n">
        <v>4</v>
      </c>
      <c r="H572" s="15" t="n">
        <v>1</v>
      </c>
      <c r="I572" s="15" t="n">
        <v>3</v>
      </c>
      <c r="J572" s="15" t="n">
        <v>3</v>
      </c>
      <c r="K572" s="15" t="n">
        <v>5</v>
      </c>
      <c r="L572" s="16" t="n">
        <v>2.538</v>
      </c>
      <c r="M572" s="16" t="n">
        <v>4</v>
      </c>
      <c r="N572" s="15" t="n">
        <v>4</v>
      </c>
      <c r="O572" s="15" t="n">
        <v>1</v>
      </c>
      <c r="P572" s="15" t="n">
        <v>2</v>
      </c>
      <c r="Q572" s="15" t="n">
        <v>1</v>
      </c>
    </row>
    <row r="573" customFormat="false" ht="15" hidden="false" customHeight="false" outlineLevel="0" collapsed="false">
      <c r="A573" s="15" t="n">
        <v>569</v>
      </c>
      <c r="B573" s="16" t="n">
        <v>57.055</v>
      </c>
      <c r="C573" s="15" t="n">
        <v>4</v>
      </c>
      <c r="D573" s="15" t="n">
        <v>5</v>
      </c>
      <c r="E573" s="15" t="n">
        <v>4</v>
      </c>
      <c r="F573" s="15" t="n">
        <v>3</v>
      </c>
      <c r="G573" s="15" t="n">
        <v>4</v>
      </c>
      <c r="H573" s="15" t="n">
        <v>1</v>
      </c>
      <c r="I573" s="15" t="n">
        <v>3</v>
      </c>
      <c r="J573" s="15" t="n">
        <v>3</v>
      </c>
      <c r="K573" s="15" t="n">
        <v>5</v>
      </c>
      <c r="L573" s="16" t="n">
        <v>2.31</v>
      </c>
      <c r="M573" s="16" t="n">
        <v>4</v>
      </c>
      <c r="N573" s="15" t="n">
        <v>4</v>
      </c>
      <c r="O573" s="15" t="n">
        <v>1</v>
      </c>
      <c r="P573" s="15" t="n">
        <v>2</v>
      </c>
      <c r="Q573" s="15" t="n">
        <v>1</v>
      </c>
    </row>
    <row r="574" customFormat="false" ht="15" hidden="false" customHeight="false" outlineLevel="0" collapsed="false">
      <c r="A574" s="15" t="n">
        <v>570</v>
      </c>
      <c r="B574" s="16" t="n">
        <v>57.154</v>
      </c>
      <c r="C574" s="15" t="n">
        <v>4</v>
      </c>
      <c r="D574" s="15" t="n">
        <v>5</v>
      </c>
      <c r="E574" s="15" t="n">
        <v>3</v>
      </c>
      <c r="F574" s="15" t="n">
        <v>3</v>
      </c>
      <c r="G574" s="15" t="n">
        <v>4</v>
      </c>
      <c r="H574" s="15" t="n">
        <v>1</v>
      </c>
      <c r="I574" s="15" t="n">
        <v>3</v>
      </c>
      <c r="J574" s="15" t="n">
        <v>3</v>
      </c>
      <c r="K574" s="15" t="n">
        <v>5</v>
      </c>
      <c r="L574" s="16" t="n">
        <v>2.003</v>
      </c>
      <c r="M574" s="16" t="n">
        <v>4</v>
      </c>
      <c r="N574" s="15" t="n">
        <v>4</v>
      </c>
      <c r="O574" s="15" t="n">
        <v>1</v>
      </c>
      <c r="P574" s="15" t="n">
        <v>2</v>
      </c>
      <c r="Q574" s="15" t="n">
        <v>1</v>
      </c>
    </row>
    <row r="575" customFormat="false" ht="15" hidden="false" customHeight="false" outlineLevel="0" collapsed="false">
      <c r="A575" s="15" t="n">
        <v>571</v>
      </c>
      <c r="B575" s="16" t="n">
        <v>57.253</v>
      </c>
      <c r="C575" s="15" t="n">
        <v>4</v>
      </c>
      <c r="D575" s="15" t="n">
        <v>5</v>
      </c>
      <c r="E575" s="15" t="n">
        <v>3</v>
      </c>
      <c r="F575" s="15" t="n">
        <v>3</v>
      </c>
      <c r="G575" s="15" t="n">
        <v>4</v>
      </c>
      <c r="H575" s="15" t="n">
        <v>1</v>
      </c>
      <c r="I575" s="15" t="n">
        <v>2</v>
      </c>
      <c r="J575" s="15" t="n">
        <v>3</v>
      </c>
      <c r="K575" s="15" t="n">
        <v>5</v>
      </c>
      <c r="L575" s="16" t="n">
        <v>1.769</v>
      </c>
      <c r="M575" s="16" t="n">
        <v>3.933</v>
      </c>
      <c r="N575" s="15" t="n">
        <v>4</v>
      </c>
      <c r="O575" s="15" t="n">
        <v>1</v>
      </c>
      <c r="P575" s="15" t="n">
        <v>2</v>
      </c>
      <c r="Q575" s="15" t="n">
        <v>1</v>
      </c>
    </row>
    <row r="576" customFormat="false" ht="15" hidden="false" customHeight="false" outlineLevel="0" collapsed="false">
      <c r="A576" s="15" t="n">
        <v>572</v>
      </c>
      <c r="B576" s="16" t="n">
        <v>57.352</v>
      </c>
      <c r="C576" s="15" t="n">
        <v>4</v>
      </c>
      <c r="D576" s="15" t="n">
        <v>5</v>
      </c>
      <c r="E576" s="15" t="n">
        <v>4</v>
      </c>
      <c r="F576" s="15" t="n">
        <v>2</v>
      </c>
      <c r="G576" s="15" t="n">
        <v>4</v>
      </c>
      <c r="H576" s="15" t="n">
        <v>1</v>
      </c>
      <c r="I576" s="15" t="n">
        <v>1</v>
      </c>
      <c r="J576" s="15" t="n">
        <v>3</v>
      </c>
      <c r="K576" s="15" t="n">
        <v>5</v>
      </c>
      <c r="L576" s="16" t="n">
        <v>1.824</v>
      </c>
      <c r="M576" s="16" t="n">
        <v>3.789</v>
      </c>
      <c r="N576" s="15" t="n">
        <v>4</v>
      </c>
      <c r="O576" s="15" t="n">
        <v>1</v>
      </c>
      <c r="P576" s="15" t="n">
        <v>2</v>
      </c>
      <c r="Q576" s="15" t="n">
        <v>1</v>
      </c>
    </row>
    <row r="577" customFormat="false" ht="15" hidden="false" customHeight="false" outlineLevel="0" collapsed="false">
      <c r="A577" s="15" t="n">
        <v>573</v>
      </c>
      <c r="B577" s="16" t="n">
        <v>57.451</v>
      </c>
      <c r="C577" s="15" t="n">
        <v>3</v>
      </c>
      <c r="D577" s="15" t="n">
        <v>5</v>
      </c>
      <c r="E577" s="15" t="n">
        <v>4</v>
      </c>
      <c r="F577" s="15" t="n">
        <v>2</v>
      </c>
      <c r="G577" s="15" t="n">
        <v>4</v>
      </c>
      <c r="H577" s="15" t="n">
        <v>1</v>
      </c>
      <c r="I577" s="15" t="n">
        <v>1</v>
      </c>
      <c r="J577" s="15" t="n">
        <v>3</v>
      </c>
      <c r="K577" s="15" t="n">
        <v>5</v>
      </c>
      <c r="L577" s="16" t="n">
        <v>2.044</v>
      </c>
      <c r="M577" s="16" t="n">
        <v>3.647</v>
      </c>
      <c r="N577" s="15" t="n">
        <v>4</v>
      </c>
      <c r="O577" s="15" t="n">
        <v>1</v>
      </c>
      <c r="P577" s="15" t="n">
        <v>2</v>
      </c>
      <c r="Q577" s="15" t="n">
        <v>1</v>
      </c>
    </row>
    <row r="578" customFormat="false" ht="15" hidden="false" customHeight="false" outlineLevel="0" collapsed="false">
      <c r="A578" s="15" t="n">
        <v>574</v>
      </c>
      <c r="B578" s="16" t="n">
        <v>57.55</v>
      </c>
      <c r="C578" s="15" t="n">
        <v>3</v>
      </c>
      <c r="D578" s="15" t="n">
        <v>5</v>
      </c>
      <c r="E578" s="15" t="n">
        <v>2</v>
      </c>
      <c r="F578" s="15" t="n">
        <v>3</v>
      </c>
      <c r="G578" s="15" t="n">
        <v>4</v>
      </c>
      <c r="H578" s="15" t="n">
        <v>1</v>
      </c>
      <c r="I578" s="15" t="n">
        <v>1</v>
      </c>
      <c r="J578" s="15" t="n">
        <v>3</v>
      </c>
      <c r="K578" s="15" t="n">
        <v>5</v>
      </c>
      <c r="L578" s="16" t="n">
        <v>2.19</v>
      </c>
      <c r="M578" s="16" t="n">
        <v>3.551</v>
      </c>
      <c r="N578" s="15" t="n">
        <v>5</v>
      </c>
      <c r="O578" s="15" t="n">
        <v>1</v>
      </c>
      <c r="P578" s="15" t="n">
        <v>2</v>
      </c>
      <c r="Q578" s="15" t="n">
        <v>1</v>
      </c>
    </row>
    <row r="579" customFormat="false" ht="15" hidden="false" customHeight="false" outlineLevel="0" collapsed="false">
      <c r="A579" s="15" t="n">
        <v>575</v>
      </c>
      <c r="B579" s="16" t="n">
        <v>57.648</v>
      </c>
      <c r="C579" s="15" t="n">
        <v>3</v>
      </c>
      <c r="D579" s="15" t="n">
        <v>5</v>
      </c>
      <c r="E579" s="15" t="n">
        <v>2</v>
      </c>
      <c r="F579" s="15" t="n">
        <v>2</v>
      </c>
      <c r="G579" s="15" t="n">
        <v>4</v>
      </c>
      <c r="H579" s="15" t="n">
        <v>1</v>
      </c>
      <c r="I579" s="15" t="n">
        <v>1</v>
      </c>
      <c r="J579" s="15" t="n">
        <v>3</v>
      </c>
      <c r="K579" s="15" t="n">
        <v>5</v>
      </c>
      <c r="L579" s="16" t="n">
        <v>2.212</v>
      </c>
      <c r="M579" s="16" t="n">
        <v>3.53</v>
      </c>
      <c r="N579" s="15" t="n">
        <v>5</v>
      </c>
      <c r="O579" s="15" t="n">
        <v>1</v>
      </c>
      <c r="P579" s="15" t="n">
        <v>2</v>
      </c>
      <c r="Q579" s="15" t="n">
        <v>1</v>
      </c>
    </row>
    <row r="580" customFormat="false" ht="15" hidden="false" customHeight="false" outlineLevel="0" collapsed="false">
      <c r="A580" s="15" t="n">
        <v>576</v>
      </c>
      <c r="B580" s="16" t="n">
        <v>57.746</v>
      </c>
      <c r="C580" s="15" t="n">
        <v>3</v>
      </c>
      <c r="D580" s="15" t="n">
        <v>5</v>
      </c>
      <c r="E580" s="15" t="n">
        <v>1</v>
      </c>
      <c r="F580" s="15" t="n">
        <v>2</v>
      </c>
      <c r="G580" s="15" t="n">
        <v>4</v>
      </c>
      <c r="H580" s="15" t="n">
        <v>1</v>
      </c>
      <c r="I580" s="15" t="n">
        <v>1</v>
      </c>
      <c r="J580" s="15" t="n">
        <v>3</v>
      </c>
      <c r="K580" s="15" t="n">
        <v>5</v>
      </c>
      <c r="L580" s="16" t="n">
        <v>2.274</v>
      </c>
      <c r="M580" s="16" t="n">
        <v>3.479</v>
      </c>
      <c r="N580" s="15" t="n">
        <v>5</v>
      </c>
      <c r="O580" s="15" t="n">
        <v>1</v>
      </c>
      <c r="P580" s="15" t="n">
        <v>2</v>
      </c>
      <c r="Q580" s="15" t="n">
        <v>1</v>
      </c>
    </row>
    <row r="581" customFormat="false" ht="15" hidden="false" customHeight="false" outlineLevel="0" collapsed="false">
      <c r="A581" s="15" t="n">
        <v>577</v>
      </c>
      <c r="B581" s="16" t="n">
        <v>57.845</v>
      </c>
      <c r="C581" s="15" t="n">
        <v>3</v>
      </c>
      <c r="D581" s="15" t="n">
        <v>5</v>
      </c>
      <c r="E581" s="15" t="n">
        <v>1</v>
      </c>
      <c r="F581" s="15" t="n">
        <v>3</v>
      </c>
      <c r="G581" s="15" t="n">
        <v>4</v>
      </c>
      <c r="H581" s="15" t="n">
        <v>1</v>
      </c>
      <c r="I581" s="15" t="n">
        <v>1</v>
      </c>
      <c r="J581" s="15" t="n">
        <v>3</v>
      </c>
      <c r="K581" s="15" t="n">
        <v>5</v>
      </c>
      <c r="L581" s="16" t="n">
        <v>2.434</v>
      </c>
      <c r="M581" s="16" t="n">
        <v>3.504</v>
      </c>
      <c r="N581" s="15" t="n">
        <v>5</v>
      </c>
      <c r="O581" s="15" t="n">
        <v>1</v>
      </c>
      <c r="P581" s="15" t="n">
        <v>2</v>
      </c>
      <c r="Q581" s="15" t="n">
        <v>1</v>
      </c>
    </row>
    <row r="582" customFormat="false" ht="15" hidden="false" customHeight="false" outlineLevel="0" collapsed="false">
      <c r="A582" s="15" t="n">
        <v>578</v>
      </c>
      <c r="B582" s="16" t="n">
        <v>57.943</v>
      </c>
      <c r="C582" s="15" t="n">
        <v>3</v>
      </c>
      <c r="D582" s="15" t="n">
        <v>5</v>
      </c>
      <c r="E582" s="15" t="n">
        <v>1</v>
      </c>
      <c r="F582" s="15" t="n">
        <v>3</v>
      </c>
      <c r="G582" s="15" t="n">
        <v>4</v>
      </c>
      <c r="H582" s="15" t="n">
        <v>1</v>
      </c>
      <c r="I582" s="15" t="n">
        <v>1</v>
      </c>
      <c r="J582" s="15" t="n">
        <v>3</v>
      </c>
      <c r="K582" s="15" t="n">
        <v>5</v>
      </c>
      <c r="L582" s="16" t="n">
        <v>2.357</v>
      </c>
      <c r="M582" s="16" t="n">
        <v>3.437</v>
      </c>
      <c r="N582" s="15" t="n">
        <v>5</v>
      </c>
      <c r="O582" s="15" t="n">
        <v>1</v>
      </c>
      <c r="P582" s="15" t="n">
        <v>2</v>
      </c>
      <c r="Q582" s="15" t="n">
        <v>2</v>
      </c>
    </row>
    <row r="583" customFormat="false" ht="15" hidden="false" customHeight="false" outlineLevel="0" collapsed="false">
      <c r="A583" s="15" t="n">
        <v>579</v>
      </c>
      <c r="B583" s="16" t="n">
        <v>58.042</v>
      </c>
      <c r="C583" s="15" t="n">
        <v>3</v>
      </c>
      <c r="D583" s="15" t="n">
        <v>5</v>
      </c>
      <c r="E583" s="15" t="n">
        <v>1</v>
      </c>
      <c r="F583" s="15" t="n">
        <v>2</v>
      </c>
      <c r="G583" s="15" t="n">
        <v>4</v>
      </c>
      <c r="H583" s="15" t="n">
        <v>1</v>
      </c>
      <c r="I583" s="15" t="n">
        <v>1</v>
      </c>
      <c r="J583" s="15" t="n">
        <v>3</v>
      </c>
      <c r="K583" s="15" t="n">
        <v>5</v>
      </c>
      <c r="L583" s="16" t="n">
        <v>2.502</v>
      </c>
      <c r="M583" s="16" t="n">
        <v>3.448</v>
      </c>
      <c r="N583" s="15" t="n">
        <v>5</v>
      </c>
      <c r="O583" s="15" t="n">
        <v>1</v>
      </c>
      <c r="P583" s="15" t="n">
        <v>2</v>
      </c>
      <c r="Q583" s="15" t="n">
        <v>1</v>
      </c>
    </row>
    <row r="584" customFormat="false" ht="15" hidden="false" customHeight="false" outlineLevel="0" collapsed="false">
      <c r="A584" s="15" t="n">
        <v>580</v>
      </c>
      <c r="B584" s="16" t="n">
        <v>58.141</v>
      </c>
      <c r="C584" s="15" t="n">
        <v>3</v>
      </c>
      <c r="D584" s="15" t="n">
        <v>5</v>
      </c>
      <c r="E584" s="15" t="n">
        <v>1</v>
      </c>
      <c r="F584" s="15" t="n">
        <v>2</v>
      </c>
      <c r="G584" s="15" t="n">
        <v>4</v>
      </c>
      <c r="H584" s="15" t="n">
        <v>1</v>
      </c>
      <c r="I584" s="15" t="n">
        <v>1</v>
      </c>
      <c r="J584" s="15" t="n">
        <v>3</v>
      </c>
      <c r="K584" s="15" t="n">
        <v>5</v>
      </c>
      <c r="L584" s="16" t="n">
        <v>2.673</v>
      </c>
      <c r="M584" s="16" t="n">
        <v>3.395</v>
      </c>
      <c r="N584" s="15" t="n">
        <v>5</v>
      </c>
      <c r="O584" s="15" t="n">
        <v>1</v>
      </c>
      <c r="P584" s="15" t="n">
        <v>2</v>
      </c>
      <c r="Q584" s="15" t="n">
        <v>1</v>
      </c>
    </row>
    <row r="585" customFormat="false" ht="15" hidden="false" customHeight="false" outlineLevel="0" collapsed="false">
      <c r="A585" s="15" t="n">
        <v>581</v>
      </c>
      <c r="B585" s="16" t="n">
        <v>58.24</v>
      </c>
      <c r="C585" s="15" t="n">
        <v>3</v>
      </c>
      <c r="D585" s="15" t="n">
        <v>5</v>
      </c>
      <c r="E585" s="15" t="n">
        <v>1</v>
      </c>
      <c r="F585" s="15" t="n">
        <v>3</v>
      </c>
      <c r="G585" s="15" t="n">
        <v>4</v>
      </c>
      <c r="H585" s="15" t="n">
        <v>1</v>
      </c>
      <c r="I585" s="15" t="n">
        <v>1</v>
      </c>
      <c r="J585" s="15" t="n">
        <v>3</v>
      </c>
      <c r="K585" s="15" t="n">
        <v>5</v>
      </c>
      <c r="L585" s="16" t="n">
        <v>2.447</v>
      </c>
      <c r="M585" s="16" t="n">
        <v>3.394</v>
      </c>
      <c r="N585" s="15" t="n">
        <v>5</v>
      </c>
      <c r="O585" s="15" t="n">
        <v>1</v>
      </c>
      <c r="P585" s="15" t="n">
        <v>2</v>
      </c>
      <c r="Q585" s="15" t="n">
        <v>1</v>
      </c>
    </row>
    <row r="586" customFormat="false" ht="15" hidden="false" customHeight="false" outlineLevel="0" collapsed="false">
      <c r="A586" s="15" t="n">
        <v>582</v>
      </c>
      <c r="B586" s="16" t="n">
        <v>58.339</v>
      </c>
      <c r="C586" s="15" t="n">
        <v>3</v>
      </c>
      <c r="D586" s="15" t="n">
        <v>5</v>
      </c>
      <c r="E586" s="15" t="n">
        <v>1</v>
      </c>
      <c r="F586" s="15" t="n">
        <v>2</v>
      </c>
      <c r="G586" s="15" t="n">
        <v>4</v>
      </c>
      <c r="H586" s="15" t="n">
        <v>1</v>
      </c>
      <c r="I586" s="15" t="n">
        <v>2</v>
      </c>
      <c r="J586" s="15" t="n">
        <v>3</v>
      </c>
      <c r="K586" s="15" t="n">
        <v>5</v>
      </c>
      <c r="L586" s="16" t="n">
        <v>2.512</v>
      </c>
      <c r="M586" s="16" t="n">
        <v>3.264</v>
      </c>
      <c r="N586" s="15" t="n">
        <v>5</v>
      </c>
      <c r="O586" s="15" t="n">
        <v>1</v>
      </c>
      <c r="P586" s="15" t="n">
        <v>2</v>
      </c>
      <c r="Q586" s="15" t="n">
        <v>2</v>
      </c>
    </row>
    <row r="587" customFormat="false" ht="15" hidden="false" customHeight="false" outlineLevel="0" collapsed="false">
      <c r="A587" s="15" t="n">
        <v>583</v>
      </c>
      <c r="B587" s="16" t="n">
        <v>58.439</v>
      </c>
      <c r="C587" s="15" t="n">
        <v>3</v>
      </c>
      <c r="D587" s="15" t="n">
        <v>5</v>
      </c>
      <c r="E587" s="15" t="n">
        <v>1</v>
      </c>
      <c r="F587" s="15" t="n">
        <v>3</v>
      </c>
      <c r="G587" s="15" t="n">
        <v>3</v>
      </c>
      <c r="H587" s="15" t="n">
        <v>1</v>
      </c>
      <c r="I587" s="15" t="n">
        <v>1</v>
      </c>
      <c r="J587" s="15" t="n">
        <v>3</v>
      </c>
      <c r="K587" s="15" t="n">
        <v>5</v>
      </c>
      <c r="L587" s="16" t="n">
        <v>2.634</v>
      </c>
      <c r="M587" s="16" t="n">
        <v>3.317</v>
      </c>
      <c r="N587" s="15" t="n">
        <v>5</v>
      </c>
      <c r="O587" s="15" t="n">
        <v>1</v>
      </c>
      <c r="P587" s="15" t="n">
        <v>2</v>
      </c>
      <c r="Q587" s="15" t="n">
        <v>1</v>
      </c>
    </row>
    <row r="588" customFormat="false" ht="15" hidden="false" customHeight="false" outlineLevel="0" collapsed="false">
      <c r="A588" s="15" t="n">
        <v>584</v>
      </c>
      <c r="B588" s="16" t="n">
        <v>58.538</v>
      </c>
      <c r="C588" s="15" t="n">
        <v>3</v>
      </c>
      <c r="D588" s="15" t="n">
        <v>5</v>
      </c>
      <c r="E588" s="15" t="n">
        <v>1</v>
      </c>
      <c r="F588" s="15" t="n">
        <v>2</v>
      </c>
      <c r="G588" s="15" t="n">
        <v>3</v>
      </c>
      <c r="H588" s="15" t="n">
        <v>1</v>
      </c>
      <c r="I588" s="15" t="n">
        <v>1</v>
      </c>
      <c r="J588" s="15" t="n">
        <v>3</v>
      </c>
      <c r="K588" s="15" t="n">
        <v>5</v>
      </c>
      <c r="L588" s="16" t="n">
        <v>2.613</v>
      </c>
      <c r="M588" s="16" t="n">
        <v>3.331</v>
      </c>
      <c r="N588" s="15" t="n">
        <v>5</v>
      </c>
      <c r="O588" s="15" t="n">
        <v>1</v>
      </c>
      <c r="P588" s="15" t="n">
        <v>2</v>
      </c>
      <c r="Q588" s="15" t="n">
        <v>2</v>
      </c>
    </row>
    <row r="589" customFormat="false" ht="15" hidden="false" customHeight="false" outlineLevel="0" collapsed="false">
      <c r="A589" s="15" t="n">
        <v>585</v>
      </c>
      <c r="B589" s="16" t="n">
        <v>58.637</v>
      </c>
      <c r="C589" s="15" t="n">
        <v>3</v>
      </c>
      <c r="D589" s="15" t="n">
        <v>5</v>
      </c>
      <c r="E589" s="15" t="n">
        <v>1</v>
      </c>
      <c r="F589" s="15" t="n">
        <v>3</v>
      </c>
      <c r="G589" s="15" t="n">
        <v>3</v>
      </c>
      <c r="H589" s="15" t="n">
        <v>1</v>
      </c>
      <c r="I589" s="15" t="n">
        <v>1</v>
      </c>
      <c r="J589" s="15" t="n">
        <v>3</v>
      </c>
      <c r="K589" s="15" t="n">
        <v>5</v>
      </c>
      <c r="L589" s="16" t="n">
        <v>2.619</v>
      </c>
      <c r="M589" s="16" t="n">
        <v>3.338</v>
      </c>
      <c r="N589" s="15" t="n">
        <v>5</v>
      </c>
      <c r="O589" s="15" t="n">
        <v>1</v>
      </c>
      <c r="P589" s="15" t="n">
        <v>2</v>
      </c>
      <c r="Q589" s="15" t="n">
        <v>2</v>
      </c>
    </row>
    <row r="590" customFormat="false" ht="15" hidden="false" customHeight="false" outlineLevel="0" collapsed="false">
      <c r="A590" s="15" t="n">
        <v>586</v>
      </c>
      <c r="B590" s="16" t="n">
        <v>58.737</v>
      </c>
      <c r="C590" s="15" t="n">
        <v>3</v>
      </c>
      <c r="D590" s="15" t="n">
        <v>5</v>
      </c>
      <c r="E590" s="15" t="n">
        <v>1</v>
      </c>
      <c r="F590" s="15" t="n">
        <v>2</v>
      </c>
      <c r="G590" s="15" t="n">
        <v>3</v>
      </c>
      <c r="H590" s="15" t="n">
        <v>1</v>
      </c>
      <c r="I590" s="15" t="n">
        <v>1</v>
      </c>
      <c r="J590" s="15" t="n">
        <v>3</v>
      </c>
      <c r="K590" s="15" t="n">
        <v>5</v>
      </c>
      <c r="L590" s="16" t="n">
        <v>2.785</v>
      </c>
      <c r="M590" s="16" t="n">
        <v>3.311</v>
      </c>
      <c r="N590" s="15" t="n">
        <v>5</v>
      </c>
      <c r="O590" s="15" t="n">
        <v>1</v>
      </c>
      <c r="P590" s="15" t="n">
        <v>2</v>
      </c>
      <c r="Q590" s="15" t="n">
        <v>2</v>
      </c>
    </row>
    <row r="591" customFormat="false" ht="15" hidden="false" customHeight="false" outlineLevel="0" collapsed="false">
      <c r="A591" s="15" t="n">
        <v>587</v>
      </c>
      <c r="B591" s="16" t="n">
        <v>58.836</v>
      </c>
      <c r="C591" s="15" t="n">
        <v>3</v>
      </c>
      <c r="D591" s="15" t="n">
        <v>5</v>
      </c>
      <c r="E591" s="15" t="n">
        <v>2</v>
      </c>
      <c r="F591" s="15" t="n">
        <v>2</v>
      </c>
      <c r="G591" s="15" t="n">
        <v>3</v>
      </c>
      <c r="H591" s="15" t="n">
        <v>1</v>
      </c>
      <c r="I591" s="15" t="n">
        <v>2</v>
      </c>
      <c r="J591" s="15" t="n">
        <v>3</v>
      </c>
      <c r="K591" s="15" t="n">
        <v>5</v>
      </c>
      <c r="L591" s="16" t="n">
        <v>2.644</v>
      </c>
      <c r="M591" s="16" t="n">
        <v>3.016</v>
      </c>
      <c r="N591" s="15" t="n">
        <v>5</v>
      </c>
      <c r="O591" s="15" t="n">
        <v>1</v>
      </c>
      <c r="P591" s="15" t="n">
        <v>2</v>
      </c>
      <c r="Q591" s="15" t="n">
        <v>2</v>
      </c>
    </row>
    <row r="592" customFormat="false" ht="15" hidden="false" customHeight="false" outlineLevel="0" collapsed="false">
      <c r="A592" s="15" t="n">
        <v>588</v>
      </c>
      <c r="B592" s="16" t="n">
        <v>58.935</v>
      </c>
      <c r="C592" s="15" t="n">
        <v>3</v>
      </c>
      <c r="D592" s="15" t="n">
        <v>5</v>
      </c>
      <c r="E592" s="15" t="n">
        <v>2</v>
      </c>
      <c r="F592" s="15" t="n">
        <v>1</v>
      </c>
      <c r="G592" s="15" t="n">
        <v>3</v>
      </c>
      <c r="H592" s="15" t="n">
        <v>1</v>
      </c>
      <c r="I592" s="15" t="n">
        <v>2</v>
      </c>
      <c r="J592" s="15" t="n">
        <v>3</v>
      </c>
      <c r="K592" s="15" t="n">
        <v>5</v>
      </c>
      <c r="L592" s="16" t="n">
        <v>2.993</v>
      </c>
      <c r="M592" s="16" t="n">
        <v>3.182</v>
      </c>
      <c r="N592" s="15" t="n">
        <v>5</v>
      </c>
      <c r="O592" s="15" t="n">
        <v>1</v>
      </c>
      <c r="P592" s="15" t="n">
        <v>2</v>
      </c>
      <c r="Q592" s="15" t="n">
        <v>2</v>
      </c>
    </row>
    <row r="593" customFormat="false" ht="15" hidden="false" customHeight="false" outlineLevel="0" collapsed="false">
      <c r="A593" s="15" t="n">
        <v>589</v>
      </c>
      <c r="B593" s="16" t="n">
        <v>59.034</v>
      </c>
      <c r="C593" s="15" t="n">
        <v>3</v>
      </c>
      <c r="D593" s="15" t="n">
        <v>5</v>
      </c>
      <c r="E593" s="15" t="n">
        <v>2</v>
      </c>
      <c r="F593" s="15" t="n">
        <v>2</v>
      </c>
      <c r="G593" s="15" t="n">
        <v>3</v>
      </c>
      <c r="H593" s="15" t="n">
        <v>1</v>
      </c>
      <c r="I593" s="15" t="n">
        <v>1</v>
      </c>
      <c r="J593" s="15" t="n">
        <v>3</v>
      </c>
      <c r="K593" s="15" t="n">
        <v>5</v>
      </c>
      <c r="L593" s="16" t="n">
        <v>3.458</v>
      </c>
      <c r="M593" s="16" t="n">
        <v>3.353</v>
      </c>
      <c r="N593" s="15" t="n">
        <v>5</v>
      </c>
      <c r="O593" s="15" t="n">
        <v>1</v>
      </c>
      <c r="P593" s="15" t="n">
        <v>2</v>
      </c>
      <c r="Q593" s="15" t="n">
        <v>3</v>
      </c>
    </row>
    <row r="594" customFormat="false" ht="15" hidden="false" customHeight="false" outlineLevel="0" collapsed="false">
      <c r="A594" s="15" t="n">
        <v>590</v>
      </c>
      <c r="B594" s="16" t="n">
        <v>59.134</v>
      </c>
      <c r="C594" s="15" t="n">
        <v>3</v>
      </c>
      <c r="D594" s="15" t="n">
        <v>5</v>
      </c>
      <c r="E594" s="15" t="n">
        <v>3</v>
      </c>
      <c r="F594" s="15" t="n">
        <v>2</v>
      </c>
      <c r="G594" s="15" t="n">
        <v>3</v>
      </c>
      <c r="H594" s="15" t="n">
        <v>1</v>
      </c>
      <c r="I594" s="15" t="n">
        <v>1</v>
      </c>
      <c r="J594" s="15" t="n">
        <v>3</v>
      </c>
      <c r="K594" s="15" t="n">
        <v>5</v>
      </c>
      <c r="L594" s="16" t="n">
        <v>3.824</v>
      </c>
      <c r="M594" s="16" t="n">
        <v>2.988</v>
      </c>
      <c r="N594" s="15" t="n">
        <v>5</v>
      </c>
      <c r="O594" s="15" t="n">
        <v>1</v>
      </c>
      <c r="P594" s="15" t="n">
        <v>2</v>
      </c>
      <c r="Q594" s="15" t="n">
        <v>4</v>
      </c>
    </row>
    <row r="595" customFormat="false" ht="15" hidden="false" customHeight="false" outlineLevel="0" collapsed="false">
      <c r="A595" s="15" t="n">
        <v>591</v>
      </c>
      <c r="B595" s="16" t="n">
        <v>59.233</v>
      </c>
      <c r="C595" s="15" t="n">
        <v>3</v>
      </c>
      <c r="D595" s="15" t="n">
        <v>4</v>
      </c>
      <c r="E595" s="15" t="n">
        <v>3</v>
      </c>
      <c r="F595" s="15" t="n">
        <v>1</v>
      </c>
      <c r="G595" s="15" t="n">
        <v>3</v>
      </c>
      <c r="H595" s="15" t="n">
        <v>1</v>
      </c>
      <c r="I595" s="15" t="n">
        <v>1</v>
      </c>
      <c r="J595" s="15" t="n">
        <v>3</v>
      </c>
      <c r="K595" s="15" t="n">
        <v>5</v>
      </c>
      <c r="L595" s="16" t="n">
        <v>3.981</v>
      </c>
      <c r="M595" s="16" t="n">
        <v>2.839</v>
      </c>
      <c r="N595" s="15" t="n">
        <v>5</v>
      </c>
      <c r="O595" s="15" t="n">
        <v>1</v>
      </c>
      <c r="P595" s="15" t="n">
        <v>2</v>
      </c>
      <c r="Q595" s="15" t="n">
        <v>5</v>
      </c>
    </row>
    <row r="596" customFormat="false" ht="15" hidden="false" customHeight="false" outlineLevel="0" collapsed="false">
      <c r="A596" s="15" t="n">
        <v>592</v>
      </c>
      <c r="B596" s="16" t="n">
        <v>59.333</v>
      </c>
      <c r="C596" s="15" t="n">
        <v>3</v>
      </c>
      <c r="D596" s="15" t="n">
        <v>5</v>
      </c>
      <c r="E596" s="15" t="n">
        <v>2</v>
      </c>
      <c r="F596" s="15" t="n">
        <v>1</v>
      </c>
      <c r="G596" s="15" t="n">
        <v>3</v>
      </c>
      <c r="H596" s="15" t="n">
        <v>1</v>
      </c>
      <c r="I596" s="15" t="n">
        <v>1</v>
      </c>
      <c r="J596" s="15" t="n">
        <v>3</v>
      </c>
      <c r="K596" s="15" t="n">
        <v>5</v>
      </c>
      <c r="L596" s="16" t="n">
        <v>4.042</v>
      </c>
      <c r="M596" s="16" t="n">
        <v>2.932</v>
      </c>
      <c r="N596" s="15" t="n">
        <v>5</v>
      </c>
      <c r="O596" s="15" t="n">
        <v>2</v>
      </c>
      <c r="P596" s="15" t="n">
        <v>2</v>
      </c>
      <c r="Q596" s="15" t="n">
        <v>5</v>
      </c>
    </row>
    <row r="597" customFormat="false" ht="15" hidden="false" customHeight="false" outlineLevel="0" collapsed="false">
      <c r="A597" s="15" t="n">
        <v>593</v>
      </c>
      <c r="B597" s="16" t="n">
        <v>59.435</v>
      </c>
      <c r="C597" s="15" t="n">
        <v>3</v>
      </c>
      <c r="D597" s="15" t="n">
        <v>5</v>
      </c>
      <c r="E597" s="15" t="n">
        <v>1</v>
      </c>
      <c r="F597" s="15" t="n">
        <v>2</v>
      </c>
      <c r="G597" s="15" t="n">
        <v>4</v>
      </c>
      <c r="H597" s="15" t="n">
        <v>1</v>
      </c>
      <c r="I597" s="15" t="n">
        <v>1</v>
      </c>
      <c r="J597" s="15" t="n">
        <v>3</v>
      </c>
      <c r="K597" s="15" t="n">
        <v>5</v>
      </c>
      <c r="L597" s="16" t="n">
        <v>4.326</v>
      </c>
      <c r="M597" s="16" t="n">
        <v>3.309</v>
      </c>
      <c r="N597" s="15" t="n">
        <v>5</v>
      </c>
      <c r="O597" s="15" t="n">
        <v>3</v>
      </c>
      <c r="P597" s="15" t="n">
        <v>2</v>
      </c>
      <c r="Q597" s="15" t="n">
        <v>3</v>
      </c>
    </row>
    <row r="598" customFormat="false" ht="15" hidden="false" customHeight="false" outlineLevel="0" collapsed="false">
      <c r="A598" s="15" t="n">
        <v>594</v>
      </c>
      <c r="B598" s="16" t="n">
        <v>59.536</v>
      </c>
      <c r="C598" s="15" t="n">
        <v>3</v>
      </c>
      <c r="D598" s="15" t="n">
        <v>5</v>
      </c>
      <c r="E598" s="15" t="n">
        <v>1</v>
      </c>
      <c r="F598" s="15" t="n">
        <v>2</v>
      </c>
      <c r="G598" s="15" t="n">
        <v>4</v>
      </c>
      <c r="H598" s="15" t="n">
        <v>1</v>
      </c>
      <c r="I598" s="15" t="n">
        <v>1</v>
      </c>
      <c r="J598" s="15" t="n">
        <v>3</v>
      </c>
      <c r="K598" s="15" t="n">
        <v>5</v>
      </c>
      <c r="L598" s="16" t="n">
        <v>4.468</v>
      </c>
      <c r="M598" s="16" t="n">
        <v>3.515</v>
      </c>
      <c r="N598" s="15" t="n">
        <v>5</v>
      </c>
      <c r="O598" s="15" t="n">
        <v>3</v>
      </c>
      <c r="P598" s="15" t="n">
        <v>2</v>
      </c>
      <c r="Q598" s="15" t="n">
        <v>3</v>
      </c>
    </row>
    <row r="599" customFormat="false" ht="15" hidden="false" customHeight="false" outlineLevel="0" collapsed="false">
      <c r="A599" s="15" t="n">
        <v>595</v>
      </c>
      <c r="B599" s="16" t="n">
        <v>59.636</v>
      </c>
      <c r="C599" s="15" t="n">
        <v>3</v>
      </c>
      <c r="D599" s="15" t="n">
        <v>5</v>
      </c>
      <c r="E599" s="15" t="n">
        <v>1</v>
      </c>
      <c r="F599" s="15" t="n">
        <v>3</v>
      </c>
      <c r="G599" s="15" t="n">
        <v>4</v>
      </c>
      <c r="H599" s="15" t="n">
        <v>1</v>
      </c>
      <c r="I599" s="15" t="n">
        <v>1</v>
      </c>
      <c r="J599" s="15" t="n">
        <v>3</v>
      </c>
      <c r="K599" s="15" t="n">
        <v>5</v>
      </c>
      <c r="L599" s="16" t="n">
        <v>4.513</v>
      </c>
      <c r="M599" s="16" t="n">
        <v>3.803</v>
      </c>
      <c r="N599" s="15" t="n">
        <v>5</v>
      </c>
      <c r="O599" s="15" t="n">
        <v>3</v>
      </c>
      <c r="P599" s="15" t="n">
        <v>2</v>
      </c>
      <c r="Q599" s="15" t="n">
        <v>2</v>
      </c>
    </row>
    <row r="600" customFormat="false" ht="15" hidden="false" customHeight="false" outlineLevel="0" collapsed="false">
      <c r="A600" s="15" t="n">
        <v>596</v>
      </c>
      <c r="B600" s="16" t="n">
        <v>59.738</v>
      </c>
      <c r="C600" s="15" t="n">
        <v>3</v>
      </c>
      <c r="D600" s="15" t="n">
        <v>5</v>
      </c>
      <c r="E600" s="15" t="n">
        <v>1</v>
      </c>
      <c r="F600" s="15" t="n">
        <v>4</v>
      </c>
      <c r="G600" s="15" t="n">
        <v>4</v>
      </c>
      <c r="H600" s="15" t="n">
        <v>1</v>
      </c>
      <c r="I600" s="15" t="n">
        <v>1</v>
      </c>
      <c r="J600" s="15" t="n">
        <v>3</v>
      </c>
      <c r="K600" s="15" t="n">
        <v>5</v>
      </c>
      <c r="L600" s="16" t="n">
        <v>4.57</v>
      </c>
      <c r="M600" s="16" t="n">
        <v>3.993</v>
      </c>
      <c r="N600" s="15" t="n">
        <v>5</v>
      </c>
      <c r="O600" s="15" t="n">
        <v>4</v>
      </c>
      <c r="P600" s="15" t="n">
        <v>2</v>
      </c>
      <c r="Q600" s="15" t="n">
        <v>2</v>
      </c>
    </row>
    <row r="601" customFormat="false" ht="15" hidden="false" customHeight="false" outlineLevel="0" collapsed="false">
      <c r="A601" s="15" t="n">
        <v>597</v>
      </c>
      <c r="B601" s="16" t="n">
        <v>59.839</v>
      </c>
      <c r="C601" s="15" t="n">
        <v>3</v>
      </c>
      <c r="D601" s="15" t="n">
        <v>5</v>
      </c>
      <c r="E601" s="15" t="n">
        <v>1</v>
      </c>
      <c r="F601" s="15" t="n">
        <v>4</v>
      </c>
      <c r="G601" s="15" t="n">
        <v>4</v>
      </c>
      <c r="H601" s="15" t="n">
        <v>1</v>
      </c>
      <c r="I601" s="15" t="n">
        <v>1</v>
      </c>
      <c r="J601" s="15" t="n">
        <v>3</v>
      </c>
      <c r="K601" s="15" t="n">
        <v>5</v>
      </c>
      <c r="L601" s="16" t="n">
        <v>4.653</v>
      </c>
      <c r="M601" s="16" t="n">
        <v>4.277</v>
      </c>
      <c r="N601" s="15" t="n">
        <v>5</v>
      </c>
      <c r="O601" s="15" t="n">
        <v>4</v>
      </c>
      <c r="P601" s="15" t="n">
        <v>2</v>
      </c>
      <c r="Q601" s="15" t="n">
        <v>2</v>
      </c>
    </row>
    <row r="602" customFormat="false" ht="15" hidden="false" customHeight="false" outlineLevel="0" collapsed="false">
      <c r="A602" s="15" t="n">
        <v>598</v>
      </c>
      <c r="B602" s="16" t="n">
        <v>59.94</v>
      </c>
      <c r="C602" s="15" t="n">
        <v>3</v>
      </c>
      <c r="D602" s="15" t="n">
        <v>5</v>
      </c>
      <c r="E602" s="15" t="n">
        <v>1</v>
      </c>
      <c r="F602" s="15" t="n">
        <v>4</v>
      </c>
      <c r="G602" s="15" t="n">
        <v>4</v>
      </c>
      <c r="H602" s="15" t="n">
        <v>1</v>
      </c>
      <c r="I602" s="15" t="n">
        <v>1</v>
      </c>
      <c r="J602" s="15" t="n">
        <v>3</v>
      </c>
      <c r="K602" s="15" t="n">
        <v>5</v>
      </c>
      <c r="L602" s="16" t="n">
        <v>4.717</v>
      </c>
      <c r="M602" s="16" t="n">
        <v>4.506</v>
      </c>
      <c r="N602" s="15" t="n">
        <v>5</v>
      </c>
      <c r="O602" s="15" t="n">
        <v>4</v>
      </c>
      <c r="P602" s="15" t="n">
        <v>2</v>
      </c>
      <c r="Q602" s="15" t="n">
        <v>1</v>
      </c>
    </row>
    <row r="603" customFormat="false" ht="15" hidden="false" customHeight="false" outlineLevel="0" collapsed="false">
      <c r="A603" s="15" t="n">
        <v>599</v>
      </c>
      <c r="B603" s="16" t="n">
        <v>60.041</v>
      </c>
      <c r="C603" s="15" t="n">
        <v>3</v>
      </c>
      <c r="D603" s="15" t="n">
        <v>5</v>
      </c>
      <c r="E603" s="15" t="n">
        <v>2</v>
      </c>
      <c r="F603" s="15" t="n">
        <v>3</v>
      </c>
      <c r="G603" s="15" t="n">
        <v>4</v>
      </c>
      <c r="H603" s="15" t="n">
        <v>1</v>
      </c>
      <c r="I603" s="15" t="n">
        <v>1</v>
      </c>
      <c r="J603" s="15" t="n">
        <v>3</v>
      </c>
      <c r="K603" s="15" t="n">
        <v>5</v>
      </c>
      <c r="L603" s="16" t="n">
        <v>4.785</v>
      </c>
      <c r="M603" s="16" t="n">
        <v>4.706</v>
      </c>
      <c r="N603" s="15" t="n">
        <v>5</v>
      </c>
      <c r="O603" s="15" t="n">
        <v>4</v>
      </c>
      <c r="P603" s="15" t="n">
        <v>2</v>
      </c>
      <c r="Q603" s="15" t="n">
        <v>1</v>
      </c>
    </row>
    <row r="604" customFormat="false" ht="15" hidden="false" customHeight="false" outlineLevel="0" collapsed="false">
      <c r="A604" s="15" t="n">
        <v>600</v>
      </c>
      <c r="B604" s="16" t="n">
        <v>60.141</v>
      </c>
      <c r="C604" s="15" t="n">
        <v>3</v>
      </c>
      <c r="D604" s="15" t="n">
        <v>5</v>
      </c>
      <c r="E604" s="15" t="n">
        <v>3</v>
      </c>
      <c r="F604" s="15" t="n">
        <v>2</v>
      </c>
      <c r="G604" s="15" t="n">
        <v>4</v>
      </c>
      <c r="H604" s="15" t="n">
        <v>1</v>
      </c>
      <c r="I604" s="15" t="n">
        <v>1</v>
      </c>
      <c r="J604" s="15" t="n">
        <v>3</v>
      </c>
      <c r="K604" s="15" t="n">
        <v>5</v>
      </c>
      <c r="L604" s="16" t="n">
        <v>4.845</v>
      </c>
      <c r="M604" s="16" t="n">
        <v>4.866</v>
      </c>
      <c r="N604" s="15" t="n">
        <v>5</v>
      </c>
      <c r="O604" s="15" t="n">
        <v>4</v>
      </c>
      <c r="P604" s="15" t="n">
        <v>2</v>
      </c>
      <c r="Q604" s="15" t="n">
        <v>1</v>
      </c>
    </row>
    <row r="605" customFormat="false" ht="15" hidden="false" customHeight="false" outlineLevel="0" collapsed="false">
      <c r="A605" s="15" t="n">
        <v>601</v>
      </c>
      <c r="B605" s="16" t="n">
        <v>60.241</v>
      </c>
      <c r="C605" s="15" t="n">
        <v>3</v>
      </c>
      <c r="D605" s="15" t="n">
        <v>5</v>
      </c>
      <c r="E605" s="15" t="n">
        <v>3</v>
      </c>
      <c r="F605" s="15" t="n">
        <v>2</v>
      </c>
      <c r="G605" s="15" t="n">
        <v>4</v>
      </c>
      <c r="H605" s="15" t="n">
        <v>1</v>
      </c>
      <c r="I605" s="15" t="n">
        <v>1</v>
      </c>
      <c r="J605" s="15" t="n">
        <v>3</v>
      </c>
      <c r="K605" s="15" t="n">
        <v>5</v>
      </c>
      <c r="L605" s="16" t="n">
        <v>4.877</v>
      </c>
      <c r="M605" s="16" t="n">
        <v>4.892</v>
      </c>
      <c r="N605" s="15" t="n">
        <v>5</v>
      </c>
      <c r="O605" s="15" t="n">
        <v>4</v>
      </c>
      <c r="P605" s="15" t="n">
        <v>2</v>
      </c>
      <c r="Q605" s="15" t="n">
        <v>1</v>
      </c>
    </row>
    <row r="606" customFormat="false" ht="15" hidden="false" customHeight="false" outlineLevel="0" collapsed="false">
      <c r="A606" s="15" t="n">
        <v>602</v>
      </c>
      <c r="B606" s="16" t="n">
        <v>60.341</v>
      </c>
      <c r="C606" s="15" t="n">
        <v>3</v>
      </c>
      <c r="D606" s="15" t="n">
        <v>5</v>
      </c>
      <c r="E606" s="15" t="n">
        <v>4</v>
      </c>
      <c r="F606" s="15" t="n">
        <v>1</v>
      </c>
      <c r="G606" s="15" t="n">
        <v>4</v>
      </c>
      <c r="H606" s="15" t="n">
        <v>1</v>
      </c>
      <c r="I606" s="15" t="n">
        <v>1</v>
      </c>
      <c r="J606" s="15" t="n">
        <v>3</v>
      </c>
      <c r="K606" s="15" t="n">
        <v>5</v>
      </c>
      <c r="L606" s="16" t="n">
        <v>4.908</v>
      </c>
      <c r="M606" s="16" t="n">
        <v>4.83</v>
      </c>
      <c r="N606" s="15" t="n">
        <v>5</v>
      </c>
      <c r="O606" s="15" t="n">
        <v>4</v>
      </c>
      <c r="P606" s="15" t="n">
        <v>2</v>
      </c>
      <c r="Q606" s="15" t="n">
        <v>1</v>
      </c>
    </row>
    <row r="607" customFormat="false" ht="15" hidden="false" customHeight="false" outlineLevel="0" collapsed="false">
      <c r="A607" s="15" t="n">
        <v>603</v>
      </c>
      <c r="B607" s="16" t="n">
        <v>60.441</v>
      </c>
      <c r="C607" s="15" t="n">
        <v>3</v>
      </c>
      <c r="D607" s="15" t="n">
        <v>5</v>
      </c>
      <c r="E607" s="15" t="n">
        <v>5</v>
      </c>
      <c r="F607" s="15" t="n">
        <v>2</v>
      </c>
      <c r="G607" s="15" t="n">
        <v>4</v>
      </c>
      <c r="H607" s="15" t="n">
        <v>1</v>
      </c>
      <c r="I607" s="15" t="n">
        <v>3</v>
      </c>
      <c r="J607" s="15" t="n">
        <v>3</v>
      </c>
      <c r="K607" s="15" t="n">
        <v>5</v>
      </c>
      <c r="L607" s="16" t="n">
        <v>4.893</v>
      </c>
      <c r="M607" s="16" t="n">
        <v>4.632</v>
      </c>
      <c r="N607" s="15" t="n">
        <v>5</v>
      </c>
      <c r="O607" s="15" t="n">
        <v>3</v>
      </c>
      <c r="P607" s="15" t="n">
        <v>2</v>
      </c>
      <c r="Q607" s="15" t="n">
        <v>1</v>
      </c>
    </row>
    <row r="608" customFormat="false" ht="15" hidden="false" customHeight="false" outlineLevel="0" collapsed="false">
      <c r="A608" s="15" t="n">
        <v>604</v>
      </c>
      <c r="B608" s="16" t="n">
        <v>60.541</v>
      </c>
      <c r="C608" s="15" t="n">
        <v>3</v>
      </c>
      <c r="D608" s="15" t="n">
        <v>4</v>
      </c>
      <c r="E608" s="15" t="n">
        <v>5</v>
      </c>
      <c r="F608" s="15" t="n">
        <v>2</v>
      </c>
      <c r="G608" s="15" t="n">
        <v>4</v>
      </c>
      <c r="H608" s="15" t="n">
        <v>1</v>
      </c>
      <c r="I608" s="15" t="n">
        <v>3</v>
      </c>
      <c r="J608" s="15" t="n">
        <v>3</v>
      </c>
      <c r="K608" s="15" t="n">
        <v>5</v>
      </c>
      <c r="L608" s="16" t="n">
        <v>4.728</v>
      </c>
      <c r="M608" s="16" t="n">
        <v>4.478</v>
      </c>
      <c r="N608" s="15" t="n">
        <v>5</v>
      </c>
      <c r="O608" s="15" t="n">
        <v>3</v>
      </c>
      <c r="P608" s="15" t="n">
        <v>2</v>
      </c>
      <c r="Q608" s="15" t="n">
        <v>1</v>
      </c>
    </row>
    <row r="609" customFormat="false" ht="15" hidden="false" customHeight="false" outlineLevel="0" collapsed="false">
      <c r="A609" s="15" t="n">
        <v>605</v>
      </c>
      <c r="B609" s="16" t="n">
        <v>60.641</v>
      </c>
      <c r="C609" s="15" t="n">
        <v>3</v>
      </c>
      <c r="D609" s="15" t="n">
        <v>4</v>
      </c>
      <c r="E609" s="15" t="n">
        <v>4</v>
      </c>
      <c r="F609" s="15" t="n">
        <v>1</v>
      </c>
      <c r="G609" s="15" t="n">
        <v>4</v>
      </c>
      <c r="H609" s="15" t="n">
        <v>1</v>
      </c>
      <c r="I609" s="15" t="n">
        <v>3</v>
      </c>
      <c r="J609" s="15" t="n">
        <v>3</v>
      </c>
      <c r="K609" s="15" t="n">
        <v>5</v>
      </c>
      <c r="L609" s="16" t="n">
        <v>4.031</v>
      </c>
      <c r="M609" s="16" t="n">
        <v>3.906</v>
      </c>
      <c r="N609" s="15" t="n">
        <v>5</v>
      </c>
      <c r="O609" s="15" t="n">
        <v>2</v>
      </c>
      <c r="P609" s="15" t="n">
        <v>2</v>
      </c>
      <c r="Q609" s="15" t="n">
        <v>5</v>
      </c>
    </row>
    <row r="610" customFormat="false" ht="15" hidden="false" customHeight="false" outlineLevel="0" collapsed="false">
      <c r="A610" s="15" t="n">
        <v>606</v>
      </c>
      <c r="B610" s="16" t="n">
        <v>60.741</v>
      </c>
      <c r="C610" s="15" t="n">
        <v>3</v>
      </c>
      <c r="D610" s="15" t="n">
        <v>4</v>
      </c>
      <c r="E610" s="15" t="n">
        <v>4</v>
      </c>
      <c r="F610" s="15" t="n">
        <v>1</v>
      </c>
      <c r="G610" s="15" t="n">
        <v>3</v>
      </c>
      <c r="H610" s="15" t="n">
        <v>1</v>
      </c>
      <c r="I610" s="15" t="n">
        <v>3</v>
      </c>
      <c r="J610" s="15" t="n">
        <v>3</v>
      </c>
      <c r="K610" s="15" t="n">
        <v>5</v>
      </c>
      <c r="L610" s="16" t="n">
        <v>3.818</v>
      </c>
      <c r="M610" s="16" t="n">
        <v>3.522</v>
      </c>
      <c r="N610" s="15" t="n">
        <v>5</v>
      </c>
      <c r="O610" s="15" t="n">
        <v>1</v>
      </c>
      <c r="P610" s="15" t="n">
        <v>2</v>
      </c>
      <c r="Q610" s="15" t="n">
        <v>5</v>
      </c>
    </row>
    <row r="611" customFormat="false" ht="15" hidden="false" customHeight="false" outlineLevel="0" collapsed="false">
      <c r="A611" s="15" t="n">
        <v>607</v>
      </c>
      <c r="B611" s="16" t="n">
        <v>60.841</v>
      </c>
      <c r="C611" s="15" t="n">
        <v>3</v>
      </c>
      <c r="D611" s="15" t="n">
        <v>4</v>
      </c>
      <c r="E611" s="15" t="n">
        <v>5</v>
      </c>
      <c r="F611" s="15" t="n">
        <v>2</v>
      </c>
      <c r="G611" s="15" t="n">
        <v>3</v>
      </c>
      <c r="H611" s="15" t="n">
        <v>1</v>
      </c>
      <c r="I611" s="15" t="n">
        <v>4</v>
      </c>
      <c r="J611" s="15" t="n">
        <v>3</v>
      </c>
      <c r="K611" s="15" t="n">
        <v>5</v>
      </c>
      <c r="L611" s="16" t="n">
        <v>3.618</v>
      </c>
      <c r="M611" s="16" t="n">
        <v>3.516</v>
      </c>
      <c r="N611" s="15" t="n">
        <v>5</v>
      </c>
      <c r="O611" s="15" t="n">
        <v>1</v>
      </c>
      <c r="P611" s="15" t="n">
        <v>2</v>
      </c>
      <c r="Q611" s="15" t="n">
        <v>5</v>
      </c>
    </row>
    <row r="612" customFormat="false" ht="15" hidden="false" customHeight="false" outlineLevel="0" collapsed="false">
      <c r="A612" s="15" t="n">
        <v>608</v>
      </c>
      <c r="B612" s="16" t="n">
        <v>60.942</v>
      </c>
      <c r="C612" s="15" t="n">
        <v>4</v>
      </c>
      <c r="D612" s="15" t="n">
        <v>4</v>
      </c>
      <c r="E612" s="15" t="n">
        <v>5</v>
      </c>
      <c r="F612" s="15" t="n">
        <v>2</v>
      </c>
      <c r="G612" s="15" t="n">
        <v>3</v>
      </c>
      <c r="H612" s="15" t="n">
        <v>1</v>
      </c>
      <c r="I612" s="15" t="n">
        <v>3</v>
      </c>
      <c r="J612" s="15" t="n">
        <v>3</v>
      </c>
      <c r="K612" s="15" t="n">
        <v>5</v>
      </c>
      <c r="L612" s="16" t="n">
        <v>3.204</v>
      </c>
      <c r="M612" s="16" t="n">
        <v>3.553</v>
      </c>
      <c r="N612" s="15" t="n">
        <v>5</v>
      </c>
      <c r="O612" s="15" t="n">
        <v>1</v>
      </c>
      <c r="P612" s="15" t="n">
        <v>2</v>
      </c>
      <c r="Q612" s="15" t="n">
        <v>1</v>
      </c>
    </row>
    <row r="613" customFormat="false" ht="15" hidden="false" customHeight="false" outlineLevel="0" collapsed="false">
      <c r="A613" s="15" t="n">
        <v>609</v>
      </c>
      <c r="B613" s="16" t="n">
        <v>61.042</v>
      </c>
      <c r="C613" s="15" t="n">
        <v>4</v>
      </c>
      <c r="D613" s="15" t="n">
        <v>4</v>
      </c>
      <c r="E613" s="15" t="n">
        <v>4</v>
      </c>
      <c r="F613" s="15" t="n">
        <v>2</v>
      </c>
      <c r="G613" s="15" t="n">
        <v>3</v>
      </c>
      <c r="H613" s="15" t="n">
        <v>1</v>
      </c>
      <c r="I613" s="15" t="n">
        <v>3</v>
      </c>
      <c r="J613" s="15" t="n">
        <v>3</v>
      </c>
      <c r="K613" s="15" t="n">
        <v>5</v>
      </c>
      <c r="L613" s="16" t="n">
        <v>2.946</v>
      </c>
      <c r="M613" s="16" t="n">
        <v>3.7</v>
      </c>
      <c r="N613" s="15" t="n">
        <v>5</v>
      </c>
      <c r="O613" s="15" t="n">
        <v>1</v>
      </c>
      <c r="P613" s="15" t="n">
        <v>2</v>
      </c>
      <c r="Q613" s="15" t="n">
        <v>5</v>
      </c>
    </row>
    <row r="614" customFormat="false" ht="15" hidden="false" customHeight="false" outlineLevel="0" collapsed="false">
      <c r="A614" s="15" t="n">
        <v>610</v>
      </c>
      <c r="B614" s="16" t="n">
        <v>61.141</v>
      </c>
      <c r="C614" s="15" t="n">
        <v>4</v>
      </c>
      <c r="D614" s="15" t="n">
        <v>4</v>
      </c>
      <c r="E614" s="15" t="n">
        <v>5</v>
      </c>
      <c r="F614" s="15" t="n">
        <v>1</v>
      </c>
      <c r="G614" s="15" t="n">
        <v>3</v>
      </c>
      <c r="H614" s="15" t="n">
        <v>1</v>
      </c>
      <c r="I614" s="15" t="n">
        <v>2</v>
      </c>
      <c r="J614" s="15" t="n">
        <v>3</v>
      </c>
      <c r="K614" s="15" t="n">
        <v>5</v>
      </c>
      <c r="L614" s="16" t="n">
        <v>2.621</v>
      </c>
      <c r="M614" s="16" t="n">
        <v>3.618</v>
      </c>
      <c r="N614" s="15" t="n">
        <v>5</v>
      </c>
      <c r="O614" s="15" t="n">
        <v>1</v>
      </c>
      <c r="P614" s="15" t="n">
        <v>2</v>
      </c>
      <c r="Q614" s="15" t="n">
        <v>5</v>
      </c>
    </row>
    <row r="615" customFormat="false" ht="15" hidden="false" customHeight="false" outlineLevel="0" collapsed="false">
      <c r="A615" s="15" t="n">
        <v>611</v>
      </c>
      <c r="B615" s="16" t="n">
        <v>61.241</v>
      </c>
      <c r="C615" s="15" t="n">
        <v>4</v>
      </c>
      <c r="D615" s="15" t="n">
        <v>4</v>
      </c>
      <c r="E615" s="15" t="n">
        <v>4</v>
      </c>
      <c r="F615" s="15" t="n">
        <v>2</v>
      </c>
      <c r="G615" s="15" t="n">
        <v>3</v>
      </c>
      <c r="H615" s="15" t="n">
        <v>1</v>
      </c>
      <c r="I615" s="15" t="n">
        <v>1</v>
      </c>
      <c r="J615" s="15" t="n">
        <v>3</v>
      </c>
      <c r="K615" s="15" t="n">
        <v>5</v>
      </c>
      <c r="L615" s="16" t="n">
        <v>3.048</v>
      </c>
      <c r="M615" s="16" t="n">
        <v>3.351</v>
      </c>
      <c r="N615" s="15" t="n">
        <v>5</v>
      </c>
      <c r="O615" s="15" t="n">
        <v>1</v>
      </c>
      <c r="P615" s="15" t="n">
        <v>2</v>
      </c>
      <c r="Q615" s="15" t="n">
        <v>5</v>
      </c>
    </row>
    <row r="616" customFormat="false" ht="15" hidden="false" customHeight="false" outlineLevel="0" collapsed="false">
      <c r="A616" s="15" t="n">
        <v>612</v>
      </c>
      <c r="B616" s="16" t="n">
        <v>61.341</v>
      </c>
      <c r="C616" s="15" t="n">
        <v>4</v>
      </c>
      <c r="D616" s="15" t="n">
        <v>4</v>
      </c>
      <c r="E616" s="15" t="n">
        <v>4</v>
      </c>
      <c r="F616" s="15" t="n">
        <v>2</v>
      </c>
      <c r="G616" s="15" t="n">
        <v>3</v>
      </c>
      <c r="H616" s="15" t="n">
        <v>1</v>
      </c>
      <c r="I616" s="15" t="n">
        <v>2</v>
      </c>
      <c r="J616" s="15" t="n">
        <v>3</v>
      </c>
      <c r="K616" s="15" t="n">
        <v>5</v>
      </c>
      <c r="L616" s="16" t="n">
        <v>3.321</v>
      </c>
      <c r="M616" s="16" t="n">
        <v>3.379</v>
      </c>
      <c r="N616" s="15" t="n">
        <v>5</v>
      </c>
      <c r="O616" s="15" t="n">
        <v>1</v>
      </c>
      <c r="P616" s="15" t="n">
        <v>2</v>
      </c>
      <c r="Q616" s="15" t="n">
        <v>5</v>
      </c>
    </row>
    <row r="617" customFormat="false" ht="15" hidden="false" customHeight="false" outlineLevel="0" collapsed="false">
      <c r="A617" s="15" t="n">
        <v>613</v>
      </c>
      <c r="B617" s="16" t="n">
        <v>61.44</v>
      </c>
      <c r="C617" s="15" t="n">
        <v>4</v>
      </c>
      <c r="D617" s="15" t="n">
        <v>4</v>
      </c>
      <c r="E617" s="15" t="n">
        <v>4</v>
      </c>
      <c r="F617" s="15" t="n">
        <v>2</v>
      </c>
      <c r="G617" s="15" t="n">
        <v>3</v>
      </c>
      <c r="H617" s="15" t="n">
        <v>1</v>
      </c>
      <c r="I617" s="15" t="n">
        <v>2</v>
      </c>
      <c r="J617" s="15" t="n">
        <v>3</v>
      </c>
      <c r="K617" s="15" t="n">
        <v>5</v>
      </c>
      <c r="L617" s="16" t="n">
        <v>3.947</v>
      </c>
      <c r="M617" s="16" t="n">
        <v>3.707</v>
      </c>
      <c r="N617" s="15" t="n">
        <v>5</v>
      </c>
      <c r="O617" s="15" t="n">
        <v>2</v>
      </c>
      <c r="P617" s="15" t="n">
        <v>2</v>
      </c>
      <c r="Q617" s="15" t="n">
        <v>3</v>
      </c>
    </row>
    <row r="618" customFormat="false" ht="15" hidden="false" customHeight="false" outlineLevel="0" collapsed="false">
      <c r="A618" s="15" t="n">
        <v>614</v>
      </c>
      <c r="B618" s="16" t="n">
        <v>61.538</v>
      </c>
      <c r="C618" s="15" t="n">
        <v>4</v>
      </c>
      <c r="D618" s="15" t="n">
        <v>4</v>
      </c>
      <c r="E618" s="15" t="n">
        <v>4</v>
      </c>
      <c r="F618" s="15" t="n">
        <v>2</v>
      </c>
      <c r="G618" s="15" t="n">
        <v>3</v>
      </c>
      <c r="H618" s="15" t="n">
        <v>1</v>
      </c>
      <c r="I618" s="15" t="n">
        <v>2</v>
      </c>
      <c r="J618" s="15" t="n">
        <v>3</v>
      </c>
      <c r="K618" s="15" t="n">
        <v>5</v>
      </c>
      <c r="L618" s="16" t="n">
        <v>4.325</v>
      </c>
      <c r="M618" s="16" t="n">
        <v>4.142</v>
      </c>
      <c r="N618" s="15" t="n">
        <v>5</v>
      </c>
      <c r="O618" s="15" t="n">
        <v>3</v>
      </c>
      <c r="P618" s="15" t="n">
        <v>2</v>
      </c>
      <c r="Q618" s="15" t="n">
        <v>5</v>
      </c>
    </row>
    <row r="619" customFormat="false" ht="15" hidden="false" customHeight="false" outlineLevel="0" collapsed="false">
      <c r="A619" s="15" t="n">
        <v>615</v>
      </c>
      <c r="B619" s="16" t="n">
        <v>61.636</v>
      </c>
      <c r="C619" s="15" t="n">
        <v>4</v>
      </c>
      <c r="D619" s="15" t="n">
        <v>4</v>
      </c>
      <c r="E619" s="15" t="n">
        <v>4</v>
      </c>
      <c r="F619" s="15" t="n">
        <v>2</v>
      </c>
      <c r="G619" s="15" t="n">
        <v>3</v>
      </c>
      <c r="H619" s="15" t="n">
        <v>1</v>
      </c>
      <c r="I619" s="15" t="n">
        <v>3</v>
      </c>
      <c r="J619" s="15" t="n">
        <v>3</v>
      </c>
      <c r="K619" s="15" t="n">
        <v>5</v>
      </c>
      <c r="L619" s="16" t="n">
        <v>4.429</v>
      </c>
      <c r="M619" s="16" t="n">
        <v>4.448</v>
      </c>
      <c r="N619" s="15" t="n">
        <v>5</v>
      </c>
      <c r="O619" s="15" t="n">
        <v>4</v>
      </c>
      <c r="P619" s="15" t="n">
        <v>2</v>
      </c>
      <c r="Q619" s="15" t="n">
        <v>5</v>
      </c>
    </row>
    <row r="620" customFormat="false" ht="15" hidden="false" customHeight="false" outlineLevel="0" collapsed="false">
      <c r="A620" s="15" t="n">
        <v>616</v>
      </c>
      <c r="B620" s="16" t="n">
        <v>61.733</v>
      </c>
      <c r="C620" s="15" t="n">
        <v>4</v>
      </c>
      <c r="D620" s="15" t="n">
        <v>4</v>
      </c>
      <c r="E620" s="15" t="n">
        <v>4</v>
      </c>
      <c r="F620" s="15" t="n">
        <v>1</v>
      </c>
      <c r="G620" s="15" t="n">
        <v>3</v>
      </c>
      <c r="H620" s="15" t="n">
        <v>1</v>
      </c>
      <c r="I620" s="15" t="n">
        <v>3</v>
      </c>
      <c r="J620" s="15" t="n">
        <v>3</v>
      </c>
      <c r="K620" s="15" t="n">
        <v>5</v>
      </c>
      <c r="L620" s="16" t="n">
        <v>4.378</v>
      </c>
      <c r="M620" s="16" t="n">
        <v>4.333</v>
      </c>
      <c r="N620" s="15" t="n">
        <v>5</v>
      </c>
      <c r="O620" s="15" t="n">
        <v>3</v>
      </c>
      <c r="P620" s="15" t="n">
        <v>2</v>
      </c>
      <c r="Q620" s="15" t="n">
        <v>5</v>
      </c>
    </row>
    <row r="621" customFormat="false" ht="15" hidden="false" customHeight="false" outlineLevel="0" collapsed="false">
      <c r="A621" s="15" t="n">
        <v>617</v>
      </c>
      <c r="B621" s="16" t="n">
        <v>61.83</v>
      </c>
      <c r="C621" s="15" t="n">
        <v>4</v>
      </c>
      <c r="D621" s="15" t="n">
        <v>4</v>
      </c>
      <c r="E621" s="15" t="n">
        <v>4</v>
      </c>
      <c r="F621" s="15" t="n">
        <v>3</v>
      </c>
      <c r="G621" s="15" t="n">
        <v>3</v>
      </c>
      <c r="H621" s="15" t="n">
        <v>1</v>
      </c>
      <c r="I621" s="15" t="n">
        <v>2</v>
      </c>
      <c r="J621" s="15" t="n">
        <v>3</v>
      </c>
      <c r="K621" s="15" t="n">
        <v>5</v>
      </c>
      <c r="L621" s="16" t="n">
        <v>2.983</v>
      </c>
      <c r="M621" s="16" t="n">
        <v>3.57</v>
      </c>
      <c r="N621" s="15" t="n">
        <v>5</v>
      </c>
      <c r="O621" s="15" t="n">
        <v>1</v>
      </c>
      <c r="P621" s="15" t="n">
        <v>2</v>
      </c>
      <c r="Q621" s="15" t="n">
        <v>5</v>
      </c>
    </row>
    <row r="622" customFormat="false" ht="15" hidden="false" customHeight="false" outlineLevel="0" collapsed="false">
      <c r="A622" s="15" t="n">
        <v>618</v>
      </c>
      <c r="B622" s="16" t="n">
        <v>61.926</v>
      </c>
      <c r="C622" s="15" t="n">
        <v>4</v>
      </c>
      <c r="D622" s="15" t="n">
        <v>4</v>
      </c>
      <c r="E622" s="15" t="n">
        <v>4</v>
      </c>
      <c r="F622" s="15" t="n">
        <v>3</v>
      </c>
      <c r="G622" s="15" t="n">
        <v>3</v>
      </c>
      <c r="H622" s="15" t="n">
        <v>1</v>
      </c>
      <c r="I622" s="15" t="n">
        <v>1</v>
      </c>
      <c r="J622" s="15" t="n">
        <v>3</v>
      </c>
      <c r="K622" s="15" t="n">
        <v>5</v>
      </c>
      <c r="L622" s="16" t="n">
        <v>3.833</v>
      </c>
      <c r="M622" s="16" t="n">
        <v>2.845</v>
      </c>
      <c r="N622" s="15" t="n">
        <v>5</v>
      </c>
      <c r="O622" s="15" t="n">
        <v>1</v>
      </c>
      <c r="P622" s="15" t="n">
        <v>2</v>
      </c>
      <c r="Q622" s="15" t="n">
        <v>5</v>
      </c>
    </row>
    <row r="623" customFormat="false" ht="15" hidden="false" customHeight="false" outlineLevel="0" collapsed="false">
      <c r="A623" s="15" t="n">
        <v>619</v>
      </c>
      <c r="B623" s="16" t="n">
        <v>62.021</v>
      </c>
      <c r="C623" s="15" t="n">
        <v>4</v>
      </c>
      <c r="D623" s="15" t="n">
        <v>4</v>
      </c>
      <c r="E623" s="15" t="n">
        <v>4</v>
      </c>
      <c r="F623" s="15" t="n">
        <v>4</v>
      </c>
      <c r="G623" s="15" t="n">
        <v>4</v>
      </c>
      <c r="H623" s="15" t="n">
        <v>1</v>
      </c>
      <c r="I623" s="15" t="n">
        <v>1</v>
      </c>
      <c r="J623" s="15" t="n">
        <v>3</v>
      </c>
      <c r="K623" s="15" t="n">
        <v>5</v>
      </c>
      <c r="L623" s="16" t="n">
        <v>3.87</v>
      </c>
      <c r="M623" s="16" t="n">
        <v>2.651</v>
      </c>
      <c r="N623" s="15" t="n">
        <v>5</v>
      </c>
      <c r="O623" s="15" t="n">
        <v>1</v>
      </c>
      <c r="P623" s="15" t="n">
        <v>2</v>
      </c>
      <c r="Q623" s="15" t="n">
        <v>5</v>
      </c>
    </row>
    <row r="624" customFormat="false" ht="15" hidden="false" customHeight="false" outlineLevel="0" collapsed="false">
      <c r="A624" s="15" t="n">
        <v>620</v>
      </c>
      <c r="B624" s="16" t="n">
        <v>62.115</v>
      </c>
      <c r="C624" s="15" t="n">
        <v>4</v>
      </c>
      <c r="D624" s="15" t="n">
        <v>4</v>
      </c>
      <c r="E624" s="15" t="n">
        <v>4</v>
      </c>
      <c r="F624" s="15" t="n">
        <v>4</v>
      </c>
      <c r="G624" s="15" t="n">
        <v>4</v>
      </c>
      <c r="H624" s="15" t="n">
        <v>1</v>
      </c>
      <c r="I624" s="15" t="n">
        <v>2</v>
      </c>
      <c r="J624" s="15" t="n">
        <v>3</v>
      </c>
      <c r="K624" s="15" t="n">
        <v>5</v>
      </c>
      <c r="L624" s="16" t="n">
        <v>3.867</v>
      </c>
      <c r="M624" s="16" t="n">
        <v>2.627</v>
      </c>
      <c r="N624" s="15" t="n">
        <v>5</v>
      </c>
      <c r="O624" s="15" t="n">
        <v>1</v>
      </c>
      <c r="P624" s="15" t="n">
        <v>2</v>
      </c>
      <c r="Q624" s="15" t="n">
        <v>5</v>
      </c>
    </row>
    <row r="625" customFormat="false" ht="15" hidden="false" customHeight="false" outlineLevel="0" collapsed="false">
      <c r="A625" s="15" t="n">
        <v>621</v>
      </c>
      <c r="B625" s="16" t="n">
        <v>62.208</v>
      </c>
      <c r="C625" s="15" t="n">
        <v>4</v>
      </c>
      <c r="D625" s="15" t="n">
        <v>4</v>
      </c>
      <c r="E625" s="15" t="n">
        <v>4</v>
      </c>
      <c r="F625" s="15" t="n">
        <v>5</v>
      </c>
      <c r="G625" s="15" t="n">
        <v>4</v>
      </c>
      <c r="H625" s="15" t="n">
        <v>1</v>
      </c>
      <c r="I625" s="15" t="n">
        <v>1</v>
      </c>
      <c r="J625" s="15" t="n">
        <v>3</v>
      </c>
      <c r="K625" s="15" t="n">
        <v>5</v>
      </c>
      <c r="L625" s="16" t="n">
        <v>3.807</v>
      </c>
      <c r="M625" s="16" t="n">
        <v>2.604</v>
      </c>
      <c r="N625" s="15" t="n">
        <v>5</v>
      </c>
      <c r="O625" s="15" t="n">
        <v>1</v>
      </c>
      <c r="P625" s="15" t="n">
        <v>2</v>
      </c>
      <c r="Q625" s="15" t="n">
        <v>5</v>
      </c>
    </row>
    <row r="626" customFormat="false" ht="15" hidden="false" customHeight="false" outlineLevel="0" collapsed="false">
      <c r="A626" s="15" t="n">
        <v>622</v>
      </c>
      <c r="B626" s="16" t="n">
        <v>62.299</v>
      </c>
      <c r="C626" s="15" t="n">
        <v>4</v>
      </c>
      <c r="D626" s="15" t="n">
        <v>4</v>
      </c>
      <c r="E626" s="15" t="n">
        <v>4</v>
      </c>
      <c r="F626" s="15" t="n">
        <v>4</v>
      </c>
      <c r="G626" s="15" t="n">
        <v>4</v>
      </c>
      <c r="H626" s="15" t="n">
        <v>1</v>
      </c>
      <c r="I626" s="15" t="n">
        <v>1</v>
      </c>
      <c r="J626" s="15" t="n">
        <v>3</v>
      </c>
      <c r="K626" s="15" t="n">
        <v>5</v>
      </c>
      <c r="L626" s="16" t="n">
        <v>3.775</v>
      </c>
      <c r="M626" s="16" t="n">
        <v>2.511</v>
      </c>
      <c r="N626" s="15" t="n">
        <v>5</v>
      </c>
      <c r="O626" s="15" t="n">
        <v>1</v>
      </c>
      <c r="P626" s="15" t="n">
        <v>2</v>
      </c>
      <c r="Q626" s="15" t="n">
        <v>4</v>
      </c>
    </row>
    <row r="627" customFormat="false" ht="15" hidden="false" customHeight="false" outlineLevel="0" collapsed="false">
      <c r="A627" s="15" t="n">
        <v>623</v>
      </c>
      <c r="B627" s="16" t="n">
        <v>62.388</v>
      </c>
      <c r="C627" s="15" t="n">
        <v>5</v>
      </c>
      <c r="D627" s="15" t="n">
        <v>4</v>
      </c>
      <c r="E627" s="15" t="n">
        <v>4</v>
      </c>
      <c r="F627" s="15" t="n">
        <v>4</v>
      </c>
      <c r="G627" s="15" t="n">
        <v>4</v>
      </c>
      <c r="H627" s="15" t="n">
        <v>1</v>
      </c>
      <c r="I627" s="15" t="n">
        <v>2</v>
      </c>
      <c r="J627" s="15" t="n">
        <v>3</v>
      </c>
      <c r="K627" s="15" t="n">
        <v>5</v>
      </c>
      <c r="L627" s="16" t="n">
        <v>3.633</v>
      </c>
      <c r="M627" s="16" t="n">
        <v>2.479</v>
      </c>
      <c r="N627" s="15" t="n">
        <v>5</v>
      </c>
      <c r="O627" s="15" t="n">
        <v>1</v>
      </c>
      <c r="P627" s="15" t="n">
        <v>2</v>
      </c>
      <c r="Q627" s="15" t="n">
        <v>4</v>
      </c>
    </row>
    <row r="628" customFormat="false" ht="15" hidden="false" customHeight="false" outlineLevel="0" collapsed="false">
      <c r="A628" s="15" t="n">
        <v>624</v>
      </c>
      <c r="B628" s="16" t="n">
        <v>62.474</v>
      </c>
      <c r="C628" s="15" t="n">
        <v>4</v>
      </c>
      <c r="D628" s="15" t="n">
        <v>4</v>
      </c>
      <c r="E628" s="15" t="n">
        <v>4</v>
      </c>
      <c r="F628" s="15" t="n">
        <v>4</v>
      </c>
      <c r="G628" s="15" t="n">
        <v>3</v>
      </c>
      <c r="H628" s="15" t="n">
        <v>1</v>
      </c>
      <c r="I628" s="15" t="n">
        <v>1</v>
      </c>
      <c r="J628" s="15" t="n">
        <v>3</v>
      </c>
      <c r="K628" s="15" t="n">
        <v>5</v>
      </c>
      <c r="L628" s="16" t="n">
        <v>3.495</v>
      </c>
      <c r="M628" s="16" t="n">
        <v>2.585</v>
      </c>
      <c r="N628" s="15" t="n">
        <v>5</v>
      </c>
      <c r="O628" s="15" t="n">
        <v>1</v>
      </c>
      <c r="P628" s="15" t="n">
        <v>2</v>
      </c>
      <c r="Q628" s="15" t="n">
        <v>4</v>
      </c>
    </row>
    <row r="629" customFormat="false" ht="15" hidden="false" customHeight="false" outlineLevel="0" collapsed="false">
      <c r="A629" s="15" t="n">
        <v>625</v>
      </c>
      <c r="B629" s="16" t="n">
        <v>62.562</v>
      </c>
      <c r="C629" s="15" t="n">
        <v>5</v>
      </c>
      <c r="D629" s="15" t="n">
        <v>4</v>
      </c>
      <c r="E629" s="15" t="n">
        <v>4</v>
      </c>
      <c r="F629" s="15" t="n">
        <v>4</v>
      </c>
      <c r="G629" s="15" t="n">
        <v>3</v>
      </c>
      <c r="H629" s="15" t="n">
        <v>1</v>
      </c>
      <c r="I629" s="15" t="n">
        <v>1</v>
      </c>
      <c r="J629" s="15" t="n">
        <v>3</v>
      </c>
      <c r="K629" s="15" t="n">
        <v>5</v>
      </c>
      <c r="L629" s="16" t="n">
        <v>2.98</v>
      </c>
      <c r="M629" s="16" t="n">
        <v>2.928</v>
      </c>
      <c r="N629" s="15" t="n">
        <v>5</v>
      </c>
      <c r="O629" s="15" t="n">
        <v>1</v>
      </c>
      <c r="P629" s="15" t="n">
        <v>2</v>
      </c>
      <c r="Q629" s="15" t="n">
        <v>4</v>
      </c>
    </row>
    <row r="630" customFormat="false" ht="15" hidden="false" customHeight="false" outlineLevel="0" collapsed="false">
      <c r="A630" s="15" t="n">
        <v>626</v>
      </c>
      <c r="B630" s="16" t="n">
        <v>62.651</v>
      </c>
      <c r="C630" s="15" t="n">
        <v>5</v>
      </c>
      <c r="D630" s="15" t="n">
        <v>4</v>
      </c>
      <c r="E630" s="15" t="n">
        <v>4</v>
      </c>
      <c r="F630" s="15" t="n">
        <v>5</v>
      </c>
      <c r="G630" s="15" t="n">
        <v>3</v>
      </c>
      <c r="H630" s="15" t="n">
        <v>1</v>
      </c>
      <c r="I630" s="15" t="n">
        <v>1</v>
      </c>
      <c r="J630" s="15" t="n">
        <v>3</v>
      </c>
      <c r="K630" s="15" t="n">
        <v>5</v>
      </c>
      <c r="L630" s="16" t="n">
        <v>3.581</v>
      </c>
      <c r="M630" s="16" t="n">
        <v>2.656</v>
      </c>
      <c r="N630" s="15" t="n">
        <v>5</v>
      </c>
      <c r="O630" s="15" t="n">
        <v>1</v>
      </c>
      <c r="P630" s="15" t="n">
        <v>2</v>
      </c>
      <c r="Q630" s="15" t="n">
        <v>4</v>
      </c>
    </row>
    <row r="631" customFormat="false" ht="15" hidden="false" customHeight="false" outlineLevel="0" collapsed="false">
      <c r="A631" s="15" t="n">
        <v>627</v>
      </c>
      <c r="B631" s="16" t="n">
        <v>62.751</v>
      </c>
      <c r="C631" s="15" t="n">
        <v>3</v>
      </c>
      <c r="D631" s="15" t="n">
        <v>5</v>
      </c>
      <c r="E631" s="15" t="n">
        <v>4</v>
      </c>
      <c r="F631" s="15" t="n">
        <v>4</v>
      </c>
      <c r="G631" s="15" t="n">
        <v>3</v>
      </c>
      <c r="H631" s="15" t="n">
        <v>1</v>
      </c>
      <c r="I631" s="15" t="n">
        <v>1</v>
      </c>
      <c r="J631" s="15" t="n">
        <v>3</v>
      </c>
      <c r="K631" s="15" t="n">
        <v>5</v>
      </c>
      <c r="L631" s="16" t="n">
        <v>3.528</v>
      </c>
      <c r="M631" s="16" t="n">
        <v>2.963</v>
      </c>
      <c r="N631" s="15" t="n">
        <v>5</v>
      </c>
      <c r="O631" s="15" t="n">
        <v>1</v>
      </c>
      <c r="P631" s="15" t="n">
        <v>2</v>
      </c>
      <c r="Q631" s="15" t="n">
        <v>3</v>
      </c>
    </row>
    <row r="632" customFormat="false" ht="15" hidden="false" customHeight="false" outlineLevel="0" collapsed="false">
      <c r="A632" s="15" t="n">
        <v>628</v>
      </c>
      <c r="B632" s="16" t="n">
        <v>62.898</v>
      </c>
      <c r="C632" s="15" t="n">
        <v>1</v>
      </c>
      <c r="D632" s="15" t="n">
        <v>5</v>
      </c>
      <c r="E632" s="15" t="n">
        <v>4</v>
      </c>
      <c r="F632" s="15" t="n">
        <v>4</v>
      </c>
      <c r="G632" s="15" t="n">
        <v>2</v>
      </c>
      <c r="H632" s="15" t="n">
        <v>1</v>
      </c>
      <c r="I632" s="15" t="n">
        <v>1</v>
      </c>
      <c r="J632" s="15" t="n">
        <v>3</v>
      </c>
      <c r="K632" s="15" t="n">
        <v>5</v>
      </c>
      <c r="L632" s="16" t="n">
        <v>3.295</v>
      </c>
      <c r="M632" s="16" t="n">
        <v>3.196</v>
      </c>
      <c r="N632" s="15" t="n">
        <v>5</v>
      </c>
      <c r="O632" s="15" t="n">
        <v>1</v>
      </c>
      <c r="P632" s="15" t="n">
        <v>2</v>
      </c>
      <c r="Q632" s="15" t="n">
        <v>2</v>
      </c>
    </row>
    <row r="633" customFormat="false" ht="15" hidden="false" customHeight="false" outlineLevel="0" collapsed="false">
      <c r="A633" s="15" t="n">
        <v>629</v>
      </c>
      <c r="B633" s="16" t="n">
        <v>63.01</v>
      </c>
      <c r="C633" s="15" t="n">
        <v>1</v>
      </c>
      <c r="D633" s="15" t="n">
        <v>5</v>
      </c>
      <c r="E633" s="15" t="n">
        <v>4</v>
      </c>
      <c r="F633" s="15" t="n">
        <v>4</v>
      </c>
      <c r="G633" s="15" t="n">
        <v>2</v>
      </c>
      <c r="H633" s="15" t="n">
        <v>1</v>
      </c>
      <c r="I633" s="15" t="n">
        <v>1</v>
      </c>
      <c r="J633" s="15" t="n">
        <v>3</v>
      </c>
      <c r="K633" s="15" t="n">
        <v>5</v>
      </c>
      <c r="L633" s="16" t="n">
        <v>3.816</v>
      </c>
      <c r="M633" s="16" t="n">
        <v>3.54</v>
      </c>
      <c r="N633" s="15" t="n">
        <v>5</v>
      </c>
      <c r="O633" s="15" t="n">
        <v>2</v>
      </c>
      <c r="P633" s="15" t="n">
        <v>2</v>
      </c>
      <c r="Q633" s="15" t="n">
        <v>2</v>
      </c>
    </row>
    <row r="634" customFormat="false" ht="15" hidden="false" customHeight="false" outlineLevel="0" collapsed="false">
      <c r="A634" s="15" t="n">
        <v>630</v>
      </c>
      <c r="B634" s="16" t="n">
        <v>63.127</v>
      </c>
      <c r="C634" s="15" t="n">
        <v>1</v>
      </c>
      <c r="D634" s="15" t="n">
        <v>5</v>
      </c>
      <c r="E634" s="15" t="n">
        <v>3</v>
      </c>
      <c r="F634" s="15" t="n">
        <v>4</v>
      </c>
      <c r="G634" s="15" t="n">
        <v>2</v>
      </c>
      <c r="H634" s="15" t="n">
        <v>1</v>
      </c>
      <c r="I634" s="15" t="n">
        <v>1</v>
      </c>
      <c r="J634" s="15" t="n">
        <v>3</v>
      </c>
      <c r="K634" s="15" t="n">
        <v>5</v>
      </c>
      <c r="L634" s="16" t="n">
        <v>4.247</v>
      </c>
      <c r="M634" s="16" t="n">
        <v>3.72</v>
      </c>
      <c r="N634" s="15" t="n">
        <v>5</v>
      </c>
      <c r="O634" s="15" t="n">
        <v>2</v>
      </c>
      <c r="P634" s="15" t="n">
        <v>2</v>
      </c>
      <c r="Q634" s="15" t="n">
        <v>2</v>
      </c>
    </row>
    <row r="635" customFormat="false" ht="15" hidden="false" customHeight="false" outlineLevel="0" collapsed="false">
      <c r="A635" s="15" t="n">
        <v>631</v>
      </c>
      <c r="B635" s="16" t="n">
        <v>63.244</v>
      </c>
      <c r="C635" s="15" t="n">
        <v>1</v>
      </c>
      <c r="D635" s="15" t="n">
        <v>5</v>
      </c>
      <c r="E635" s="15" t="n">
        <v>3</v>
      </c>
      <c r="F635" s="15" t="n">
        <v>4</v>
      </c>
      <c r="G635" s="15" t="n">
        <v>2</v>
      </c>
      <c r="H635" s="15" t="n">
        <v>1</v>
      </c>
      <c r="I635" s="15" t="n">
        <v>1</v>
      </c>
      <c r="J635" s="15" t="n">
        <v>3</v>
      </c>
      <c r="K635" s="15" t="n">
        <v>5</v>
      </c>
      <c r="L635" s="16" t="n">
        <v>4.248</v>
      </c>
      <c r="M635" s="16" t="n">
        <v>4.025</v>
      </c>
      <c r="N635" s="15" t="n">
        <v>5</v>
      </c>
      <c r="O635" s="15" t="n">
        <v>2</v>
      </c>
      <c r="P635" s="15" t="n">
        <v>2</v>
      </c>
      <c r="Q635" s="15" t="n">
        <v>1</v>
      </c>
    </row>
    <row r="636" customFormat="false" ht="15" hidden="false" customHeight="false" outlineLevel="0" collapsed="false">
      <c r="A636" s="15" t="n">
        <v>632</v>
      </c>
      <c r="B636" s="16" t="n">
        <v>63.359</v>
      </c>
      <c r="C636" s="15" t="n">
        <v>1</v>
      </c>
      <c r="D636" s="15" t="n">
        <v>5</v>
      </c>
      <c r="E636" s="15" t="n">
        <v>3</v>
      </c>
      <c r="F636" s="15" t="n">
        <v>4</v>
      </c>
      <c r="G636" s="15" t="n">
        <v>2</v>
      </c>
      <c r="H636" s="15" t="n">
        <v>1</v>
      </c>
      <c r="I636" s="15" t="n">
        <v>1</v>
      </c>
      <c r="J636" s="15" t="n">
        <v>3</v>
      </c>
      <c r="K636" s="15" t="n">
        <v>5</v>
      </c>
      <c r="L636" s="16" t="n">
        <v>4.231</v>
      </c>
      <c r="M636" s="16" t="n">
        <v>4.317</v>
      </c>
      <c r="N636" s="15" t="n">
        <v>5</v>
      </c>
      <c r="O636" s="15" t="n">
        <v>3</v>
      </c>
      <c r="P636" s="15" t="n">
        <v>2</v>
      </c>
      <c r="Q636" s="15" t="n">
        <v>2</v>
      </c>
    </row>
    <row r="637" customFormat="false" ht="15" hidden="false" customHeight="false" outlineLevel="0" collapsed="false">
      <c r="A637" s="15" t="n">
        <v>633</v>
      </c>
      <c r="B637" s="16" t="n">
        <v>63.47</v>
      </c>
      <c r="C637" s="15" t="n">
        <v>1</v>
      </c>
      <c r="D637" s="15" t="n">
        <v>5</v>
      </c>
      <c r="E637" s="15" t="n">
        <v>3</v>
      </c>
      <c r="F637" s="15" t="n">
        <v>4</v>
      </c>
      <c r="G637" s="15" t="n">
        <v>3</v>
      </c>
      <c r="H637" s="15" t="n">
        <v>1</v>
      </c>
      <c r="I637" s="15" t="n">
        <v>1</v>
      </c>
      <c r="J637" s="15" t="n">
        <v>3</v>
      </c>
      <c r="K637" s="15" t="n">
        <v>5</v>
      </c>
      <c r="L637" s="16" t="n">
        <v>4.636</v>
      </c>
      <c r="M637" s="16" t="n">
        <v>4.876</v>
      </c>
      <c r="N637" s="15" t="n">
        <v>5</v>
      </c>
      <c r="O637" s="15" t="n">
        <v>4</v>
      </c>
      <c r="P637" s="15" t="n">
        <v>2</v>
      </c>
      <c r="Q637" s="15" t="n">
        <v>1</v>
      </c>
    </row>
    <row r="638" customFormat="false" ht="15" hidden="false" customHeight="false" outlineLevel="0" collapsed="false">
      <c r="A638" s="15" t="n">
        <v>634</v>
      </c>
      <c r="B638" s="16" t="n">
        <v>63.576</v>
      </c>
      <c r="C638" s="15" t="n">
        <v>1</v>
      </c>
      <c r="D638" s="15" t="n">
        <v>5</v>
      </c>
      <c r="E638" s="15" t="n">
        <v>3</v>
      </c>
      <c r="F638" s="15" t="n">
        <v>4</v>
      </c>
      <c r="G638" s="15" t="n">
        <v>3</v>
      </c>
      <c r="H638" s="15" t="n">
        <v>1</v>
      </c>
      <c r="I638" s="15" t="n">
        <v>1</v>
      </c>
      <c r="J638" s="15" t="n">
        <v>3</v>
      </c>
      <c r="K638" s="15" t="n">
        <v>5</v>
      </c>
      <c r="L638" s="16" t="n">
        <v>4.574</v>
      </c>
      <c r="M638" s="16" t="n">
        <v>4.863</v>
      </c>
      <c r="N638" s="15" t="n">
        <v>5</v>
      </c>
      <c r="O638" s="15" t="n">
        <v>4</v>
      </c>
      <c r="P638" s="15" t="n">
        <v>2</v>
      </c>
      <c r="Q638" s="15" t="n">
        <v>1</v>
      </c>
    </row>
    <row r="639" customFormat="false" ht="15" hidden="false" customHeight="false" outlineLevel="0" collapsed="false">
      <c r="A639" s="15" t="n">
        <v>635</v>
      </c>
      <c r="B639" s="16" t="n">
        <v>63.684</v>
      </c>
      <c r="C639" s="15" t="n">
        <v>1</v>
      </c>
      <c r="D639" s="15" t="n">
        <v>5</v>
      </c>
      <c r="E639" s="15" t="n">
        <v>2</v>
      </c>
      <c r="F639" s="15" t="n">
        <v>2</v>
      </c>
      <c r="G639" s="15" t="n">
        <v>4</v>
      </c>
      <c r="H639" s="15" t="n">
        <v>1</v>
      </c>
      <c r="I639" s="15" t="n">
        <v>2</v>
      </c>
      <c r="J639" s="15" t="n">
        <v>3</v>
      </c>
      <c r="K639" s="15" t="n">
        <v>5</v>
      </c>
      <c r="L639" s="16" t="n">
        <v>4.023</v>
      </c>
      <c r="M639" s="16" t="n">
        <v>4.304</v>
      </c>
      <c r="N639" s="15" t="n">
        <v>4</v>
      </c>
      <c r="O639" s="15" t="n">
        <v>3</v>
      </c>
      <c r="P639" s="15" t="n">
        <v>2</v>
      </c>
      <c r="Q639" s="15" t="n">
        <v>1</v>
      </c>
    </row>
    <row r="640" customFormat="false" ht="15" hidden="false" customHeight="false" outlineLevel="0" collapsed="false">
      <c r="A640" s="15" t="n">
        <v>636</v>
      </c>
      <c r="B640" s="16" t="n">
        <v>63.775</v>
      </c>
      <c r="C640" s="15" t="n">
        <v>1</v>
      </c>
      <c r="D640" s="15" t="n">
        <v>5</v>
      </c>
      <c r="E640" s="15" t="n">
        <v>2</v>
      </c>
      <c r="F640" s="15" t="n">
        <v>3</v>
      </c>
      <c r="G640" s="15" t="n">
        <v>4</v>
      </c>
      <c r="H640" s="15" t="n">
        <v>1</v>
      </c>
      <c r="I640" s="15" t="n">
        <v>1</v>
      </c>
      <c r="J640" s="15" t="n">
        <v>3</v>
      </c>
      <c r="K640" s="15" t="n">
        <v>5</v>
      </c>
      <c r="L640" s="16" t="n">
        <v>2.668</v>
      </c>
      <c r="M640" s="16" t="n">
        <v>4.247</v>
      </c>
      <c r="N640" s="15" t="n">
        <v>4</v>
      </c>
      <c r="O640" s="15" t="n">
        <v>1</v>
      </c>
      <c r="P640" s="15" t="n">
        <v>2</v>
      </c>
      <c r="Q640" s="15" t="n">
        <v>1</v>
      </c>
    </row>
    <row r="641" customFormat="false" ht="15" hidden="false" customHeight="false" outlineLevel="0" collapsed="false">
      <c r="A641" s="15" t="n">
        <v>637</v>
      </c>
      <c r="B641" s="16" t="n">
        <v>63.877</v>
      </c>
      <c r="C641" s="15" t="n">
        <v>1</v>
      </c>
      <c r="D641" s="15" t="n">
        <v>5</v>
      </c>
      <c r="E641" s="15" t="n">
        <v>3</v>
      </c>
      <c r="F641" s="15" t="n">
        <v>3</v>
      </c>
      <c r="G641" s="15" t="n">
        <v>4</v>
      </c>
      <c r="H641" s="15" t="n">
        <v>1</v>
      </c>
      <c r="I641" s="15" t="n">
        <v>1</v>
      </c>
      <c r="J641" s="15" t="n">
        <v>3</v>
      </c>
      <c r="K641" s="15" t="n">
        <v>5</v>
      </c>
      <c r="L641" s="16" t="n">
        <v>2.455</v>
      </c>
      <c r="M641" s="16" t="n">
        <v>4.235</v>
      </c>
      <c r="N641" s="15" t="n">
        <v>4</v>
      </c>
      <c r="O641" s="15" t="n">
        <v>1</v>
      </c>
      <c r="P641" s="15" t="n">
        <v>2</v>
      </c>
      <c r="Q641" s="15" t="n">
        <v>1</v>
      </c>
    </row>
    <row r="642" customFormat="false" ht="15" hidden="false" customHeight="false" outlineLevel="0" collapsed="false">
      <c r="A642" s="15" t="n">
        <v>638</v>
      </c>
      <c r="B642" s="16" t="n">
        <v>63.973</v>
      </c>
      <c r="C642" s="15" t="n">
        <v>1</v>
      </c>
      <c r="D642" s="15" t="n">
        <v>5</v>
      </c>
      <c r="E642" s="15" t="n">
        <v>3</v>
      </c>
      <c r="F642" s="15" t="n">
        <v>4</v>
      </c>
      <c r="G642" s="15" t="n">
        <v>4</v>
      </c>
      <c r="H642" s="15" t="n">
        <v>1</v>
      </c>
      <c r="I642" s="15" t="n">
        <v>1</v>
      </c>
      <c r="J642" s="15" t="n">
        <v>3</v>
      </c>
      <c r="K642" s="15" t="n">
        <v>5</v>
      </c>
      <c r="L642" s="16" t="n">
        <v>3.007</v>
      </c>
      <c r="M642" s="16" t="n">
        <v>4.26</v>
      </c>
      <c r="N642" s="15" t="n">
        <v>4</v>
      </c>
      <c r="O642" s="15" t="n">
        <v>1</v>
      </c>
      <c r="P642" s="15" t="n">
        <v>2</v>
      </c>
      <c r="Q642" s="15" t="n">
        <v>1</v>
      </c>
    </row>
    <row r="643" customFormat="false" ht="15" hidden="false" customHeight="false" outlineLevel="0" collapsed="false">
      <c r="A643" s="15" t="n">
        <v>639</v>
      </c>
      <c r="B643" s="16" t="n">
        <v>64.548</v>
      </c>
      <c r="C643" s="15" t="n">
        <v>3</v>
      </c>
      <c r="D643" s="15" t="n">
        <v>5</v>
      </c>
      <c r="E643" s="15" t="n">
        <v>4</v>
      </c>
      <c r="F643" s="15" t="n">
        <v>3</v>
      </c>
      <c r="G643" s="15" t="n">
        <v>4</v>
      </c>
      <c r="H643" s="15" t="n">
        <v>1</v>
      </c>
      <c r="I643" s="15" t="n">
        <v>1</v>
      </c>
      <c r="J643" s="15" t="n">
        <v>3</v>
      </c>
      <c r="K643" s="15" t="n">
        <v>5</v>
      </c>
      <c r="L643" s="16" t="n">
        <v>4.019</v>
      </c>
      <c r="M643" s="16" t="n">
        <v>4.399</v>
      </c>
      <c r="N643" s="15" t="n">
        <v>3</v>
      </c>
      <c r="O643" s="15" t="n">
        <v>3</v>
      </c>
      <c r="P643" s="15" t="n">
        <v>2</v>
      </c>
      <c r="Q643" s="15" t="n">
        <v>1</v>
      </c>
    </row>
    <row r="644" customFormat="false" ht="15" hidden="false" customHeight="false" outlineLevel="0" collapsed="false">
      <c r="A644" s="15" t="n">
        <v>640</v>
      </c>
      <c r="B644" s="16" t="n">
        <v>64.691</v>
      </c>
      <c r="C644" s="15" t="n">
        <v>1</v>
      </c>
      <c r="D644" s="15" t="n">
        <v>5</v>
      </c>
      <c r="E644" s="15" t="n">
        <v>3</v>
      </c>
      <c r="F644" s="15" t="n">
        <v>3</v>
      </c>
      <c r="G644" s="15" t="n">
        <v>4</v>
      </c>
      <c r="H644" s="15" t="n">
        <v>1</v>
      </c>
      <c r="I644" s="15" t="n">
        <v>1</v>
      </c>
      <c r="J644" s="15" t="n">
        <v>3</v>
      </c>
      <c r="K644" s="15" t="n">
        <v>5</v>
      </c>
      <c r="L644" s="16" t="n">
        <v>4.302</v>
      </c>
      <c r="M644" s="16" t="n">
        <v>4.682</v>
      </c>
      <c r="N644" s="15" t="n">
        <v>3</v>
      </c>
      <c r="O644" s="15" t="n">
        <v>3</v>
      </c>
      <c r="P644" s="15" t="n">
        <v>2</v>
      </c>
      <c r="Q644" s="15" t="n">
        <v>1</v>
      </c>
    </row>
    <row r="645" customFormat="false" ht="15" hidden="false" customHeight="false" outlineLevel="0" collapsed="false">
      <c r="A645" s="15" t="n">
        <v>641</v>
      </c>
      <c r="B645" s="16" t="n">
        <v>64.864</v>
      </c>
      <c r="C645" s="15" t="n">
        <v>1</v>
      </c>
      <c r="D645" s="15" t="n">
        <v>5</v>
      </c>
      <c r="E645" s="15" t="n">
        <v>4</v>
      </c>
      <c r="F645" s="15" t="n">
        <v>3</v>
      </c>
      <c r="G645" s="15" t="n">
        <v>4</v>
      </c>
      <c r="H645" s="15" t="n">
        <v>1</v>
      </c>
      <c r="I645" s="15" t="n">
        <v>1</v>
      </c>
      <c r="J645" s="15" t="n">
        <v>3</v>
      </c>
      <c r="K645" s="15" t="n">
        <v>5</v>
      </c>
      <c r="L645" s="16" t="n">
        <v>4.618</v>
      </c>
      <c r="M645" s="16" t="n">
        <v>4.886</v>
      </c>
      <c r="N645" s="15" t="n">
        <v>3</v>
      </c>
      <c r="O645" s="15" t="n">
        <v>4</v>
      </c>
      <c r="P645" s="15" t="n">
        <v>2</v>
      </c>
      <c r="Q645" s="15" t="n">
        <v>1</v>
      </c>
    </row>
    <row r="646" customFormat="false" ht="15" hidden="false" customHeight="false" outlineLevel="0" collapsed="false">
      <c r="A646" s="15" t="n">
        <v>642</v>
      </c>
      <c r="B646" s="16" t="n">
        <v>65.003</v>
      </c>
      <c r="C646" s="15" t="n">
        <v>1</v>
      </c>
      <c r="D646" s="15" t="n">
        <v>5</v>
      </c>
      <c r="E646" s="15" t="n">
        <v>4</v>
      </c>
      <c r="F646" s="15" t="n">
        <v>3</v>
      </c>
      <c r="G646" s="15" t="n">
        <v>4</v>
      </c>
      <c r="H646" s="15" t="n">
        <v>1</v>
      </c>
      <c r="I646" s="15" t="n">
        <v>1</v>
      </c>
      <c r="J646" s="15" t="n">
        <v>3</v>
      </c>
      <c r="K646" s="15" t="n">
        <v>5</v>
      </c>
      <c r="L646" s="16" t="n">
        <v>4.711</v>
      </c>
      <c r="M646" s="16" t="n">
        <v>4.935</v>
      </c>
      <c r="N646" s="15" t="n">
        <v>3</v>
      </c>
      <c r="O646" s="15" t="n">
        <v>4</v>
      </c>
      <c r="P646" s="15" t="n">
        <v>2</v>
      </c>
      <c r="Q646" s="15" t="n">
        <v>1</v>
      </c>
    </row>
    <row r="647" customFormat="false" ht="15" hidden="false" customHeight="false" outlineLevel="0" collapsed="false">
      <c r="A647" s="15" t="n">
        <v>643</v>
      </c>
      <c r="B647" s="16" t="n">
        <v>65.118</v>
      </c>
      <c r="C647" s="15" t="n">
        <v>1</v>
      </c>
      <c r="D647" s="15" t="n">
        <v>5</v>
      </c>
      <c r="E647" s="15" t="n">
        <v>4</v>
      </c>
      <c r="F647" s="15" t="n">
        <v>3</v>
      </c>
      <c r="G647" s="15" t="n">
        <v>4</v>
      </c>
      <c r="H647" s="15" t="n">
        <v>1</v>
      </c>
      <c r="I647" s="15" t="n">
        <v>1</v>
      </c>
      <c r="J647" s="15" t="n">
        <v>3</v>
      </c>
      <c r="K647" s="15" t="n">
        <v>5</v>
      </c>
      <c r="L647" s="16" t="n">
        <v>4.742</v>
      </c>
      <c r="M647" s="16" t="n">
        <v>4.951</v>
      </c>
      <c r="N647" s="15" t="n">
        <v>4</v>
      </c>
      <c r="O647" s="15" t="n">
        <v>4</v>
      </c>
      <c r="P647" s="15" t="n">
        <v>2</v>
      </c>
      <c r="Q647" s="15" t="n">
        <v>1</v>
      </c>
    </row>
    <row r="648" customFormat="false" ht="15" hidden="false" customHeight="false" outlineLevel="0" collapsed="false">
      <c r="A648" s="15" t="n">
        <v>644</v>
      </c>
      <c r="B648" s="16" t="n">
        <v>65.225</v>
      </c>
      <c r="C648" s="15" t="n">
        <v>1</v>
      </c>
      <c r="D648" s="15" t="n">
        <v>5</v>
      </c>
      <c r="E648" s="15" t="n">
        <v>4</v>
      </c>
      <c r="F648" s="15" t="n">
        <v>4</v>
      </c>
      <c r="G648" s="15" t="n">
        <v>4</v>
      </c>
      <c r="H648" s="15" t="n">
        <v>1</v>
      </c>
      <c r="I648" s="15" t="n">
        <v>1</v>
      </c>
      <c r="J648" s="15" t="n">
        <v>3</v>
      </c>
      <c r="K648" s="15" t="n">
        <v>5</v>
      </c>
      <c r="L648" s="16" t="n">
        <v>4.747</v>
      </c>
      <c r="M648" s="16" t="n">
        <v>5</v>
      </c>
      <c r="N648" s="15" t="n">
        <v>4</v>
      </c>
      <c r="O648" s="15" t="n">
        <v>4</v>
      </c>
      <c r="P648" s="15" t="n">
        <v>2</v>
      </c>
      <c r="Q648" s="15" t="n">
        <v>1</v>
      </c>
    </row>
    <row r="649" customFormat="false" ht="15" hidden="false" customHeight="false" outlineLevel="0" collapsed="false">
      <c r="A649" s="15" t="n">
        <v>645</v>
      </c>
      <c r="B649" s="16" t="n">
        <v>65.328</v>
      </c>
      <c r="C649" s="15" t="n">
        <v>1</v>
      </c>
      <c r="D649" s="15" t="n">
        <v>5</v>
      </c>
      <c r="E649" s="15" t="n">
        <v>4</v>
      </c>
      <c r="F649" s="15" t="n">
        <v>4</v>
      </c>
      <c r="G649" s="15" t="n">
        <v>4</v>
      </c>
      <c r="H649" s="15" t="n">
        <v>1</v>
      </c>
      <c r="I649" s="15" t="n">
        <v>1</v>
      </c>
      <c r="J649" s="15" t="n">
        <v>3</v>
      </c>
      <c r="K649" s="15" t="n">
        <v>5</v>
      </c>
      <c r="L649" s="16" t="n">
        <v>4.762</v>
      </c>
      <c r="M649" s="16" t="n">
        <v>5</v>
      </c>
      <c r="N649" s="15" t="n">
        <v>4</v>
      </c>
      <c r="O649" s="15" t="n">
        <v>4</v>
      </c>
      <c r="P649" s="15" t="n">
        <v>2</v>
      </c>
      <c r="Q649" s="15" t="n">
        <v>1</v>
      </c>
    </row>
    <row r="650" customFormat="false" ht="15" hidden="false" customHeight="false" outlineLevel="0" collapsed="false">
      <c r="A650" s="15" t="n">
        <v>646</v>
      </c>
      <c r="B650" s="16" t="n">
        <v>65.429</v>
      </c>
      <c r="C650" s="15" t="n">
        <v>1</v>
      </c>
      <c r="D650" s="15" t="n">
        <v>5</v>
      </c>
      <c r="E650" s="15" t="n">
        <v>3</v>
      </c>
      <c r="F650" s="15" t="n">
        <v>4</v>
      </c>
      <c r="G650" s="15" t="n">
        <v>4</v>
      </c>
      <c r="H650" s="15" t="n">
        <v>1</v>
      </c>
      <c r="I650" s="15" t="n">
        <v>1</v>
      </c>
      <c r="J650" s="15" t="n">
        <v>3</v>
      </c>
      <c r="K650" s="15" t="n">
        <v>5</v>
      </c>
      <c r="L650" s="16" t="n">
        <v>4.738</v>
      </c>
      <c r="M650" s="16" t="n">
        <v>5</v>
      </c>
      <c r="N650" s="15" t="n">
        <v>4</v>
      </c>
      <c r="O650" s="15" t="n">
        <v>3</v>
      </c>
      <c r="P650" s="15" t="n">
        <v>2</v>
      </c>
      <c r="Q650" s="15" t="n">
        <v>1</v>
      </c>
    </row>
    <row r="651" customFormat="false" ht="15" hidden="false" customHeight="false" outlineLevel="0" collapsed="false">
      <c r="A651" s="15" t="n">
        <v>647</v>
      </c>
      <c r="B651" s="16" t="n">
        <v>65.528</v>
      </c>
      <c r="C651" s="15" t="n">
        <v>1</v>
      </c>
      <c r="D651" s="15" t="n">
        <v>5</v>
      </c>
      <c r="E651" s="15" t="n">
        <v>3</v>
      </c>
      <c r="F651" s="15" t="n">
        <v>4</v>
      </c>
      <c r="G651" s="15" t="n">
        <v>4</v>
      </c>
      <c r="H651" s="15" t="n">
        <v>1</v>
      </c>
      <c r="I651" s="15" t="n">
        <v>1</v>
      </c>
      <c r="J651" s="15" t="n">
        <v>3</v>
      </c>
      <c r="K651" s="15" t="n">
        <v>5</v>
      </c>
      <c r="L651" s="16" t="n">
        <v>4.602</v>
      </c>
      <c r="M651" s="16" t="n">
        <v>4.609</v>
      </c>
      <c r="N651" s="15" t="n">
        <v>4</v>
      </c>
      <c r="O651" s="15" t="n">
        <v>3</v>
      </c>
      <c r="P651" s="15" t="n">
        <v>2</v>
      </c>
      <c r="Q651" s="15" t="n">
        <v>1</v>
      </c>
    </row>
    <row r="652" customFormat="false" ht="15" hidden="false" customHeight="false" outlineLevel="0" collapsed="false">
      <c r="A652" s="15" t="n">
        <v>648</v>
      </c>
      <c r="B652" s="16" t="n">
        <v>65.627</v>
      </c>
      <c r="C652" s="15" t="n">
        <v>2</v>
      </c>
      <c r="D652" s="15" t="n">
        <v>5</v>
      </c>
      <c r="E652" s="15" t="n">
        <v>3</v>
      </c>
      <c r="F652" s="15" t="n">
        <v>4</v>
      </c>
      <c r="G652" s="15" t="n">
        <v>4</v>
      </c>
      <c r="H652" s="15" t="n">
        <v>1</v>
      </c>
      <c r="I652" s="15" t="n">
        <v>1</v>
      </c>
      <c r="J652" s="15" t="n">
        <v>3</v>
      </c>
      <c r="K652" s="15" t="n">
        <v>5</v>
      </c>
      <c r="L652" s="16" t="n">
        <v>4.005</v>
      </c>
      <c r="M652" s="16" t="n">
        <v>4.45</v>
      </c>
      <c r="N652" s="15" t="n">
        <v>4</v>
      </c>
      <c r="O652" s="15" t="n">
        <v>2</v>
      </c>
      <c r="P652" s="15" t="n">
        <v>2</v>
      </c>
      <c r="Q652" s="15" t="n">
        <v>1</v>
      </c>
    </row>
    <row r="653" customFormat="false" ht="15" hidden="false" customHeight="false" outlineLevel="0" collapsed="false">
      <c r="A653" s="15" t="n">
        <v>649</v>
      </c>
      <c r="B653" s="16" t="n">
        <v>65.725</v>
      </c>
      <c r="C653" s="15" t="n">
        <v>2</v>
      </c>
      <c r="D653" s="15" t="n">
        <v>5</v>
      </c>
      <c r="E653" s="15" t="n">
        <v>2</v>
      </c>
      <c r="F653" s="15" t="n">
        <v>3</v>
      </c>
      <c r="G653" s="15" t="n">
        <v>4</v>
      </c>
      <c r="H653" s="15" t="n">
        <v>1</v>
      </c>
      <c r="I653" s="15" t="n">
        <v>1</v>
      </c>
      <c r="J653" s="15" t="n">
        <v>3</v>
      </c>
      <c r="K653" s="15" t="n">
        <v>5</v>
      </c>
      <c r="L653" s="16" t="n">
        <v>3.814</v>
      </c>
      <c r="M653" s="16" t="n">
        <v>4.101</v>
      </c>
      <c r="N653" s="15" t="n">
        <v>4</v>
      </c>
      <c r="O653" s="15" t="n">
        <v>2</v>
      </c>
      <c r="P653" s="15" t="n">
        <v>2</v>
      </c>
      <c r="Q653" s="15" t="n">
        <v>1</v>
      </c>
    </row>
    <row r="654" customFormat="false" ht="15" hidden="false" customHeight="false" outlineLevel="0" collapsed="false">
      <c r="A654" s="15" t="n">
        <v>650</v>
      </c>
      <c r="B654" s="16" t="n">
        <v>65.823</v>
      </c>
      <c r="C654" s="15" t="n">
        <v>2</v>
      </c>
      <c r="D654" s="15" t="n">
        <v>5</v>
      </c>
      <c r="E654" s="15" t="n">
        <v>3</v>
      </c>
      <c r="F654" s="15" t="n">
        <v>4</v>
      </c>
      <c r="G654" s="15" t="n">
        <v>4</v>
      </c>
      <c r="H654" s="15" t="n">
        <v>1</v>
      </c>
      <c r="I654" s="15" t="n">
        <v>2</v>
      </c>
      <c r="J654" s="15" t="n">
        <v>3</v>
      </c>
      <c r="K654" s="15" t="n">
        <v>5</v>
      </c>
      <c r="L654" s="16" t="n">
        <v>3.977</v>
      </c>
      <c r="M654" s="16" t="n">
        <v>3.899</v>
      </c>
      <c r="N654" s="15" t="n">
        <v>4</v>
      </c>
      <c r="O654" s="15" t="n">
        <v>2</v>
      </c>
      <c r="P654" s="15" t="n">
        <v>2</v>
      </c>
      <c r="Q654" s="15" t="n">
        <v>1</v>
      </c>
    </row>
    <row r="655" customFormat="false" ht="15" hidden="false" customHeight="false" outlineLevel="0" collapsed="false">
      <c r="A655" s="15" t="n">
        <v>651</v>
      </c>
      <c r="B655" s="16" t="n">
        <v>65.922</v>
      </c>
      <c r="C655" s="15" t="n">
        <v>2</v>
      </c>
      <c r="D655" s="15" t="n">
        <v>5</v>
      </c>
      <c r="E655" s="15" t="n">
        <v>4</v>
      </c>
      <c r="F655" s="15" t="n">
        <v>4</v>
      </c>
      <c r="G655" s="15" t="n">
        <v>4</v>
      </c>
      <c r="H655" s="15" t="n">
        <v>1</v>
      </c>
      <c r="I655" s="15" t="n">
        <v>2</v>
      </c>
      <c r="J655" s="15" t="n">
        <v>3</v>
      </c>
      <c r="K655" s="15" t="n">
        <v>5</v>
      </c>
      <c r="L655" s="16" t="n">
        <v>4.224</v>
      </c>
      <c r="M655" s="16" t="n">
        <v>3.84</v>
      </c>
      <c r="N655" s="15" t="n">
        <v>4</v>
      </c>
      <c r="O655" s="15" t="n">
        <v>1</v>
      </c>
      <c r="P655" s="15" t="n">
        <v>2</v>
      </c>
      <c r="Q655" s="15" t="n">
        <v>1</v>
      </c>
    </row>
    <row r="656" customFormat="false" ht="15" hidden="false" customHeight="false" outlineLevel="0" collapsed="false">
      <c r="A656" s="15" t="n">
        <v>652</v>
      </c>
      <c r="B656" s="16" t="n">
        <v>66.021</v>
      </c>
      <c r="C656" s="15" t="n">
        <v>2</v>
      </c>
      <c r="D656" s="15" t="n">
        <v>5</v>
      </c>
      <c r="E656" s="15" t="n">
        <v>4</v>
      </c>
      <c r="F656" s="15" t="n">
        <v>4</v>
      </c>
      <c r="G656" s="15" t="n">
        <v>4</v>
      </c>
      <c r="H656" s="15" t="n">
        <v>1</v>
      </c>
      <c r="I656" s="15" t="n">
        <v>1</v>
      </c>
      <c r="J656" s="15" t="n">
        <v>3</v>
      </c>
      <c r="K656" s="15" t="n">
        <v>5</v>
      </c>
      <c r="L656" s="16" t="n">
        <v>4.545</v>
      </c>
      <c r="M656" s="16" t="n">
        <v>4</v>
      </c>
      <c r="N656" s="15" t="n">
        <v>4</v>
      </c>
      <c r="O656" s="15" t="n">
        <v>1</v>
      </c>
      <c r="P656" s="15" t="n">
        <v>2</v>
      </c>
      <c r="Q656" s="15" t="n">
        <v>1</v>
      </c>
    </row>
    <row r="657" customFormat="false" ht="15" hidden="false" customHeight="false" outlineLevel="0" collapsed="false">
      <c r="A657" s="15" t="n">
        <v>653</v>
      </c>
      <c r="B657" s="16" t="n">
        <v>66.121</v>
      </c>
      <c r="C657" s="15" t="n">
        <v>2</v>
      </c>
      <c r="D657" s="15" t="n">
        <v>5</v>
      </c>
      <c r="E657" s="15" t="n">
        <v>4</v>
      </c>
      <c r="F657" s="15" t="n">
        <v>4</v>
      </c>
      <c r="G657" s="15" t="n">
        <v>3</v>
      </c>
      <c r="H657" s="15" t="n">
        <v>1</v>
      </c>
      <c r="I657" s="15" t="n">
        <v>2</v>
      </c>
      <c r="J657" s="15" t="n">
        <v>3</v>
      </c>
      <c r="K657" s="15" t="n">
        <v>5</v>
      </c>
      <c r="L657" s="16" t="n">
        <v>4.1</v>
      </c>
      <c r="M657" s="16" t="n">
        <v>4</v>
      </c>
      <c r="N657" s="15" t="n">
        <v>4</v>
      </c>
      <c r="O657" s="15" t="n">
        <v>1</v>
      </c>
      <c r="P657" s="15" t="n">
        <v>2</v>
      </c>
      <c r="Q657" s="15" t="n">
        <v>1</v>
      </c>
    </row>
    <row r="658" customFormat="false" ht="15" hidden="false" customHeight="false" outlineLevel="0" collapsed="false">
      <c r="A658" s="15" t="n">
        <v>654</v>
      </c>
      <c r="B658" s="16" t="n">
        <v>66.22</v>
      </c>
      <c r="C658" s="15" t="n">
        <v>2</v>
      </c>
      <c r="D658" s="15" t="n">
        <v>5</v>
      </c>
      <c r="E658" s="15" t="n">
        <v>3</v>
      </c>
      <c r="F658" s="15" t="n">
        <v>2</v>
      </c>
      <c r="G658" s="15" t="n">
        <v>3</v>
      </c>
      <c r="H658" s="15" t="n">
        <v>1</v>
      </c>
      <c r="I658" s="15" t="n">
        <v>2</v>
      </c>
      <c r="J658" s="15" t="n">
        <v>3</v>
      </c>
      <c r="K658" s="15" t="n">
        <v>5</v>
      </c>
      <c r="L658" s="16" t="n">
        <v>3.325</v>
      </c>
      <c r="M658" s="16" t="n">
        <v>4</v>
      </c>
      <c r="N658" s="15" t="n">
        <v>4</v>
      </c>
      <c r="O658" s="15" t="n">
        <v>1</v>
      </c>
      <c r="P658" s="15" t="n">
        <v>2</v>
      </c>
      <c r="Q658" s="15" t="n">
        <v>1</v>
      </c>
    </row>
    <row r="659" customFormat="false" ht="15" hidden="false" customHeight="false" outlineLevel="0" collapsed="false">
      <c r="A659" s="15" t="n">
        <v>655</v>
      </c>
      <c r="B659" s="16" t="n">
        <v>66.32</v>
      </c>
      <c r="C659" s="15" t="n">
        <v>2</v>
      </c>
      <c r="D659" s="15" t="n">
        <v>5</v>
      </c>
      <c r="E659" s="15" t="n">
        <v>3</v>
      </c>
      <c r="F659" s="15" t="n">
        <v>3</v>
      </c>
      <c r="G659" s="15" t="n">
        <v>3</v>
      </c>
      <c r="H659" s="15" t="n">
        <v>1</v>
      </c>
      <c r="I659" s="15" t="n">
        <v>3</v>
      </c>
      <c r="J659" s="15" t="n">
        <v>3</v>
      </c>
      <c r="K659" s="15" t="n">
        <v>5</v>
      </c>
      <c r="L659" s="16" t="n">
        <v>2.758</v>
      </c>
      <c r="M659" s="16" t="n">
        <v>4</v>
      </c>
      <c r="N659" s="15" t="n">
        <v>4</v>
      </c>
      <c r="O659" s="15" t="n">
        <v>1</v>
      </c>
      <c r="P659" s="15" t="n">
        <v>2</v>
      </c>
      <c r="Q659" s="15" t="n">
        <v>1</v>
      </c>
    </row>
    <row r="660" customFormat="false" ht="15" hidden="false" customHeight="false" outlineLevel="0" collapsed="false">
      <c r="A660" s="15" t="n">
        <v>656</v>
      </c>
      <c r="B660" s="16" t="n">
        <v>66.419</v>
      </c>
      <c r="C660" s="15" t="n">
        <v>2</v>
      </c>
      <c r="D660" s="15" t="n">
        <v>5</v>
      </c>
      <c r="E660" s="15" t="n">
        <v>3</v>
      </c>
      <c r="F660" s="15" t="n">
        <v>4</v>
      </c>
      <c r="G660" s="15" t="n">
        <v>3</v>
      </c>
      <c r="H660" s="15" t="n">
        <v>1</v>
      </c>
      <c r="I660" s="15" t="n">
        <v>2</v>
      </c>
      <c r="J660" s="15" t="n">
        <v>3</v>
      </c>
      <c r="K660" s="15" t="n">
        <v>5</v>
      </c>
      <c r="L660" s="16" t="n">
        <v>2.767</v>
      </c>
      <c r="M660" s="16" t="n">
        <v>4</v>
      </c>
      <c r="N660" s="15" t="n">
        <v>4</v>
      </c>
      <c r="O660" s="15" t="n">
        <v>1</v>
      </c>
      <c r="P660" s="15" t="n">
        <v>2</v>
      </c>
      <c r="Q660" s="15" t="n">
        <v>1</v>
      </c>
    </row>
    <row r="661" customFormat="false" ht="15" hidden="false" customHeight="false" outlineLevel="0" collapsed="false">
      <c r="A661" s="15" t="n">
        <v>657</v>
      </c>
      <c r="B661" s="16" t="n">
        <v>66.517</v>
      </c>
      <c r="C661" s="15" t="n">
        <v>3</v>
      </c>
      <c r="D661" s="15" t="n">
        <v>5</v>
      </c>
      <c r="E661" s="15" t="n">
        <v>3</v>
      </c>
      <c r="F661" s="15" t="n">
        <v>4</v>
      </c>
      <c r="G661" s="15" t="n">
        <v>3</v>
      </c>
      <c r="H661" s="15" t="n">
        <v>1</v>
      </c>
      <c r="I661" s="15" t="n">
        <v>1</v>
      </c>
      <c r="J661" s="15" t="n">
        <v>3</v>
      </c>
      <c r="K661" s="15" t="n">
        <v>5</v>
      </c>
      <c r="L661" s="16" t="n">
        <v>2.748</v>
      </c>
      <c r="M661" s="16" t="n">
        <v>4</v>
      </c>
      <c r="N661" s="15" t="n">
        <v>4</v>
      </c>
      <c r="O661" s="15" t="n">
        <v>1</v>
      </c>
      <c r="P661" s="15" t="n">
        <v>2</v>
      </c>
      <c r="Q661" s="15" t="n">
        <v>1</v>
      </c>
    </row>
    <row r="662" customFormat="false" ht="15" hidden="false" customHeight="false" outlineLevel="0" collapsed="false">
      <c r="A662" s="15" t="n">
        <v>658</v>
      </c>
      <c r="B662" s="16" t="n">
        <v>66.615</v>
      </c>
      <c r="C662" s="15" t="n">
        <v>3</v>
      </c>
      <c r="D662" s="15" t="n">
        <v>5</v>
      </c>
      <c r="E662" s="15" t="n">
        <v>4</v>
      </c>
      <c r="F662" s="15" t="n">
        <v>4</v>
      </c>
      <c r="G662" s="15" t="n">
        <v>3</v>
      </c>
      <c r="H662" s="15" t="n">
        <v>1</v>
      </c>
      <c r="I662" s="15" t="n">
        <v>1</v>
      </c>
      <c r="J662" s="15" t="n">
        <v>3</v>
      </c>
      <c r="K662" s="15" t="n">
        <v>5</v>
      </c>
      <c r="L662" s="16" t="n">
        <v>2.682</v>
      </c>
      <c r="M662" s="16" t="n">
        <v>4</v>
      </c>
      <c r="N662" s="15" t="n">
        <v>4</v>
      </c>
      <c r="O662" s="15" t="n">
        <v>1</v>
      </c>
      <c r="P662" s="15" t="n">
        <v>2</v>
      </c>
      <c r="Q662" s="15" t="n">
        <v>1</v>
      </c>
    </row>
    <row r="663" customFormat="false" ht="15" hidden="false" customHeight="false" outlineLevel="0" collapsed="false">
      <c r="A663" s="15" t="n">
        <v>659</v>
      </c>
      <c r="B663" s="16" t="n">
        <v>66.712</v>
      </c>
      <c r="C663" s="15" t="n">
        <v>3</v>
      </c>
      <c r="D663" s="15" t="n">
        <v>5</v>
      </c>
      <c r="E663" s="15" t="n">
        <v>4</v>
      </c>
      <c r="F663" s="15" t="n">
        <v>5</v>
      </c>
      <c r="G663" s="15" t="n">
        <v>3</v>
      </c>
      <c r="H663" s="15" t="n">
        <v>1</v>
      </c>
      <c r="I663" s="15" t="n">
        <v>2</v>
      </c>
      <c r="J663" s="15" t="n">
        <v>3</v>
      </c>
      <c r="K663" s="15" t="n">
        <v>5</v>
      </c>
      <c r="L663" s="16" t="n">
        <v>3.166</v>
      </c>
      <c r="M663" s="16" t="n">
        <v>3.941</v>
      </c>
      <c r="N663" s="15" t="n">
        <v>4</v>
      </c>
      <c r="O663" s="15" t="n">
        <v>1</v>
      </c>
      <c r="P663" s="15" t="n">
        <v>2</v>
      </c>
      <c r="Q663" s="15" t="n">
        <v>1</v>
      </c>
    </row>
    <row r="664" customFormat="false" ht="15" hidden="false" customHeight="false" outlineLevel="0" collapsed="false">
      <c r="A664" s="15" t="n">
        <v>660</v>
      </c>
      <c r="B664" s="16" t="n">
        <v>66.809</v>
      </c>
      <c r="C664" s="15" t="n">
        <v>3</v>
      </c>
      <c r="D664" s="15" t="n">
        <v>5</v>
      </c>
      <c r="E664" s="15" t="n">
        <v>4</v>
      </c>
      <c r="F664" s="15" t="n">
        <v>5</v>
      </c>
      <c r="G664" s="15" t="n">
        <v>3</v>
      </c>
      <c r="H664" s="15" t="n">
        <v>1</v>
      </c>
      <c r="I664" s="15" t="n">
        <v>2</v>
      </c>
      <c r="J664" s="15" t="n">
        <v>3</v>
      </c>
      <c r="K664" s="15" t="n">
        <v>5</v>
      </c>
      <c r="L664" s="16" t="n">
        <v>2.602</v>
      </c>
      <c r="M664" s="16" t="n">
        <v>3.948</v>
      </c>
      <c r="N664" s="15" t="n">
        <v>4</v>
      </c>
      <c r="O664" s="15" t="n">
        <v>1</v>
      </c>
      <c r="P664" s="15" t="n">
        <v>2</v>
      </c>
      <c r="Q664" s="15" t="n">
        <v>1</v>
      </c>
    </row>
    <row r="665" customFormat="false" ht="15" hidden="false" customHeight="false" outlineLevel="0" collapsed="false">
      <c r="A665" s="15" t="n">
        <v>661</v>
      </c>
      <c r="B665" s="16" t="n">
        <v>66.905</v>
      </c>
      <c r="C665" s="15" t="n">
        <v>3</v>
      </c>
      <c r="D665" s="15" t="n">
        <v>5</v>
      </c>
      <c r="E665" s="15" t="n">
        <v>4</v>
      </c>
      <c r="F665" s="15" t="n">
        <v>5</v>
      </c>
      <c r="G665" s="15" t="n">
        <v>3</v>
      </c>
      <c r="H665" s="15" t="n">
        <v>1</v>
      </c>
      <c r="I665" s="15" t="n">
        <v>1</v>
      </c>
      <c r="J665" s="15" t="n">
        <v>3</v>
      </c>
      <c r="K665" s="15" t="n">
        <v>5</v>
      </c>
      <c r="L665" s="16" t="n">
        <v>3.205</v>
      </c>
      <c r="M665" s="16" t="n">
        <v>4.04</v>
      </c>
      <c r="N665" s="15" t="n">
        <v>4</v>
      </c>
      <c r="O665" s="15" t="n">
        <v>1</v>
      </c>
      <c r="P665" s="15" t="n">
        <v>2</v>
      </c>
      <c r="Q665" s="15" t="n">
        <v>4</v>
      </c>
    </row>
    <row r="666" customFormat="false" ht="15" hidden="false" customHeight="false" outlineLevel="0" collapsed="false">
      <c r="A666" s="15" t="n">
        <v>662</v>
      </c>
      <c r="B666" s="16" t="n">
        <v>67.003</v>
      </c>
      <c r="C666" s="15" t="n">
        <v>3</v>
      </c>
      <c r="D666" s="15" t="n">
        <v>5</v>
      </c>
      <c r="E666" s="15" t="n">
        <v>4</v>
      </c>
      <c r="F666" s="15" t="n">
        <v>4</v>
      </c>
      <c r="G666" s="15" t="n">
        <v>3</v>
      </c>
      <c r="H666" s="15" t="n">
        <v>1</v>
      </c>
      <c r="I666" s="15" t="n">
        <v>1</v>
      </c>
      <c r="J666" s="15" t="n">
        <v>3</v>
      </c>
      <c r="K666" s="15" t="n">
        <v>5</v>
      </c>
      <c r="L666" s="16" t="n">
        <v>3.631</v>
      </c>
      <c r="M666" s="16" t="n">
        <v>4.054</v>
      </c>
      <c r="N666" s="15" t="n">
        <v>4</v>
      </c>
      <c r="O666" s="15" t="n">
        <v>1</v>
      </c>
      <c r="P666" s="15" t="n">
        <v>2</v>
      </c>
      <c r="Q666" s="15" t="n">
        <v>4</v>
      </c>
    </row>
    <row r="667" customFormat="false" ht="15" hidden="false" customHeight="false" outlineLevel="0" collapsed="false">
      <c r="A667" s="15" t="n">
        <v>663</v>
      </c>
      <c r="B667" s="16" t="n">
        <v>67.1</v>
      </c>
      <c r="C667" s="15" t="n">
        <v>3</v>
      </c>
      <c r="D667" s="15" t="n">
        <v>5</v>
      </c>
      <c r="E667" s="15" t="n">
        <v>4</v>
      </c>
      <c r="F667" s="15" t="n">
        <v>4</v>
      </c>
      <c r="G667" s="15" t="n">
        <v>3</v>
      </c>
      <c r="H667" s="15" t="n">
        <v>1</v>
      </c>
      <c r="I667" s="15" t="n">
        <v>1</v>
      </c>
      <c r="J667" s="15" t="n">
        <v>3</v>
      </c>
      <c r="K667" s="15" t="n">
        <v>5</v>
      </c>
      <c r="L667" s="16" t="n">
        <v>3.817</v>
      </c>
      <c r="M667" s="16" t="n">
        <v>4.082</v>
      </c>
      <c r="N667" s="15" t="n">
        <v>4</v>
      </c>
      <c r="O667" s="15" t="n">
        <v>2</v>
      </c>
      <c r="P667" s="15" t="n">
        <v>2</v>
      </c>
      <c r="Q667" s="15" t="n">
        <v>4</v>
      </c>
    </row>
    <row r="668" customFormat="false" ht="15" hidden="false" customHeight="false" outlineLevel="0" collapsed="false">
      <c r="A668" s="15" t="n">
        <v>664</v>
      </c>
      <c r="B668" s="16" t="n">
        <v>67.198</v>
      </c>
      <c r="C668" s="15" t="n">
        <v>3</v>
      </c>
      <c r="D668" s="15" t="n">
        <v>5</v>
      </c>
      <c r="E668" s="15" t="n">
        <v>4</v>
      </c>
      <c r="F668" s="15" t="n">
        <v>3</v>
      </c>
      <c r="G668" s="15" t="n">
        <v>3</v>
      </c>
      <c r="H668" s="15" t="n">
        <v>1</v>
      </c>
      <c r="I668" s="15" t="n">
        <v>1</v>
      </c>
      <c r="J668" s="15" t="n">
        <v>3</v>
      </c>
      <c r="K668" s="15" t="n">
        <v>5</v>
      </c>
      <c r="L668" s="16" t="n">
        <v>3.808</v>
      </c>
      <c r="M668" s="16" t="n">
        <v>4.102</v>
      </c>
      <c r="N668" s="15" t="n">
        <v>4</v>
      </c>
      <c r="O668" s="15" t="n">
        <v>2</v>
      </c>
      <c r="P668" s="15" t="n">
        <v>2</v>
      </c>
      <c r="Q668" s="15" t="n">
        <v>4</v>
      </c>
    </row>
    <row r="669" customFormat="false" ht="15" hidden="false" customHeight="false" outlineLevel="0" collapsed="false">
      <c r="A669" s="15" t="n">
        <v>665</v>
      </c>
      <c r="B669" s="16" t="n">
        <v>67.296</v>
      </c>
      <c r="C669" s="15" t="n">
        <v>3</v>
      </c>
      <c r="D669" s="15" t="n">
        <v>5</v>
      </c>
      <c r="E669" s="15" t="n">
        <v>3</v>
      </c>
      <c r="F669" s="15" t="n">
        <v>4</v>
      </c>
      <c r="G669" s="15" t="n">
        <v>3</v>
      </c>
      <c r="H669" s="15" t="n">
        <v>1</v>
      </c>
      <c r="I669" s="15" t="n">
        <v>1</v>
      </c>
      <c r="J669" s="15" t="n">
        <v>3</v>
      </c>
      <c r="K669" s="15" t="n">
        <v>5</v>
      </c>
      <c r="L669" s="16" t="n">
        <v>3.868</v>
      </c>
      <c r="M669" s="16" t="n">
        <v>4.286</v>
      </c>
      <c r="N669" s="15" t="n">
        <v>4</v>
      </c>
      <c r="O669" s="15" t="n">
        <v>2</v>
      </c>
      <c r="P669" s="15" t="n">
        <v>2</v>
      </c>
      <c r="Q669" s="15" t="n">
        <v>4</v>
      </c>
    </row>
    <row r="670" customFormat="false" ht="15" hidden="false" customHeight="false" outlineLevel="0" collapsed="false">
      <c r="A670" s="15" t="n">
        <v>666</v>
      </c>
      <c r="B670" s="16" t="n">
        <v>67.393</v>
      </c>
      <c r="C670" s="15" t="n">
        <v>3</v>
      </c>
      <c r="D670" s="15" t="n">
        <v>5</v>
      </c>
      <c r="E670" s="15" t="n">
        <v>3</v>
      </c>
      <c r="F670" s="15" t="n">
        <v>4</v>
      </c>
      <c r="G670" s="15" t="n">
        <v>3</v>
      </c>
      <c r="H670" s="15" t="n">
        <v>1</v>
      </c>
      <c r="I670" s="15" t="n">
        <v>1</v>
      </c>
      <c r="J670" s="15" t="n">
        <v>3</v>
      </c>
      <c r="K670" s="15" t="n">
        <v>5</v>
      </c>
      <c r="L670" s="16" t="n">
        <v>4.338</v>
      </c>
      <c r="M670" s="16" t="n">
        <v>4.689</v>
      </c>
      <c r="N670" s="15" t="n">
        <v>4</v>
      </c>
      <c r="O670" s="15" t="n">
        <v>2</v>
      </c>
      <c r="P670" s="15" t="n">
        <v>2</v>
      </c>
      <c r="Q670" s="15" t="n">
        <v>1</v>
      </c>
    </row>
    <row r="671" customFormat="false" ht="15" hidden="false" customHeight="false" outlineLevel="0" collapsed="false">
      <c r="A671" s="15" t="n">
        <v>667</v>
      </c>
      <c r="B671" s="16" t="n">
        <v>67.489</v>
      </c>
      <c r="C671" s="15" t="n">
        <v>3</v>
      </c>
      <c r="D671" s="15" t="n">
        <v>5</v>
      </c>
      <c r="E671" s="15" t="n">
        <v>3</v>
      </c>
      <c r="F671" s="15" t="n">
        <v>4</v>
      </c>
      <c r="G671" s="15" t="n">
        <v>3</v>
      </c>
      <c r="H671" s="15" t="n">
        <v>1</v>
      </c>
      <c r="I671" s="15" t="n">
        <v>1</v>
      </c>
      <c r="J671" s="15" t="n">
        <v>3</v>
      </c>
      <c r="K671" s="15" t="n">
        <v>5</v>
      </c>
      <c r="L671" s="16" t="n">
        <v>4.586</v>
      </c>
      <c r="M671" s="16" t="n">
        <v>4.747</v>
      </c>
      <c r="N671" s="15" t="n">
        <v>4</v>
      </c>
      <c r="O671" s="15" t="n">
        <v>3</v>
      </c>
      <c r="P671" s="15" t="n">
        <v>2</v>
      </c>
      <c r="Q671" s="15" t="n">
        <v>1</v>
      </c>
    </row>
    <row r="672" customFormat="false" ht="15" hidden="false" customHeight="false" outlineLevel="0" collapsed="false">
      <c r="A672" s="15" t="n">
        <v>668</v>
      </c>
      <c r="B672" s="16" t="n">
        <v>67.585</v>
      </c>
      <c r="C672" s="15" t="n">
        <v>3</v>
      </c>
      <c r="D672" s="15" t="n">
        <v>5</v>
      </c>
      <c r="E672" s="15" t="n">
        <v>4</v>
      </c>
      <c r="F672" s="15" t="n">
        <v>3</v>
      </c>
      <c r="G672" s="15" t="n">
        <v>4</v>
      </c>
      <c r="H672" s="15" t="n">
        <v>1</v>
      </c>
      <c r="I672" s="15" t="n">
        <v>1</v>
      </c>
      <c r="J672" s="15" t="n">
        <v>3</v>
      </c>
      <c r="K672" s="15" t="n">
        <v>5</v>
      </c>
      <c r="L672" s="16" t="n">
        <v>4.491</v>
      </c>
      <c r="M672" s="16" t="n">
        <v>4.405</v>
      </c>
      <c r="N672" s="15" t="n">
        <v>4</v>
      </c>
      <c r="O672" s="15" t="n">
        <v>3</v>
      </c>
      <c r="P672" s="15" t="n">
        <v>2</v>
      </c>
      <c r="Q672" s="15" t="n">
        <v>1</v>
      </c>
    </row>
    <row r="673" customFormat="false" ht="15" hidden="false" customHeight="false" outlineLevel="0" collapsed="false">
      <c r="A673" s="15" t="n">
        <v>669</v>
      </c>
      <c r="B673" s="16" t="n">
        <v>67.68</v>
      </c>
      <c r="C673" s="15" t="n">
        <v>3</v>
      </c>
      <c r="D673" s="15" t="n">
        <v>5</v>
      </c>
      <c r="E673" s="15" t="n">
        <v>3</v>
      </c>
      <c r="F673" s="15" t="n">
        <v>3</v>
      </c>
      <c r="G673" s="15" t="n">
        <v>4</v>
      </c>
      <c r="H673" s="15" t="n">
        <v>1</v>
      </c>
      <c r="I673" s="15" t="n">
        <v>1</v>
      </c>
      <c r="J673" s="15" t="n">
        <v>3</v>
      </c>
      <c r="K673" s="15" t="n">
        <v>5</v>
      </c>
      <c r="L673" s="16" t="n">
        <v>4.487</v>
      </c>
      <c r="M673" s="16" t="n">
        <v>4.244</v>
      </c>
      <c r="N673" s="15" t="n">
        <v>4</v>
      </c>
      <c r="O673" s="15" t="n">
        <v>3</v>
      </c>
      <c r="P673" s="15" t="n">
        <v>3</v>
      </c>
      <c r="Q673" s="15" t="n">
        <v>1</v>
      </c>
    </row>
    <row r="674" customFormat="false" ht="15" hidden="false" customHeight="false" outlineLevel="0" collapsed="false">
      <c r="A674" s="15" t="n">
        <v>670</v>
      </c>
      <c r="B674" s="16" t="n">
        <v>67.778</v>
      </c>
      <c r="C674" s="15" t="n">
        <v>3</v>
      </c>
      <c r="D674" s="15" t="n">
        <v>5</v>
      </c>
      <c r="E674" s="15" t="n">
        <v>3</v>
      </c>
      <c r="F674" s="15" t="n">
        <v>3</v>
      </c>
      <c r="G674" s="15" t="n">
        <v>4</v>
      </c>
      <c r="H674" s="15" t="n">
        <v>1</v>
      </c>
      <c r="I674" s="15" t="n">
        <v>1</v>
      </c>
      <c r="J674" s="15" t="n">
        <v>3</v>
      </c>
      <c r="K674" s="15" t="n">
        <v>5</v>
      </c>
      <c r="L674" s="16" t="n">
        <v>4.517</v>
      </c>
      <c r="M674" s="16" t="n">
        <v>4.24</v>
      </c>
      <c r="N674" s="15" t="n">
        <v>3</v>
      </c>
      <c r="O674" s="15" t="n">
        <v>3</v>
      </c>
      <c r="P674" s="15" t="n">
        <v>3</v>
      </c>
      <c r="Q674" s="15" t="n">
        <v>1</v>
      </c>
    </row>
    <row r="675" customFormat="false" ht="15" hidden="false" customHeight="false" outlineLevel="0" collapsed="false">
      <c r="A675" s="17" t="n">
        <v>671</v>
      </c>
      <c r="B675" s="18" t="n">
        <v>67.875</v>
      </c>
      <c r="C675" s="17" t="n">
        <v>3</v>
      </c>
      <c r="D675" s="17" t="n">
        <v>5</v>
      </c>
      <c r="E675" s="17" t="n">
        <v>4</v>
      </c>
      <c r="F675" s="17" t="n">
        <v>2</v>
      </c>
      <c r="G675" s="17" t="n">
        <v>4</v>
      </c>
      <c r="H675" s="17" t="n">
        <v>1</v>
      </c>
      <c r="I675" s="17" t="n">
        <v>1</v>
      </c>
      <c r="J675" s="17" t="n">
        <v>3</v>
      </c>
      <c r="K675" s="17" t="n">
        <v>5</v>
      </c>
      <c r="L675" s="18" t="n">
        <v>4.626</v>
      </c>
      <c r="M675" s="18" t="n">
        <v>4.219</v>
      </c>
      <c r="N675" s="17" t="n">
        <v>3</v>
      </c>
      <c r="O675" s="17" t="n">
        <v>3</v>
      </c>
      <c r="P675" s="17" t="n">
        <v>3</v>
      </c>
      <c r="Q675" s="17" t="n">
        <v>1</v>
      </c>
    </row>
    <row r="676" customFormat="false" ht="45" hidden="false" customHeight="true" outlineLevel="0" collapsed="false">
      <c r="A676" s="6" t="s">
        <v>94</v>
      </c>
      <c r="B676" s="6"/>
      <c r="C676" s="6"/>
      <c r="D676" s="6"/>
      <c r="E676" s="6"/>
      <c r="F676" s="6"/>
      <c r="G676" s="6"/>
      <c r="H676" s="6"/>
      <c r="I676" s="6"/>
      <c r="J676" s="6"/>
      <c r="K676" s="6"/>
      <c r="L676" s="6"/>
      <c r="M676" s="6"/>
      <c r="N676" s="6"/>
      <c r="O676" s="6"/>
      <c r="P676" s="6"/>
      <c r="Q676" s="6"/>
    </row>
  </sheetData>
  <mergeCells count="1">
    <mergeCell ref="A676:Q67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40"/>
    <col collapsed="false" customWidth="true" hidden="false" outlineLevel="0" max="4" min="4" style="0" width="13"/>
    <col collapsed="false" customWidth="true" hidden="false" outlineLevel="0" max="5" min="5" style="0" width="16"/>
    <col collapsed="false" customWidth="true" hidden="false" outlineLevel="0" max="6" min="6" style="0" width="14"/>
    <col collapsed="false" customWidth="true" hidden="false" outlineLevel="0" max="7" min="7" style="0" width="16"/>
  </cols>
  <sheetData>
    <row r="1" customFormat="false" ht="15" hidden="false" customHeight="false" outlineLevel="0" collapsed="false">
      <c r="A1" s="7" t="s">
        <v>11</v>
      </c>
    </row>
    <row r="2" customFormat="false" ht="15" hidden="false" customHeight="false" outlineLevel="0" collapsed="false">
      <c r="A2" s="8" t="s">
        <v>12</v>
      </c>
    </row>
    <row r="4" customFormat="false" ht="30" hidden="false" customHeight="true" outlineLevel="0" collapsed="false">
      <c r="A4" s="2" t="s">
        <v>95</v>
      </c>
      <c r="B4" s="3" t="s">
        <v>96</v>
      </c>
      <c r="C4" s="3" t="s">
        <v>97</v>
      </c>
      <c r="D4" s="3" t="s">
        <v>98</v>
      </c>
      <c r="E4" s="3" t="s">
        <v>99</v>
      </c>
      <c r="F4" s="3" t="s">
        <v>100</v>
      </c>
      <c r="G4" s="3" t="s">
        <v>101</v>
      </c>
    </row>
    <row r="5" customFormat="false" ht="15" hidden="false" customHeight="false" outlineLevel="0" collapsed="false">
      <c r="A5" s="15" t="n">
        <v>1</v>
      </c>
      <c r="B5" s="19" t="s">
        <v>79</v>
      </c>
      <c r="C5" s="19" t="s">
        <v>102</v>
      </c>
      <c r="D5" s="20" t="n">
        <v>0.991169983733511</v>
      </c>
      <c r="E5" s="20" t="n">
        <v>0.0088300162664889</v>
      </c>
      <c r="F5" s="21" t="n">
        <v>0.0480992114015421</v>
      </c>
      <c r="G5" s="21" t="n">
        <f aca="false">E5/$E$20</f>
        <v>0.0480992114015422</v>
      </c>
    </row>
    <row r="6" customFormat="false" ht="15" hidden="false" customHeight="false" outlineLevel="0" collapsed="false">
      <c r="A6" s="15" t="n">
        <v>2</v>
      </c>
      <c r="B6" s="19" t="s">
        <v>80</v>
      </c>
      <c r="C6" s="19" t="s">
        <v>103</v>
      </c>
      <c r="D6" s="20" t="n">
        <v>0.999099174504562</v>
      </c>
      <c r="E6" s="20" t="n">
        <v>0.0009008254954376</v>
      </c>
      <c r="F6" s="21" t="n">
        <v>0.0049070120182445</v>
      </c>
      <c r="G6" s="21" t="n">
        <f aca="false">E6/$E$20</f>
        <v>0.00490701201824412</v>
      </c>
    </row>
    <row r="7" customFormat="false" ht="15" hidden="false" customHeight="false" outlineLevel="0" collapsed="false">
      <c r="A7" s="15" t="n">
        <v>3</v>
      </c>
      <c r="B7" s="19" t="s">
        <v>81</v>
      </c>
      <c r="C7" s="19" t="s">
        <v>104</v>
      </c>
      <c r="D7" s="20" t="n">
        <v>0.991492968014316</v>
      </c>
      <c r="E7" s="20" t="n">
        <v>0.0085070319856837</v>
      </c>
      <c r="F7" s="21" t="n">
        <v>0.0463398387420846</v>
      </c>
      <c r="G7" s="21" t="n">
        <f aca="false">E7/$E$20</f>
        <v>0.0463398387420848</v>
      </c>
    </row>
    <row r="8" customFormat="false" ht="15" hidden="false" customHeight="false" outlineLevel="0" collapsed="false">
      <c r="A8" s="15" t="n">
        <v>4</v>
      </c>
      <c r="B8" s="19" t="s">
        <v>82</v>
      </c>
      <c r="C8" s="19" t="s">
        <v>105</v>
      </c>
      <c r="D8" s="20" t="n">
        <v>0.992503310314452</v>
      </c>
      <c r="E8" s="20" t="n">
        <v>0.0074966896855478</v>
      </c>
      <c r="F8" s="21" t="n">
        <v>0.0408362624840673</v>
      </c>
      <c r="G8" s="21" t="n">
        <f aca="false">E8/$E$20</f>
        <v>0.0408362624840672</v>
      </c>
    </row>
    <row r="9" customFormat="false" ht="15" hidden="false" customHeight="false" outlineLevel="0" collapsed="false">
      <c r="A9" s="15" t="n">
        <v>5</v>
      </c>
      <c r="B9" s="19" t="s">
        <v>83</v>
      </c>
      <c r="C9" s="19" t="s">
        <v>106</v>
      </c>
      <c r="D9" s="20" t="n">
        <v>0.998748278170758</v>
      </c>
      <c r="E9" s="20" t="n">
        <v>0.0012517218292421</v>
      </c>
      <c r="F9" s="21" t="n">
        <v>0.0068184283090322</v>
      </c>
      <c r="G9" s="21" t="n">
        <f aca="false">E9/$E$20</f>
        <v>0.00681842830903198</v>
      </c>
    </row>
    <row r="10" customFormat="false" ht="15" hidden="false" customHeight="false" outlineLevel="0" collapsed="false">
      <c r="A10" s="15" t="n">
        <v>6</v>
      </c>
      <c r="B10" s="19" t="s">
        <v>84</v>
      </c>
      <c r="C10" s="19" t="s">
        <v>107</v>
      </c>
      <c r="D10" s="20" t="n">
        <v>0.975670570405852</v>
      </c>
      <c r="E10" s="20" t="n">
        <v>0.0243294295941481</v>
      </c>
      <c r="F10" s="21" t="n">
        <v>0.132528224412115</v>
      </c>
      <c r="G10" s="21" t="n">
        <f aca="false">E10/$E$20</f>
        <v>0.132528224412115</v>
      </c>
    </row>
    <row r="11" customFormat="false" ht="15" hidden="false" customHeight="false" outlineLevel="0" collapsed="false">
      <c r="A11" s="15" t="n">
        <v>7</v>
      </c>
      <c r="B11" s="19" t="s">
        <v>85</v>
      </c>
      <c r="C11" s="19" t="s">
        <v>108</v>
      </c>
      <c r="D11" s="20" t="n">
        <v>0.965177451547568</v>
      </c>
      <c r="E11" s="20" t="n">
        <v>0.0348225484524323</v>
      </c>
      <c r="F11" s="21" t="n">
        <v>0.189686753569254</v>
      </c>
      <c r="G11" s="21" t="n">
        <f aca="false">E11/$E$20</f>
        <v>0.189686753569254</v>
      </c>
    </row>
    <row r="12" customFormat="false" ht="15" hidden="false" customHeight="false" outlineLevel="0" collapsed="false">
      <c r="A12" s="15" t="n">
        <v>8</v>
      </c>
      <c r="B12" s="19" t="s">
        <v>86</v>
      </c>
      <c r="C12" s="19" t="s">
        <v>109</v>
      </c>
      <c r="D12" s="20" t="n">
        <v>0.998667107709665</v>
      </c>
      <c r="E12" s="20" t="n">
        <v>0.0013328922903348</v>
      </c>
      <c r="F12" s="21" t="n">
        <v>0.0072605832326279</v>
      </c>
      <c r="G12" s="21" t="n">
        <f aca="false">E12/$E$20</f>
        <v>0.00726058323262771</v>
      </c>
    </row>
    <row r="13" customFormat="false" ht="15" hidden="false" customHeight="false" outlineLevel="0" collapsed="false">
      <c r="A13" s="15" t="n">
        <v>9</v>
      </c>
      <c r="B13" s="19" t="s">
        <v>87</v>
      </c>
      <c r="C13" s="19" t="s">
        <v>110</v>
      </c>
      <c r="D13" s="20" t="n">
        <v>0.999816428136976</v>
      </c>
      <c r="E13" s="20" t="n">
        <v>0.0001835718630239</v>
      </c>
      <c r="F13" s="21" t="n">
        <v>0.0009999598619625</v>
      </c>
      <c r="G13" s="21" t="n">
        <f aca="false">E13/$E$20</f>
        <v>0.000999959861962119</v>
      </c>
    </row>
    <row r="14" customFormat="false" ht="15" hidden="false" customHeight="false" outlineLevel="0" collapsed="false">
      <c r="A14" s="15" t="n">
        <v>10</v>
      </c>
      <c r="B14" s="19" t="s">
        <v>88</v>
      </c>
      <c r="C14" s="19" t="s">
        <v>111</v>
      </c>
      <c r="D14" s="20" t="n">
        <v>0.99311635839873</v>
      </c>
      <c r="E14" s="20" t="n">
        <v>0.0068836416012704</v>
      </c>
      <c r="F14" s="21" t="n">
        <v>0.037496842882217</v>
      </c>
      <c r="G14" s="21" t="n">
        <f aca="false">E14/$E$20</f>
        <v>0.0374968428822171</v>
      </c>
    </row>
    <row r="15" customFormat="false" ht="15" hidden="false" customHeight="false" outlineLevel="0" collapsed="false">
      <c r="A15" s="15" t="n">
        <v>11</v>
      </c>
      <c r="B15" s="19" t="s">
        <v>89</v>
      </c>
      <c r="C15" s="19" t="s">
        <v>112</v>
      </c>
      <c r="D15" s="20" t="n">
        <v>0.996567388262685</v>
      </c>
      <c r="E15" s="20" t="n">
        <v>0.0034326117373152</v>
      </c>
      <c r="F15" s="21" t="n">
        <v>0.0186982574697103</v>
      </c>
      <c r="G15" s="21" t="n">
        <f aca="false">E15/$E$20</f>
        <v>0.0186982574697102</v>
      </c>
    </row>
    <row r="16" customFormat="false" ht="15" hidden="false" customHeight="false" outlineLevel="0" collapsed="false">
      <c r="A16" s="15" t="n">
        <v>12</v>
      </c>
      <c r="B16" s="19" t="s">
        <v>90</v>
      </c>
      <c r="C16" s="19" t="s">
        <v>113</v>
      </c>
      <c r="D16" s="20" t="n">
        <v>0.975110806119852</v>
      </c>
      <c r="E16" s="20" t="n">
        <v>0.0248891938801479</v>
      </c>
      <c r="F16" s="21" t="n">
        <v>0.135577394415291</v>
      </c>
      <c r="G16" s="21" t="n">
        <f aca="false">E16/$E$20</f>
        <v>0.135577394415291</v>
      </c>
    </row>
    <row r="17" customFormat="false" ht="15" hidden="false" customHeight="false" outlineLevel="0" collapsed="false">
      <c r="A17" s="15" t="n">
        <v>13</v>
      </c>
      <c r="B17" s="19" t="s">
        <v>91</v>
      </c>
      <c r="C17" s="19" t="s">
        <v>114</v>
      </c>
      <c r="D17" s="20" t="n">
        <v>0.987904115646285</v>
      </c>
      <c r="E17" s="20" t="n">
        <v>0.0120958843537152</v>
      </c>
      <c r="F17" s="21" t="n">
        <v>0.0658891763117097</v>
      </c>
      <c r="G17" s="21" t="n">
        <f aca="false">E17/$E$20</f>
        <v>0.0658891763117099</v>
      </c>
    </row>
    <row r="18" customFormat="false" ht="15" hidden="false" customHeight="false" outlineLevel="0" collapsed="false">
      <c r="A18" s="15" t="n">
        <v>14</v>
      </c>
      <c r="B18" s="19" t="s">
        <v>92</v>
      </c>
      <c r="C18" s="19" t="s">
        <v>115</v>
      </c>
      <c r="D18" s="20" t="n">
        <v>0.990579648512757</v>
      </c>
      <c r="E18" s="20" t="n">
        <v>0.0094203514872434</v>
      </c>
      <c r="F18" s="21" t="n">
        <v>0.0513149086011732</v>
      </c>
      <c r="G18" s="21" t="n">
        <f aca="false">E18/$E$20</f>
        <v>0.0513149086011734</v>
      </c>
    </row>
    <row r="19" customFormat="false" ht="15" hidden="false" customHeight="false" outlineLevel="0" collapsed="false">
      <c r="A19" s="15" t="n">
        <v>15</v>
      </c>
      <c r="B19" s="19" t="s">
        <v>93</v>
      </c>
      <c r="C19" s="19" t="s">
        <v>116</v>
      </c>
      <c r="D19" s="20" t="n">
        <v>0.960797178987982</v>
      </c>
      <c r="E19" s="20" t="n">
        <v>0.0392028210120182</v>
      </c>
      <c r="F19" s="21" t="n">
        <v>0.213547146288968</v>
      </c>
      <c r="G19" s="21" t="n">
        <f aca="false">E19/$E$20</f>
        <v>0.213547146288969</v>
      </c>
    </row>
    <row r="20" customFormat="false" ht="15" hidden="false" customHeight="false" outlineLevel="0" collapsed="false">
      <c r="A20" s="22" t="s">
        <v>117</v>
      </c>
      <c r="B20" s="23"/>
      <c r="C20" s="23"/>
      <c r="D20" s="23"/>
      <c r="E20" s="24" t="n">
        <f aca="false">SUM(E5:E19)</f>
        <v>0.18357923153405</v>
      </c>
      <c r="F20" s="25" t="n">
        <f aca="false">SUM(F5:F19)</f>
        <v>0.999999999999999</v>
      </c>
      <c r="G20" s="25" t="n">
        <f aca="false">SUM(G5:G19)</f>
        <v>1</v>
      </c>
    </row>
    <row r="21" customFormat="false" ht="45" hidden="false" customHeight="true" outlineLevel="0" collapsed="false">
      <c r="A21" s="6" t="s">
        <v>118</v>
      </c>
      <c r="B21" s="6"/>
      <c r="C21" s="6"/>
      <c r="D21" s="6"/>
      <c r="E21" s="6"/>
      <c r="F21" s="6"/>
      <c r="G21" s="6"/>
    </row>
  </sheetData>
  <mergeCells count="1">
    <mergeCell ref="A21:G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6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17" min="3" style="0" width="12"/>
  </cols>
  <sheetData>
    <row r="1" customFormat="false" ht="15" hidden="false" customHeight="false" outlineLevel="0" collapsed="false">
      <c r="A1" s="7" t="s">
        <v>14</v>
      </c>
    </row>
    <row r="2" customFormat="false" ht="15" hidden="false" customHeight="false" outlineLevel="0" collapsed="false">
      <c r="A2" s="8" t="s">
        <v>15</v>
      </c>
    </row>
    <row r="4" customFormat="false" ht="30" hidden="false" customHeight="true" outlineLevel="0" collapsed="false">
      <c r="A4" s="2" t="s">
        <v>77</v>
      </c>
      <c r="B4" s="3" t="s">
        <v>78</v>
      </c>
      <c r="C4" s="3" t="s">
        <v>119</v>
      </c>
      <c r="D4" s="3" t="s">
        <v>120</v>
      </c>
      <c r="E4" s="3" t="s">
        <v>121</v>
      </c>
      <c r="F4" s="3" t="s">
        <v>122</v>
      </c>
      <c r="G4" s="3" t="s">
        <v>123</v>
      </c>
      <c r="H4" s="3" t="s">
        <v>124</v>
      </c>
      <c r="I4" s="3" t="s">
        <v>125</v>
      </c>
      <c r="J4" s="3" t="s">
        <v>126</v>
      </c>
      <c r="K4" s="3" t="s">
        <v>127</v>
      </c>
      <c r="L4" s="3" t="s">
        <v>128</v>
      </c>
      <c r="M4" s="3" t="s">
        <v>129</v>
      </c>
      <c r="N4" s="3" t="s">
        <v>130</v>
      </c>
      <c r="O4" s="3" t="s">
        <v>131</v>
      </c>
      <c r="P4" s="3" t="s">
        <v>132</v>
      </c>
      <c r="Q4" s="3" t="s">
        <v>133</v>
      </c>
    </row>
    <row r="5" customFormat="false" ht="15" hidden="false" customHeight="false" outlineLevel="0" collapsed="false">
      <c r="A5" s="7" t="s">
        <v>134</v>
      </c>
      <c r="C5" s="26" t="n">
        <f aca="false">SQRT(SUMSQ(2_Matriz_decision!C5:C675))</f>
        <v>113.714554917126</v>
      </c>
      <c r="D5" s="26" t="n">
        <f aca="false">SQRT(SUMSQ(2_Matriz_decision!D5:D675))</f>
        <v>119.431989014669</v>
      </c>
      <c r="E5" s="26" t="n">
        <f aca="false">SQRT(SUMSQ(2_Matriz_decision!E5:E675))</f>
        <v>99.8198377077422</v>
      </c>
      <c r="F5" s="26" t="n">
        <f aca="false">SQRT(SUMSQ(2_Matriz_decision!F5:F675))</f>
        <v>101.202766760598</v>
      </c>
      <c r="G5" s="26" t="n">
        <f aca="false">SQRT(SUMSQ(2_Matriz_decision!G5:G675))</f>
        <v>97.288231559629</v>
      </c>
      <c r="H5" s="26" t="n">
        <f aca="false">SQRT(SUMSQ(2_Matriz_decision!H5:H675))</f>
        <v>78.0704809771273</v>
      </c>
      <c r="I5" s="26" t="n">
        <f aca="false">SQRT(SUMSQ(2_Matriz_decision!I5:I675))</f>
        <v>67.483331275212</v>
      </c>
      <c r="J5" s="26" t="n">
        <f aca="false">SQRT(SUMSQ(2_Matriz_decision!J5:J675))</f>
        <v>85.2291030106501</v>
      </c>
      <c r="K5" s="26" t="n">
        <f aca="false">SQRT(SUMSQ(2_Matriz_decision!K5:K675))</f>
        <v>128.156154748806</v>
      </c>
      <c r="L5" s="26" t="n">
        <f aca="false">SQRT(SUMSQ(2_Matriz_decision!L5:L675))</f>
        <v>74.7865642077506</v>
      </c>
      <c r="M5" s="26" t="n">
        <f aca="false">SQRT(SUMSQ(2_Matriz_decision!M5:M675))</f>
        <v>90.5227218768857</v>
      </c>
      <c r="N5" s="26" t="n">
        <f aca="false">SQRT(SUMSQ(2_Matriz_decision!N5:N675))</f>
        <v>89.2076229926569</v>
      </c>
      <c r="O5" s="26" t="n">
        <f aca="false">SQRT(SUMSQ(2_Matriz_decision!O5:O675))</f>
        <v>32.8481354113137</v>
      </c>
      <c r="P5" s="26" t="n">
        <f aca="false">SQRT(SUMSQ(2_Matriz_decision!P5:P675))</f>
        <v>37.7756535350482</v>
      </c>
      <c r="Q5" s="26" t="n">
        <f aca="false">SQRT(SUMSQ(2_Matriz_decision!Q5:Q675))</f>
        <v>74.6860093993514</v>
      </c>
    </row>
    <row r="6" customFormat="false" ht="15" hidden="false" customHeight="false" outlineLevel="0" collapsed="false">
      <c r="A6" s="15" t="n">
        <f aca="false">2_Matriz_decision!A5</f>
        <v>1</v>
      </c>
      <c r="B6" s="16" t="n">
        <f aca="false">2_Matriz_decision!B5</f>
        <v>0</v>
      </c>
      <c r="C6" s="21" t="n">
        <f aca="false">2_Matriz_decision!C5/C$5</f>
        <v>0.00879394903078847</v>
      </c>
      <c r="D6" s="21" t="n">
        <f aca="false">2_Matriz_decision!D5/D$5</f>
        <v>0.0334918645582358</v>
      </c>
      <c r="E6" s="21" t="n">
        <f aca="false">2_Matriz_decision!E5/E$5</f>
        <v>0.0200360974925215</v>
      </c>
      <c r="F6" s="21" t="n">
        <f aca="false">2_Matriz_decision!F5/F$5</f>
        <v>0.0395246111152501</v>
      </c>
      <c r="G6" s="21" t="n">
        <f aca="false">2_Matriz_decision!G5/G$5</f>
        <v>0.0308362065165227</v>
      </c>
      <c r="H6" s="21" t="n">
        <f aca="false">2_Matriz_decision!H5/H$5</f>
        <v>0.0640446931723768</v>
      </c>
      <c r="I6" s="21" t="n">
        <f aca="false">2_Matriz_decision!I5/I$5</f>
        <v>0.0148184741491462</v>
      </c>
      <c r="J6" s="21" t="n">
        <f aca="false">2_Matriz_decision!J5/J$5</f>
        <v>0.0469323254463932</v>
      </c>
      <c r="K6" s="21" t="n">
        <f aca="false">2_Matriz_decision!K5/K$5</f>
        <v>0.039014903418414</v>
      </c>
      <c r="L6" s="21" t="n">
        <f aca="false">2_Matriz_decision!L5/L$5</f>
        <v>0.0338028632118656</v>
      </c>
      <c r="M6" s="21" t="n">
        <f aca="false">2_Matriz_decision!M5/M$5</f>
        <v>0.0441878007760322</v>
      </c>
      <c r="N6" s="21" t="n">
        <f aca="false">2_Matriz_decision!N5/N$5</f>
        <v>0.0112098043469034</v>
      </c>
      <c r="O6" s="21" t="n">
        <f aca="false">2_Matriz_decision!O5/O$5</f>
        <v>0.0304431282773992</v>
      </c>
      <c r="P6" s="21" t="n">
        <f aca="false">2_Matriz_decision!P5/P$5</f>
        <v>0.0264720767589686</v>
      </c>
      <c r="Q6" s="21" t="n">
        <f aca="false">2_Matriz_decision!Q5/Q$5</f>
        <v>0.0133893885620924</v>
      </c>
    </row>
    <row r="7" customFormat="false" ht="15" hidden="false" customHeight="false" outlineLevel="0" collapsed="false">
      <c r="A7" s="15" t="n">
        <f aca="false">2_Matriz_decision!A6</f>
        <v>2</v>
      </c>
      <c r="B7" s="16" t="n">
        <f aca="false">2_Matriz_decision!B6</f>
        <v>0.057</v>
      </c>
      <c r="C7" s="21" t="n">
        <f aca="false">2_Matriz_decision!C6/C$5</f>
        <v>0.00879394903078847</v>
      </c>
      <c r="D7" s="21" t="n">
        <f aca="false">2_Matriz_decision!D6/D$5</f>
        <v>0.0334918645582358</v>
      </c>
      <c r="E7" s="21" t="n">
        <f aca="false">2_Matriz_decision!E6/E$5</f>
        <v>0.0200360974925215</v>
      </c>
      <c r="F7" s="21" t="n">
        <f aca="false">2_Matriz_decision!F6/F$5</f>
        <v>0.0395246111152501</v>
      </c>
      <c r="G7" s="21" t="n">
        <f aca="false">2_Matriz_decision!G6/G$5</f>
        <v>0.0308362065165227</v>
      </c>
      <c r="H7" s="21" t="n">
        <f aca="false">2_Matriz_decision!H6/H$5</f>
        <v>0.0640446931723768</v>
      </c>
      <c r="I7" s="21" t="n">
        <f aca="false">2_Matriz_decision!I6/I$5</f>
        <v>0.0148184741491462</v>
      </c>
      <c r="J7" s="21" t="n">
        <f aca="false">2_Matriz_decision!J6/J$5</f>
        <v>0.0469323254463932</v>
      </c>
      <c r="K7" s="21" t="n">
        <f aca="false">2_Matriz_decision!K6/K$5</f>
        <v>0.039014903418414</v>
      </c>
      <c r="L7" s="21" t="n">
        <f aca="false">2_Matriz_decision!L6/L$5</f>
        <v>0.0322517824632199</v>
      </c>
      <c r="M7" s="21" t="n">
        <f aca="false">2_Matriz_decision!M6/M$5</f>
        <v>0.0441878007760322</v>
      </c>
      <c r="N7" s="21" t="n">
        <f aca="false">2_Matriz_decision!N6/N$5</f>
        <v>0.0112098043469034</v>
      </c>
      <c r="O7" s="21" t="n">
        <f aca="false">2_Matriz_decision!O6/O$5</f>
        <v>0.0304431282773992</v>
      </c>
      <c r="P7" s="21" t="n">
        <f aca="false">2_Matriz_decision!P6/P$5</f>
        <v>0.0264720767589686</v>
      </c>
      <c r="Q7" s="21" t="n">
        <f aca="false">2_Matriz_decision!Q6/Q$5</f>
        <v>0.0133893885620924</v>
      </c>
    </row>
    <row r="8" customFormat="false" ht="15" hidden="false" customHeight="false" outlineLevel="0" collapsed="false">
      <c r="A8" s="15" t="n">
        <f aca="false">2_Matriz_decision!A7</f>
        <v>3</v>
      </c>
      <c r="B8" s="16" t="n">
        <f aca="false">2_Matriz_decision!B7</f>
        <v>0.182</v>
      </c>
      <c r="C8" s="21" t="n">
        <f aca="false">2_Matriz_decision!C7/C$5</f>
        <v>0.00879394903078847</v>
      </c>
      <c r="D8" s="21" t="n">
        <f aca="false">2_Matriz_decision!D7/D$5</f>
        <v>0.0334918645582358</v>
      </c>
      <c r="E8" s="21" t="n">
        <f aca="false">2_Matriz_decision!E7/E$5</f>
        <v>0.0400721949850431</v>
      </c>
      <c r="F8" s="21" t="n">
        <f aca="false">2_Matriz_decision!F7/F$5</f>
        <v>0.0395246111152501</v>
      </c>
      <c r="G8" s="21" t="n">
        <f aca="false">2_Matriz_decision!G7/G$5</f>
        <v>0.0308362065165227</v>
      </c>
      <c r="H8" s="21" t="n">
        <f aca="false">2_Matriz_decision!H7/H$5</f>
        <v>0.0640446931723768</v>
      </c>
      <c r="I8" s="21" t="n">
        <f aca="false">2_Matriz_decision!I7/I$5</f>
        <v>0.0148184741491462</v>
      </c>
      <c r="J8" s="21" t="n">
        <f aca="false">2_Matriz_decision!J7/J$5</f>
        <v>0.0469323254463932</v>
      </c>
      <c r="K8" s="21" t="n">
        <f aca="false">2_Matriz_decision!K7/K$5</f>
        <v>0.039014903418414</v>
      </c>
      <c r="L8" s="21" t="n">
        <f aca="false">2_Matriz_decision!L7/L$5</f>
        <v>0.0293501917523913</v>
      </c>
      <c r="M8" s="21" t="n">
        <f aca="false">2_Matriz_decision!M7/M$5</f>
        <v>0.0441878007760322</v>
      </c>
      <c r="N8" s="21" t="n">
        <f aca="false">2_Matriz_decision!N7/N$5</f>
        <v>0.0112098043469034</v>
      </c>
      <c r="O8" s="21" t="n">
        <f aca="false">2_Matriz_decision!O7/O$5</f>
        <v>0.0304431282773992</v>
      </c>
      <c r="P8" s="21" t="n">
        <f aca="false">2_Matriz_decision!P7/P$5</f>
        <v>0.0264720767589686</v>
      </c>
      <c r="Q8" s="21" t="n">
        <f aca="false">2_Matriz_decision!Q7/Q$5</f>
        <v>0.0133893885620924</v>
      </c>
    </row>
    <row r="9" customFormat="false" ht="15" hidden="false" customHeight="false" outlineLevel="0" collapsed="false">
      <c r="A9" s="15" t="n">
        <f aca="false">2_Matriz_decision!A8</f>
        <v>4</v>
      </c>
      <c r="B9" s="16" t="n">
        <f aca="false">2_Matriz_decision!B8</f>
        <v>0.323</v>
      </c>
      <c r="C9" s="21" t="n">
        <f aca="false">2_Matriz_decision!C8/C$5</f>
        <v>0.00879394903078847</v>
      </c>
      <c r="D9" s="21" t="n">
        <f aca="false">2_Matriz_decision!D8/D$5</f>
        <v>0.0334918645582358</v>
      </c>
      <c r="E9" s="21" t="n">
        <f aca="false">2_Matriz_decision!E8/E$5</f>
        <v>0.0400721949850431</v>
      </c>
      <c r="F9" s="21" t="n">
        <f aca="false">2_Matriz_decision!F8/F$5</f>
        <v>0.0395246111152501</v>
      </c>
      <c r="G9" s="21" t="n">
        <f aca="false">2_Matriz_decision!G8/G$5</f>
        <v>0.0308362065165227</v>
      </c>
      <c r="H9" s="21" t="n">
        <f aca="false">2_Matriz_decision!H8/H$5</f>
        <v>0.0640446931723768</v>
      </c>
      <c r="I9" s="21" t="n">
        <f aca="false">2_Matriz_decision!I8/I$5</f>
        <v>0.0148184741491462</v>
      </c>
      <c r="J9" s="21" t="n">
        <f aca="false">2_Matriz_decision!J8/J$5</f>
        <v>0.0469323254463932</v>
      </c>
      <c r="K9" s="21" t="n">
        <f aca="false">2_Matriz_decision!K8/K$5</f>
        <v>0.039014903418414</v>
      </c>
      <c r="L9" s="21" t="n">
        <f aca="false">2_Matriz_decision!L8/L$5</f>
        <v>0.0292432206662778</v>
      </c>
      <c r="M9" s="21" t="n">
        <f aca="false">2_Matriz_decision!M8/M$5</f>
        <v>0.0441878007760322</v>
      </c>
      <c r="N9" s="21" t="n">
        <f aca="false">2_Matriz_decision!N8/N$5</f>
        <v>0.0112098043469034</v>
      </c>
      <c r="O9" s="21" t="n">
        <f aca="false">2_Matriz_decision!O8/O$5</f>
        <v>0.0304431282773992</v>
      </c>
      <c r="P9" s="21" t="n">
        <f aca="false">2_Matriz_decision!P8/P$5</f>
        <v>0.0264720767589686</v>
      </c>
      <c r="Q9" s="21" t="n">
        <f aca="false">2_Matriz_decision!Q8/Q$5</f>
        <v>0.0133893885620924</v>
      </c>
    </row>
    <row r="10" customFormat="false" ht="15" hidden="false" customHeight="false" outlineLevel="0" collapsed="false">
      <c r="A10" s="15" t="n">
        <f aca="false">2_Matriz_decision!A9</f>
        <v>5</v>
      </c>
      <c r="B10" s="16" t="n">
        <f aca="false">2_Matriz_decision!B9</f>
        <v>0.529</v>
      </c>
      <c r="C10" s="21" t="n">
        <f aca="false">2_Matriz_decision!C9/C$5</f>
        <v>0.00879394903078847</v>
      </c>
      <c r="D10" s="21" t="n">
        <f aca="false">2_Matriz_decision!D9/D$5</f>
        <v>0.0334918645582358</v>
      </c>
      <c r="E10" s="21" t="n">
        <f aca="false">2_Matriz_decision!E9/E$5</f>
        <v>0.0400721949850431</v>
      </c>
      <c r="F10" s="21" t="n">
        <f aca="false">2_Matriz_decision!F9/F$5</f>
        <v>0.0395246111152501</v>
      </c>
      <c r="G10" s="21" t="n">
        <f aca="false">2_Matriz_decision!G9/G$5</f>
        <v>0.0308362065165227</v>
      </c>
      <c r="H10" s="21" t="n">
        <f aca="false">2_Matriz_decision!H9/H$5</f>
        <v>0.0640446931723768</v>
      </c>
      <c r="I10" s="21" t="n">
        <f aca="false">2_Matriz_decision!I9/I$5</f>
        <v>0.0148184741491462</v>
      </c>
      <c r="J10" s="21" t="n">
        <f aca="false">2_Matriz_decision!J9/J$5</f>
        <v>0.0469323254463932</v>
      </c>
      <c r="K10" s="21" t="n">
        <f aca="false">2_Matriz_decision!K9/K$5</f>
        <v>0.039014903418414</v>
      </c>
      <c r="L10" s="21" t="n">
        <f aca="false">2_Matriz_decision!L9/L$5</f>
        <v>0.0315564704034822</v>
      </c>
      <c r="M10" s="21" t="n">
        <f aca="false">2_Matriz_decision!M9/M$5</f>
        <v>0.0441878007760322</v>
      </c>
      <c r="N10" s="21" t="n">
        <f aca="false">2_Matriz_decision!N9/N$5</f>
        <v>0.0112098043469034</v>
      </c>
      <c r="O10" s="21" t="n">
        <f aca="false">2_Matriz_decision!O9/O$5</f>
        <v>0.0304431282773992</v>
      </c>
      <c r="P10" s="21" t="n">
        <f aca="false">2_Matriz_decision!P9/P$5</f>
        <v>0.0264720767589686</v>
      </c>
      <c r="Q10" s="21" t="n">
        <f aca="false">2_Matriz_decision!Q9/Q$5</f>
        <v>0.0133893885620924</v>
      </c>
    </row>
    <row r="11" customFormat="false" ht="15" hidden="false" customHeight="false" outlineLevel="0" collapsed="false">
      <c r="A11" s="15" t="n">
        <f aca="false">2_Matriz_decision!A10</f>
        <v>6</v>
      </c>
      <c r="B11" s="16" t="n">
        <f aca="false">2_Matriz_decision!B10</f>
        <v>0.714</v>
      </c>
      <c r="C11" s="21" t="n">
        <f aca="false">2_Matriz_decision!C10/C$5</f>
        <v>0.00879394903078847</v>
      </c>
      <c r="D11" s="21" t="n">
        <f aca="false">2_Matriz_decision!D10/D$5</f>
        <v>0.0334918645582358</v>
      </c>
      <c r="E11" s="21" t="n">
        <f aca="false">2_Matriz_decision!E10/E$5</f>
        <v>0.0400721949850431</v>
      </c>
      <c r="F11" s="21" t="n">
        <f aca="false">2_Matriz_decision!F10/F$5</f>
        <v>0.0395246111152501</v>
      </c>
      <c r="G11" s="21" t="n">
        <f aca="false">2_Matriz_decision!G10/G$5</f>
        <v>0.0308362065165227</v>
      </c>
      <c r="H11" s="21" t="n">
        <f aca="false">2_Matriz_decision!H10/H$5</f>
        <v>0.0640446931723768</v>
      </c>
      <c r="I11" s="21" t="n">
        <f aca="false">2_Matriz_decision!I10/I$5</f>
        <v>0.0148184741491462</v>
      </c>
      <c r="J11" s="21" t="n">
        <f aca="false">2_Matriz_decision!J10/J$5</f>
        <v>0.0469323254463932</v>
      </c>
      <c r="K11" s="21" t="n">
        <f aca="false">2_Matriz_decision!K10/K$5</f>
        <v>0.039014903418414</v>
      </c>
      <c r="L11" s="21" t="n">
        <f aca="false">2_Matriz_decision!L10/L$5</f>
        <v>0.0337092635115163</v>
      </c>
      <c r="M11" s="21" t="n">
        <f aca="false">2_Matriz_decision!M10/M$5</f>
        <v>0.0441878007760322</v>
      </c>
      <c r="N11" s="21" t="n">
        <f aca="false">2_Matriz_decision!N10/N$5</f>
        <v>0.0112098043469034</v>
      </c>
      <c r="O11" s="21" t="n">
        <f aca="false">2_Matriz_decision!O10/O$5</f>
        <v>0.0304431282773992</v>
      </c>
      <c r="P11" s="21" t="n">
        <f aca="false">2_Matriz_decision!P10/P$5</f>
        <v>0.0264720767589686</v>
      </c>
      <c r="Q11" s="21" t="n">
        <f aca="false">2_Matriz_decision!Q10/Q$5</f>
        <v>0.0133893885620924</v>
      </c>
    </row>
    <row r="12" customFormat="false" ht="15" hidden="false" customHeight="false" outlineLevel="0" collapsed="false">
      <c r="A12" s="15" t="n">
        <f aca="false">2_Matriz_decision!A11</f>
        <v>7</v>
      </c>
      <c r="B12" s="16" t="n">
        <f aca="false">2_Matriz_decision!B11</f>
        <v>0.891</v>
      </c>
      <c r="C12" s="21" t="n">
        <f aca="false">2_Matriz_decision!C11/C$5</f>
        <v>0.00879394903078847</v>
      </c>
      <c r="D12" s="21" t="n">
        <f aca="false">2_Matriz_decision!D11/D$5</f>
        <v>0.0334918645582358</v>
      </c>
      <c r="E12" s="21" t="n">
        <f aca="false">2_Matriz_decision!E11/E$5</f>
        <v>0.0400721949850431</v>
      </c>
      <c r="F12" s="21" t="n">
        <f aca="false">2_Matriz_decision!F11/F$5</f>
        <v>0.0395246111152501</v>
      </c>
      <c r="G12" s="21" t="n">
        <f aca="false">2_Matriz_decision!G11/G$5</f>
        <v>0.0308362065165227</v>
      </c>
      <c r="H12" s="21" t="n">
        <f aca="false">2_Matriz_decision!H11/H$5</f>
        <v>0.0640446931723768</v>
      </c>
      <c r="I12" s="21" t="n">
        <f aca="false">2_Matriz_decision!I11/I$5</f>
        <v>0.0148184741491462</v>
      </c>
      <c r="J12" s="21" t="n">
        <f aca="false">2_Matriz_decision!J11/J$5</f>
        <v>0.0469323254463932</v>
      </c>
      <c r="K12" s="21" t="n">
        <f aca="false">2_Matriz_decision!K11/K$5</f>
        <v>0.039014903418414</v>
      </c>
      <c r="L12" s="21" t="n">
        <f aca="false">2_Matriz_decision!L11/L$5</f>
        <v>0.0380817066564056</v>
      </c>
      <c r="M12" s="21" t="n">
        <f aca="false">2_Matriz_decision!M11/M$5</f>
        <v>0.0441878007760322</v>
      </c>
      <c r="N12" s="21" t="n">
        <f aca="false">2_Matriz_decision!N11/N$5</f>
        <v>0.0112098043469034</v>
      </c>
      <c r="O12" s="21" t="n">
        <f aca="false">2_Matriz_decision!O11/O$5</f>
        <v>0.0304431282773992</v>
      </c>
      <c r="P12" s="21" t="n">
        <f aca="false">2_Matriz_decision!P11/P$5</f>
        <v>0.0264720767589686</v>
      </c>
      <c r="Q12" s="21" t="n">
        <f aca="false">2_Matriz_decision!Q11/Q$5</f>
        <v>0.0133893885620924</v>
      </c>
    </row>
    <row r="13" customFormat="false" ht="15" hidden="false" customHeight="false" outlineLevel="0" collapsed="false">
      <c r="A13" s="15" t="n">
        <f aca="false">2_Matriz_decision!A12</f>
        <v>8</v>
      </c>
      <c r="B13" s="16" t="n">
        <f aca="false">2_Matriz_decision!B12</f>
        <v>1.036</v>
      </c>
      <c r="C13" s="21" t="n">
        <f aca="false">2_Matriz_decision!C12/C$5</f>
        <v>0.00879394903078847</v>
      </c>
      <c r="D13" s="21" t="n">
        <f aca="false">2_Matriz_decision!D12/D$5</f>
        <v>0.0334918645582358</v>
      </c>
      <c r="E13" s="21" t="n">
        <f aca="false">2_Matriz_decision!E12/E$5</f>
        <v>0.0400721949850431</v>
      </c>
      <c r="F13" s="21" t="n">
        <f aca="false">2_Matriz_decision!F12/F$5</f>
        <v>0.0395246111152501</v>
      </c>
      <c r="G13" s="21" t="n">
        <f aca="false">2_Matriz_decision!G12/G$5</f>
        <v>0.0308362065165227</v>
      </c>
      <c r="H13" s="21" t="n">
        <f aca="false">2_Matriz_decision!H12/H$5</f>
        <v>0.0640446931723768</v>
      </c>
      <c r="I13" s="21" t="n">
        <f aca="false">2_Matriz_decision!I12/I$5</f>
        <v>0.0148184741491462</v>
      </c>
      <c r="J13" s="21" t="n">
        <f aca="false">2_Matriz_decision!J12/J$5</f>
        <v>0.0469323254463932</v>
      </c>
      <c r="K13" s="21" t="n">
        <f aca="false">2_Matriz_decision!K12/K$5</f>
        <v>0.039014903418414</v>
      </c>
      <c r="L13" s="21" t="n">
        <f aca="false">2_Matriz_decision!L12/L$5</f>
        <v>0.0397130157196365</v>
      </c>
      <c r="M13" s="21" t="n">
        <f aca="false">2_Matriz_decision!M12/M$5</f>
        <v>0.0441878007760322</v>
      </c>
      <c r="N13" s="21" t="n">
        <f aca="false">2_Matriz_decision!N12/N$5</f>
        <v>0.0112098043469034</v>
      </c>
      <c r="O13" s="21" t="n">
        <f aca="false">2_Matriz_decision!O12/O$5</f>
        <v>0.0304431282773992</v>
      </c>
      <c r="P13" s="21" t="n">
        <f aca="false">2_Matriz_decision!P12/P$5</f>
        <v>0.0264720767589686</v>
      </c>
      <c r="Q13" s="21" t="n">
        <f aca="false">2_Matriz_decision!Q12/Q$5</f>
        <v>0.0133893885620924</v>
      </c>
    </row>
    <row r="14" customFormat="false" ht="15" hidden="false" customHeight="false" outlineLevel="0" collapsed="false">
      <c r="A14" s="15" t="n">
        <f aca="false">2_Matriz_decision!A13</f>
        <v>9</v>
      </c>
      <c r="B14" s="16" t="n">
        <f aca="false">2_Matriz_decision!B13</f>
        <v>1.155</v>
      </c>
      <c r="C14" s="21" t="n">
        <f aca="false">2_Matriz_decision!C13/C$5</f>
        <v>0.00879394903078847</v>
      </c>
      <c r="D14" s="21" t="n">
        <f aca="false">2_Matriz_decision!D13/D$5</f>
        <v>0.0418648306977948</v>
      </c>
      <c r="E14" s="21" t="n">
        <f aca="false">2_Matriz_decision!E13/E$5</f>
        <v>0.0400721949850431</v>
      </c>
      <c r="F14" s="21" t="n">
        <f aca="false">2_Matriz_decision!F13/F$5</f>
        <v>0.0395246111152501</v>
      </c>
      <c r="G14" s="21" t="n">
        <f aca="false">2_Matriz_decision!G13/G$5</f>
        <v>0.0308362065165227</v>
      </c>
      <c r="H14" s="21" t="n">
        <f aca="false">2_Matriz_decision!H13/H$5</f>
        <v>0.0640446931723768</v>
      </c>
      <c r="I14" s="21" t="n">
        <f aca="false">2_Matriz_decision!I13/I$5</f>
        <v>0.0148184741491462</v>
      </c>
      <c r="J14" s="21" t="n">
        <f aca="false">2_Matriz_decision!J13/J$5</f>
        <v>0.0469323254463932</v>
      </c>
      <c r="K14" s="21" t="n">
        <f aca="false">2_Matriz_decision!K13/K$5</f>
        <v>0.039014903418414</v>
      </c>
      <c r="L14" s="21" t="n">
        <f aca="false">2_Matriz_decision!L13/L$5</f>
        <v>0.0410100401387626</v>
      </c>
      <c r="M14" s="21" t="n">
        <f aca="false">2_Matriz_decision!M13/M$5</f>
        <v>0.0441878007760322</v>
      </c>
      <c r="N14" s="21" t="n">
        <f aca="false">2_Matriz_decision!N13/N$5</f>
        <v>0.0112098043469034</v>
      </c>
      <c r="O14" s="21" t="n">
        <f aca="false">2_Matriz_decision!O13/O$5</f>
        <v>0.0304431282773992</v>
      </c>
      <c r="P14" s="21" t="n">
        <f aca="false">2_Matriz_decision!P13/P$5</f>
        <v>0.0264720767589686</v>
      </c>
      <c r="Q14" s="21" t="n">
        <f aca="false">2_Matriz_decision!Q13/Q$5</f>
        <v>0.0133893885620924</v>
      </c>
    </row>
    <row r="15" customFormat="false" ht="15" hidden="false" customHeight="false" outlineLevel="0" collapsed="false">
      <c r="A15" s="15" t="n">
        <f aca="false">2_Matriz_decision!A14</f>
        <v>10</v>
      </c>
      <c r="B15" s="16" t="n">
        <f aca="false">2_Matriz_decision!B14</f>
        <v>1.265</v>
      </c>
      <c r="C15" s="21" t="n">
        <f aca="false">2_Matriz_decision!C14/C$5</f>
        <v>0.00879394903078847</v>
      </c>
      <c r="D15" s="21" t="n">
        <f aca="false">2_Matriz_decision!D14/D$5</f>
        <v>0.0418648306977948</v>
      </c>
      <c r="E15" s="21" t="n">
        <f aca="false">2_Matriz_decision!E14/E$5</f>
        <v>0.0400721949850431</v>
      </c>
      <c r="F15" s="21" t="n">
        <f aca="false">2_Matriz_decision!F14/F$5</f>
        <v>0.0395246111152501</v>
      </c>
      <c r="G15" s="21" t="n">
        <f aca="false">2_Matriz_decision!G14/G$5</f>
        <v>0.0308362065165227</v>
      </c>
      <c r="H15" s="21" t="n">
        <f aca="false">2_Matriz_decision!H14/H$5</f>
        <v>0.0640446931723768</v>
      </c>
      <c r="I15" s="21" t="n">
        <f aca="false">2_Matriz_decision!I14/I$5</f>
        <v>0.0148184741491462</v>
      </c>
      <c r="J15" s="21" t="n">
        <f aca="false">2_Matriz_decision!J14/J$5</f>
        <v>0.0469323254463932</v>
      </c>
      <c r="K15" s="21" t="n">
        <f aca="false">2_Matriz_decision!K14/K$5</f>
        <v>0.039014903418414</v>
      </c>
      <c r="L15" s="21" t="n">
        <f aca="false">2_Matriz_decision!L14/L$5</f>
        <v>0.040822840738064</v>
      </c>
      <c r="M15" s="21" t="n">
        <f aca="false">2_Matriz_decision!M14/M$5</f>
        <v>0.0441878007760322</v>
      </c>
      <c r="N15" s="21" t="n">
        <f aca="false">2_Matriz_decision!N14/N$5</f>
        <v>0.0112098043469034</v>
      </c>
      <c r="O15" s="21" t="n">
        <f aca="false">2_Matriz_decision!O14/O$5</f>
        <v>0.0304431282773992</v>
      </c>
      <c r="P15" s="21" t="n">
        <f aca="false">2_Matriz_decision!P14/P$5</f>
        <v>0.0264720767589686</v>
      </c>
      <c r="Q15" s="21" t="n">
        <f aca="false">2_Matriz_decision!Q14/Q$5</f>
        <v>0.0133893885620924</v>
      </c>
    </row>
    <row r="16" customFormat="false" ht="15" hidden="false" customHeight="false" outlineLevel="0" collapsed="false">
      <c r="A16" s="15" t="n">
        <f aca="false">2_Matriz_decision!A15</f>
        <v>11</v>
      </c>
      <c r="B16" s="16" t="n">
        <f aca="false">2_Matriz_decision!B15</f>
        <v>1.371</v>
      </c>
      <c r="C16" s="21" t="n">
        <f aca="false">2_Matriz_decision!C15/C$5</f>
        <v>0.00879394903078847</v>
      </c>
      <c r="D16" s="21" t="n">
        <f aca="false">2_Matriz_decision!D15/D$5</f>
        <v>0.0418648306977948</v>
      </c>
      <c r="E16" s="21" t="n">
        <f aca="false">2_Matriz_decision!E15/E$5</f>
        <v>0.0400721949850431</v>
      </c>
      <c r="F16" s="21" t="n">
        <f aca="false">2_Matriz_decision!F15/F$5</f>
        <v>0.0395246111152501</v>
      </c>
      <c r="G16" s="21" t="n">
        <f aca="false">2_Matriz_decision!G15/G$5</f>
        <v>0.0308362065165227</v>
      </c>
      <c r="H16" s="21" t="n">
        <f aca="false">2_Matriz_decision!H15/H$5</f>
        <v>0.0640446931723768</v>
      </c>
      <c r="I16" s="21" t="n">
        <f aca="false">2_Matriz_decision!I15/I$5</f>
        <v>0.0148184741491462</v>
      </c>
      <c r="J16" s="21" t="n">
        <f aca="false">2_Matriz_decision!J15/J$5</f>
        <v>0.0469323254463932</v>
      </c>
      <c r="K16" s="21" t="n">
        <f aca="false">2_Matriz_decision!K15/K$5</f>
        <v>0.039014903418414</v>
      </c>
      <c r="L16" s="21" t="n">
        <f aca="false">2_Matriz_decision!L15/L$5</f>
        <v>0.0409832973672343</v>
      </c>
      <c r="M16" s="21" t="n">
        <f aca="false">2_Matriz_decision!M15/M$5</f>
        <v>0.0441878007760322</v>
      </c>
      <c r="N16" s="21" t="n">
        <f aca="false">2_Matriz_decision!N15/N$5</f>
        <v>0.0112098043469034</v>
      </c>
      <c r="O16" s="21" t="n">
        <f aca="false">2_Matriz_decision!O15/O$5</f>
        <v>0.0304431282773992</v>
      </c>
      <c r="P16" s="21" t="n">
        <f aca="false">2_Matriz_decision!P15/P$5</f>
        <v>0.0264720767589686</v>
      </c>
      <c r="Q16" s="21" t="n">
        <f aca="false">2_Matriz_decision!Q15/Q$5</f>
        <v>0.0133893885620924</v>
      </c>
    </row>
    <row r="17" customFormat="false" ht="15" hidden="false" customHeight="false" outlineLevel="0" collapsed="false">
      <c r="A17" s="15" t="n">
        <f aca="false">2_Matriz_decision!A16</f>
        <v>12</v>
      </c>
      <c r="B17" s="16" t="n">
        <f aca="false">2_Matriz_decision!B16</f>
        <v>1.474</v>
      </c>
      <c r="C17" s="21" t="n">
        <f aca="false">2_Matriz_decision!C16/C$5</f>
        <v>0.00879394903078847</v>
      </c>
      <c r="D17" s="21" t="n">
        <f aca="false">2_Matriz_decision!D16/D$5</f>
        <v>0.0418648306977948</v>
      </c>
      <c r="E17" s="21" t="n">
        <f aca="false">2_Matriz_decision!E16/E$5</f>
        <v>0.0400721949850431</v>
      </c>
      <c r="F17" s="21" t="n">
        <f aca="false">2_Matriz_decision!F16/F$5</f>
        <v>0.0395246111152501</v>
      </c>
      <c r="G17" s="21" t="n">
        <f aca="false">2_Matriz_decision!G16/G$5</f>
        <v>0.0308362065165227</v>
      </c>
      <c r="H17" s="21" t="n">
        <f aca="false">2_Matriz_decision!H16/H$5</f>
        <v>0.0640446931723768</v>
      </c>
      <c r="I17" s="21" t="n">
        <f aca="false">2_Matriz_decision!I16/I$5</f>
        <v>0.0148184741491462</v>
      </c>
      <c r="J17" s="21" t="n">
        <f aca="false">2_Matriz_decision!J16/J$5</f>
        <v>0.0469323254463932</v>
      </c>
      <c r="K17" s="21" t="n">
        <f aca="false">2_Matriz_decision!K16/K$5</f>
        <v>0.039014903418414</v>
      </c>
      <c r="L17" s="21" t="n">
        <f aca="false">2_Matriz_decision!L16/L$5</f>
        <v>0.0410234115245268</v>
      </c>
      <c r="M17" s="21" t="n">
        <f aca="false">2_Matriz_decision!M16/M$5</f>
        <v>0.0441878007760322</v>
      </c>
      <c r="N17" s="21" t="n">
        <f aca="false">2_Matriz_decision!N16/N$5</f>
        <v>0.0112098043469034</v>
      </c>
      <c r="O17" s="21" t="n">
        <f aca="false">2_Matriz_decision!O16/O$5</f>
        <v>0.0304431282773992</v>
      </c>
      <c r="P17" s="21" t="n">
        <f aca="false">2_Matriz_decision!P16/P$5</f>
        <v>0.0264720767589686</v>
      </c>
      <c r="Q17" s="21" t="n">
        <f aca="false">2_Matriz_decision!Q16/Q$5</f>
        <v>0.0133893885620924</v>
      </c>
    </row>
    <row r="18" customFormat="false" ht="15" hidden="false" customHeight="false" outlineLevel="0" collapsed="false">
      <c r="A18" s="15" t="n">
        <f aca="false">2_Matriz_decision!A17</f>
        <v>13</v>
      </c>
      <c r="B18" s="16" t="n">
        <f aca="false">2_Matriz_decision!B17</f>
        <v>1.577</v>
      </c>
      <c r="C18" s="21" t="n">
        <f aca="false">2_Matriz_decision!C17/C$5</f>
        <v>0.00879394903078847</v>
      </c>
      <c r="D18" s="21" t="n">
        <f aca="false">2_Matriz_decision!D17/D$5</f>
        <v>0.0418648306977948</v>
      </c>
      <c r="E18" s="21" t="n">
        <f aca="false">2_Matriz_decision!E17/E$5</f>
        <v>0.0400721949850431</v>
      </c>
      <c r="F18" s="21" t="n">
        <f aca="false">2_Matriz_decision!F17/F$5</f>
        <v>0.0296434583364376</v>
      </c>
      <c r="G18" s="21" t="n">
        <f aca="false">2_Matriz_decision!G17/G$5</f>
        <v>0.0308362065165227</v>
      </c>
      <c r="H18" s="21" t="n">
        <f aca="false">2_Matriz_decision!H17/H$5</f>
        <v>0.0640446931723768</v>
      </c>
      <c r="I18" s="21" t="n">
        <f aca="false">2_Matriz_decision!I17/I$5</f>
        <v>0.0148184741491462</v>
      </c>
      <c r="J18" s="21" t="n">
        <f aca="false">2_Matriz_decision!J17/J$5</f>
        <v>0.0469323254463932</v>
      </c>
      <c r="K18" s="21" t="n">
        <f aca="false">2_Matriz_decision!K17/K$5</f>
        <v>0.039014903418414</v>
      </c>
      <c r="L18" s="21" t="n">
        <f aca="false">2_Matriz_decision!L17/L$5</f>
        <v>0.0410902684533478</v>
      </c>
      <c r="M18" s="21" t="n">
        <f aca="false">2_Matriz_decision!M17/M$5</f>
        <v>0.0441878007760322</v>
      </c>
      <c r="N18" s="21" t="n">
        <f aca="false">2_Matriz_decision!N17/N$5</f>
        <v>0.0112098043469034</v>
      </c>
      <c r="O18" s="21" t="n">
        <f aca="false">2_Matriz_decision!O17/O$5</f>
        <v>0.0304431282773992</v>
      </c>
      <c r="P18" s="21" t="n">
        <f aca="false">2_Matriz_decision!P17/P$5</f>
        <v>0.0264720767589686</v>
      </c>
      <c r="Q18" s="21" t="n">
        <f aca="false">2_Matriz_decision!Q17/Q$5</f>
        <v>0.0133893885620924</v>
      </c>
    </row>
    <row r="19" customFormat="false" ht="15" hidden="false" customHeight="false" outlineLevel="0" collapsed="false">
      <c r="A19" s="15" t="n">
        <f aca="false">2_Matriz_decision!A18</f>
        <v>14</v>
      </c>
      <c r="B19" s="16" t="n">
        <f aca="false">2_Matriz_decision!B18</f>
        <v>1.678</v>
      </c>
      <c r="C19" s="21" t="n">
        <f aca="false">2_Matriz_decision!C18/C$5</f>
        <v>0.00879394903078847</v>
      </c>
      <c r="D19" s="21" t="n">
        <f aca="false">2_Matriz_decision!D18/D$5</f>
        <v>0.0418648306977948</v>
      </c>
      <c r="E19" s="21" t="n">
        <f aca="false">2_Matriz_decision!E18/E$5</f>
        <v>0.0400721949850431</v>
      </c>
      <c r="F19" s="21" t="n">
        <f aca="false">2_Matriz_decision!F18/F$5</f>
        <v>0.0296434583364376</v>
      </c>
      <c r="G19" s="21" t="n">
        <f aca="false">2_Matriz_decision!G18/G$5</f>
        <v>0.0308362065165227</v>
      </c>
      <c r="H19" s="21" t="n">
        <f aca="false">2_Matriz_decision!H18/H$5</f>
        <v>0.0640446931723768</v>
      </c>
      <c r="I19" s="21" t="n">
        <f aca="false">2_Matriz_decision!I18/I$5</f>
        <v>0.0148184741491462</v>
      </c>
      <c r="J19" s="21" t="n">
        <f aca="false">2_Matriz_decision!J18/J$5</f>
        <v>0.0469323254463932</v>
      </c>
      <c r="K19" s="21" t="n">
        <f aca="false">2_Matriz_decision!K18/K$5</f>
        <v>0.039014903418414</v>
      </c>
      <c r="L19" s="21" t="n">
        <f aca="false">2_Matriz_decision!L18/L$5</f>
        <v>0.0408896976668849</v>
      </c>
      <c r="M19" s="21" t="n">
        <f aca="false">2_Matriz_decision!M18/M$5</f>
        <v>0.0441878007760322</v>
      </c>
      <c r="N19" s="21" t="n">
        <f aca="false">2_Matriz_decision!N18/N$5</f>
        <v>0.0112098043469034</v>
      </c>
      <c r="O19" s="21" t="n">
        <f aca="false">2_Matriz_decision!O18/O$5</f>
        <v>0.0304431282773992</v>
      </c>
      <c r="P19" s="21" t="n">
        <f aca="false">2_Matriz_decision!P18/P$5</f>
        <v>0.0264720767589686</v>
      </c>
      <c r="Q19" s="21" t="n">
        <f aca="false">2_Matriz_decision!Q18/Q$5</f>
        <v>0.0133893885620924</v>
      </c>
    </row>
    <row r="20" customFormat="false" ht="15" hidden="false" customHeight="false" outlineLevel="0" collapsed="false">
      <c r="A20" s="15" t="n">
        <f aca="false">2_Matriz_decision!A19</f>
        <v>15</v>
      </c>
      <c r="B20" s="16" t="n">
        <f aca="false">2_Matriz_decision!B19</f>
        <v>1.779</v>
      </c>
      <c r="C20" s="21" t="n">
        <f aca="false">2_Matriz_decision!C19/C$5</f>
        <v>0.00879394903078847</v>
      </c>
      <c r="D20" s="21" t="n">
        <f aca="false">2_Matriz_decision!D19/D$5</f>
        <v>0.0418648306977948</v>
      </c>
      <c r="E20" s="21" t="n">
        <f aca="false">2_Matriz_decision!E19/E$5</f>
        <v>0.0400721949850431</v>
      </c>
      <c r="F20" s="21" t="n">
        <f aca="false">2_Matriz_decision!F19/F$5</f>
        <v>0.0296434583364376</v>
      </c>
      <c r="G20" s="21" t="n">
        <f aca="false">2_Matriz_decision!G19/G$5</f>
        <v>0.0308362065165227</v>
      </c>
      <c r="H20" s="21" t="n">
        <f aca="false">2_Matriz_decision!H19/H$5</f>
        <v>0.0640446931723768</v>
      </c>
      <c r="I20" s="21" t="n">
        <f aca="false">2_Matriz_decision!I19/I$5</f>
        <v>0.0148184741491462</v>
      </c>
      <c r="J20" s="21" t="n">
        <f aca="false">2_Matriz_decision!J19/J$5</f>
        <v>0.0469323254463932</v>
      </c>
      <c r="K20" s="21" t="n">
        <f aca="false">2_Matriz_decision!K19/K$5</f>
        <v>0.039014903418414</v>
      </c>
      <c r="L20" s="21" t="n">
        <f aca="false">2_Matriz_decision!L19/L$5</f>
        <v>0.0404751847081951</v>
      </c>
      <c r="M20" s="21" t="n">
        <f aca="false">2_Matriz_decision!M19/M$5</f>
        <v>0.0441878007760322</v>
      </c>
      <c r="N20" s="21" t="n">
        <f aca="false">2_Matriz_decision!N19/N$5</f>
        <v>0.0112098043469034</v>
      </c>
      <c r="O20" s="21" t="n">
        <f aca="false">2_Matriz_decision!O19/O$5</f>
        <v>0.0304431282773992</v>
      </c>
      <c r="P20" s="21" t="n">
        <f aca="false">2_Matriz_decision!P19/P$5</f>
        <v>0.0264720767589686</v>
      </c>
      <c r="Q20" s="21" t="n">
        <f aca="false">2_Matriz_decision!Q19/Q$5</f>
        <v>0.0133893885620924</v>
      </c>
    </row>
    <row r="21" customFormat="false" ht="15" hidden="false" customHeight="false" outlineLevel="0" collapsed="false">
      <c r="A21" s="15" t="n">
        <f aca="false">2_Matriz_decision!A20</f>
        <v>16</v>
      </c>
      <c r="B21" s="16" t="n">
        <f aca="false">2_Matriz_decision!B20</f>
        <v>1.878</v>
      </c>
      <c r="C21" s="21" t="n">
        <f aca="false">2_Matriz_decision!C20/C$5</f>
        <v>0.00879394903078847</v>
      </c>
      <c r="D21" s="21" t="n">
        <f aca="false">2_Matriz_decision!D20/D$5</f>
        <v>0.0418648306977948</v>
      </c>
      <c r="E21" s="21" t="n">
        <f aca="false">2_Matriz_decision!E20/E$5</f>
        <v>0.0400721949850431</v>
      </c>
      <c r="F21" s="21" t="n">
        <f aca="false">2_Matriz_decision!F20/F$5</f>
        <v>0.0296434583364376</v>
      </c>
      <c r="G21" s="21" t="n">
        <f aca="false">2_Matriz_decision!G20/G$5</f>
        <v>0.0308362065165227</v>
      </c>
      <c r="H21" s="21" t="n">
        <f aca="false">2_Matriz_decision!H20/H$5</f>
        <v>0.0640446931723768</v>
      </c>
      <c r="I21" s="21" t="n">
        <f aca="false">2_Matriz_decision!I20/I$5</f>
        <v>0.0148184741491462</v>
      </c>
      <c r="J21" s="21" t="n">
        <f aca="false">2_Matriz_decision!J20/J$5</f>
        <v>0.0469323254463932</v>
      </c>
      <c r="K21" s="21" t="n">
        <f aca="false">2_Matriz_decision!K20/K$5</f>
        <v>0.039014903418414</v>
      </c>
      <c r="L21" s="21" t="n">
        <f aca="false">2_Matriz_decision!L20/L$5</f>
        <v>0.0404083277793742</v>
      </c>
      <c r="M21" s="21" t="n">
        <f aca="false">2_Matriz_decision!M20/M$5</f>
        <v>0.0441878007760322</v>
      </c>
      <c r="N21" s="21" t="n">
        <f aca="false">2_Matriz_decision!N20/N$5</f>
        <v>0.0112098043469034</v>
      </c>
      <c r="O21" s="21" t="n">
        <f aca="false">2_Matriz_decision!O20/O$5</f>
        <v>0.0304431282773992</v>
      </c>
      <c r="P21" s="21" t="n">
        <f aca="false">2_Matriz_decision!P20/P$5</f>
        <v>0.0264720767589686</v>
      </c>
      <c r="Q21" s="21" t="n">
        <f aca="false">2_Matriz_decision!Q20/Q$5</f>
        <v>0.0133893885620924</v>
      </c>
    </row>
    <row r="22" customFormat="false" ht="15" hidden="false" customHeight="false" outlineLevel="0" collapsed="false">
      <c r="A22" s="15" t="n">
        <f aca="false">2_Matriz_decision!A21</f>
        <v>17</v>
      </c>
      <c r="B22" s="16" t="n">
        <f aca="false">2_Matriz_decision!B21</f>
        <v>1.976</v>
      </c>
      <c r="C22" s="21" t="n">
        <f aca="false">2_Matriz_decision!C21/C$5</f>
        <v>0.00879394903078847</v>
      </c>
      <c r="D22" s="21" t="n">
        <f aca="false">2_Matriz_decision!D21/D$5</f>
        <v>0.0418648306977948</v>
      </c>
      <c r="E22" s="21" t="n">
        <f aca="false">2_Matriz_decision!E21/E$5</f>
        <v>0.0400721949850431</v>
      </c>
      <c r="F22" s="21" t="n">
        <f aca="false">2_Matriz_decision!F21/F$5</f>
        <v>0.0296434583364376</v>
      </c>
      <c r="G22" s="21" t="n">
        <f aca="false">2_Matriz_decision!G21/G$5</f>
        <v>0.0308362065165227</v>
      </c>
      <c r="H22" s="21" t="n">
        <f aca="false">2_Matriz_decision!H21/H$5</f>
        <v>0.0640446931723768</v>
      </c>
      <c r="I22" s="21" t="n">
        <f aca="false">2_Matriz_decision!I21/I$5</f>
        <v>0.0148184741491462</v>
      </c>
      <c r="J22" s="21" t="n">
        <f aca="false">2_Matriz_decision!J21/J$5</f>
        <v>0.0469323254463932</v>
      </c>
      <c r="K22" s="21" t="n">
        <f aca="false">2_Matriz_decision!K21/K$5</f>
        <v>0.039014903418414</v>
      </c>
      <c r="L22" s="21" t="n">
        <f aca="false">2_Matriz_decision!L21/L$5</f>
        <v>0.0404216991651384</v>
      </c>
      <c r="M22" s="21" t="n">
        <f aca="false">2_Matriz_decision!M21/M$5</f>
        <v>0.0441878007760322</v>
      </c>
      <c r="N22" s="21" t="n">
        <f aca="false">2_Matriz_decision!N21/N$5</f>
        <v>0.0112098043469034</v>
      </c>
      <c r="O22" s="21" t="n">
        <f aca="false">2_Matriz_decision!O21/O$5</f>
        <v>0.0304431282773992</v>
      </c>
      <c r="P22" s="21" t="n">
        <f aca="false">2_Matriz_decision!P21/P$5</f>
        <v>0.0264720767589686</v>
      </c>
      <c r="Q22" s="21" t="n">
        <f aca="false">2_Matriz_decision!Q21/Q$5</f>
        <v>0.0133893885620924</v>
      </c>
    </row>
    <row r="23" customFormat="false" ht="15" hidden="false" customHeight="false" outlineLevel="0" collapsed="false">
      <c r="A23" s="15" t="n">
        <f aca="false">2_Matriz_decision!A22</f>
        <v>18</v>
      </c>
      <c r="B23" s="16" t="n">
        <f aca="false">2_Matriz_decision!B22</f>
        <v>2.074</v>
      </c>
      <c r="C23" s="21" t="n">
        <f aca="false">2_Matriz_decision!C22/C$5</f>
        <v>0.00879394903078847</v>
      </c>
      <c r="D23" s="21" t="n">
        <f aca="false">2_Matriz_decision!D22/D$5</f>
        <v>0.0418648306977948</v>
      </c>
      <c r="E23" s="21" t="n">
        <f aca="false">2_Matriz_decision!E22/E$5</f>
        <v>0.0400721949850431</v>
      </c>
      <c r="F23" s="21" t="n">
        <f aca="false">2_Matriz_decision!F22/F$5</f>
        <v>0.0296434583364376</v>
      </c>
      <c r="G23" s="21" t="n">
        <f aca="false">2_Matriz_decision!G22/G$5</f>
        <v>0.0308362065165227</v>
      </c>
      <c r="H23" s="21" t="n">
        <f aca="false">2_Matriz_decision!H22/H$5</f>
        <v>0.0640446931723768</v>
      </c>
      <c r="I23" s="21" t="n">
        <f aca="false">2_Matriz_decision!I22/I$5</f>
        <v>0.0148184741491462</v>
      </c>
      <c r="J23" s="21" t="n">
        <f aca="false">2_Matriz_decision!J22/J$5</f>
        <v>0.0469323254463932</v>
      </c>
      <c r="K23" s="21" t="n">
        <f aca="false">2_Matriz_decision!K22/K$5</f>
        <v>0.039014903418414</v>
      </c>
      <c r="L23" s="21" t="n">
        <f aca="false">2_Matriz_decision!L22/L$5</f>
        <v>0.0402344997644398</v>
      </c>
      <c r="M23" s="21" t="n">
        <f aca="false">2_Matriz_decision!M22/M$5</f>
        <v>0.0441878007760322</v>
      </c>
      <c r="N23" s="21" t="n">
        <f aca="false">2_Matriz_decision!N22/N$5</f>
        <v>0.0112098043469034</v>
      </c>
      <c r="O23" s="21" t="n">
        <f aca="false">2_Matriz_decision!O22/O$5</f>
        <v>0.0304431282773992</v>
      </c>
      <c r="P23" s="21" t="n">
        <f aca="false">2_Matriz_decision!P22/P$5</f>
        <v>0.0264720767589686</v>
      </c>
      <c r="Q23" s="21" t="n">
        <f aca="false">2_Matriz_decision!Q22/Q$5</f>
        <v>0.0133893885620924</v>
      </c>
    </row>
    <row r="24" customFormat="false" ht="15" hidden="false" customHeight="false" outlineLevel="0" collapsed="false">
      <c r="A24" s="15" t="n">
        <f aca="false">2_Matriz_decision!A23</f>
        <v>19</v>
      </c>
      <c r="B24" s="16" t="n">
        <f aca="false">2_Matriz_decision!B23</f>
        <v>2.172</v>
      </c>
      <c r="C24" s="21" t="n">
        <f aca="false">2_Matriz_decision!C23/C$5</f>
        <v>0.00879394903078847</v>
      </c>
      <c r="D24" s="21" t="n">
        <f aca="false">2_Matriz_decision!D23/D$5</f>
        <v>0.0418648306977948</v>
      </c>
      <c r="E24" s="21" t="n">
        <f aca="false">2_Matriz_decision!E23/E$5</f>
        <v>0.0400721949850431</v>
      </c>
      <c r="F24" s="21" t="n">
        <f aca="false">2_Matriz_decision!F23/F$5</f>
        <v>0.0296434583364376</v>
      </c>
      <c r="G24" s="21" t="n">
        <f aca="false">2_Matriz_decision!G23/G$5</f>
        <v>0.0308362065165227</v>
      </c>
      <c r="H24" s="21" t="n">
        <f aca="false">2_Matriz_decision!H23/H$5</f>
        <v>0.0640446931723768</v>
      </c>
      <c r="I24" s="21" t="n">
        <f aca="false">2_Matriz_decision!I23/I$5</f>
        <v>0.0148184741491462</v>
      </c>
      <c r="J24" s="21" t="n">
        <f aca="false">2_Matriz_decision!J23/J$5</f>
        <v>0.0469323254463932</v>
      </c>
      <c r="K24" s="21" t="n">
        <f aca="false">2_Matriz_decision!K23/K$5</f>
        <v>0.039014903418414</v>
      </c>
      <c r="L24" s="21" t="n">
        <f aca="false">2_Matriz_decision!L23/L$5</f>
        <v>0.0403147280790249</v>
      </c>
      <c r="M24" s="21" t="n">
        <f aca="false">2_Matriz_decision!M23/M$5</f>
        <v>0.0441878007760322</v>
      </c>
      <c r="N24" s="21" t="n">
        <f aca="false">2_Matriz_decision!N23/N$5</f>
        <v>0.0112098043469034</v>
      </c>
      <c r="O24" s="21" t="n">
        <f aca="false">2_Matriz_decision!O23/O$5</f>
        <v>0.0304431282773992</v>
      </c>
      <c r="P24" s="21" t="n">
        <f aca="false">2_Matriz_decision!P23/P$5</f>
        <v>0.0264720767589686</v>
      </c>
      <c r="Q24" s="21" t="n">
        <f aca="false">2_Matriz_decision!Q23/Q$5</f>
        <v>0.0133893885620924</v>
      </c>
    </row>
    <row r="25" customFormat="false" ht="15" hidden="false" customHeight="false" outlineLevel="0" collapsed="false">
      <c r="A25" s="15" t="n">
        <f aca="false">2_Matriz_decision!A24</f>
        <v>20</v>
      </c>
      <c r="B25" s="16" t="n">
        <f aca="false">2_Matriz_decision!B24</f>
        <v>2.27</v>
      </c>
      <c r="C25" s="21" t="n">
        <f aca="false">2_Matriz_decision!C24/C$5</f>
        <v>0.00879394903078847</v>
      </c>
      <c r="D25" s="21" t="n">
        <f aca="false">2_Matriz_decision!D24/D$5</f>
        <v>0.0418648306977948</v>
      </c>
      <c r="E25" s="21" t="n">
        <f aca="false">2_Matriz_decision!E24/E$5</f>
        <v>0.0400721949850431</v>
      </c>
      <c r="F25" s="21" t="n">
        <f aca="false">2_Matriz_decision!F24/F$5</f>
        <v>0.0296434583364376</v>
      </c>
      <c r="G25" s="21" t="n">
        <f aca="false">2_Matriz_decision!G24/G$5</f>
        <v>0.0308362065165227</v>
      </c>
      <c r="H25" s="21" t="n">
        <f aca="false">2_Matriz_decision!H24/H$5</f>
        <v>0.0640446931723768</v>
      </c>
      <c r="I25" s="21" t="n">
        <f aca="false">2_Matriz_decision!I24/I$5</f>
        <v>0.0148184741491462</v>
      </c>
      <c r="J25" s="21" t="n">
        <f aca="false">2_Matriz_decision!J24/J$5</f>
        <v>0.0469323254463932</v>
      </c>
      <c r="K25" s="21" t="n">
        <f aca="false">2_Matriz_decision!K24/K$5</f>
        <v>0.039014903418414</v>
      </c>
      <c r="L25" s="21" t="n">
        <f aca="false">2_Matriz_decision!L24/L$5</f>
        <v>0.0406222699516012</v>
      </c>
      <c r="M25" s="21" t="n">
        <f aca="false">2_Matriz_decision!M24/M$5</f>
        <v>0.0441878007760322</v>
      </c>
      <c r="N25" s="21" t="n">
        <f aca="false">2_Matriz_decision!N24/N$5</f>
        <v>0.0112098043469034</v>
      </c>
      <c r="O25" s="21" t="n">
        <f aca="false">2_Matriz_decision!O24/O$5</f>
        <v>0.0304431282773992</v>
      </c>
      <c r="P25" s="21" t="n">
        <f aca="false">2_Matriz_decision!P24/P$5</f>
        <v>0.0264720767589686</v>
      </c>
      <c r="Q25" s="21" t="n">
        <f aca="false">2_Matriz_decision!Q24/Q$5</f>
        <v>0.0133893885620924</v>
      </c>
    </row>
    <row r="26" customFormat="false" ht="15" hidden="false" customHeight="false" outlineLevel="0" collapsed="false">
      <c r="A26" s="15" t="n">
        <f aca="false">2_Matriz_decision!A25</f>
        <v>21</v>
      </c>
      <c r="B26" s="16" t="n">
        <f aca="false">2_Matriz_decision!B25</f>
        <v>2.369</v>
      </c>
      <c r="C26" s="21" t="n">
        <f aca="false">2_Matriz_decision!C25/C$5</f>
        <v>0.00879394903078847</v>
      </c>
      <c r="D26" s="21" t="n">
        <f aca="false">2_Matriz_decision!D25/D$5</f>
        <v>0.0418648306977948</v>
      </c>
      <c r="E26" s="21" t="n">
        <f aca="false">2_Matriz_decision!E25/E$5</f>
        <v>0.0400721949850431</v>
      </c>
      <c r="F26" s="21" t="n">
        <f aca="false">2_Matriz_decision!F25/F$5</f>
        <v>0.0296434583364376</v>
      </c>
      <c r="G26" s="21" t="n">
        <f aca="false">2_Matriz_decision!G25/G$5</f>
        <v>0.0308362065165227</v>
      </c>
      <c r="H26" s="21" t="n">
        <f aca="false">2_Matriz_decision!H25/H$5</f>
        <v>0.0640446931723768</v>
      </c>
      <c r="I26" s="21" t="n">
        <f aca="false">2_Matriz_decision!I25/I$5</f>
        <v>0.0148184741491462</v>
      </c>
      <c r="J26" s="21" t="n">
        <f aca="false">2_Matriz_decision!J25/J$5</f>
        <v>0.0469323254463932</v>
      </c>
      <c r="K26" s="21" t="n">
        <f aca="false">2_Matriz_decision!K25/K$5</f>
        <v>0.039014903418414</v>
      </c>
      <c r="L26" s="21" t="n">
        <f aca="false">2_Matriz_decision!L25/L$5</f>
        <v>0.0405955271800728</v>
      </c>
      <c r="M26" s="21" t="n">
        <f aca="false">2_Matriz_decision!M25/M$5</f>
        <v>0.0441878007760322</v>
      </c>
      <c r="N26" s="21" t="n">
        <f aca="false">2_Matriz_decision!N25/N$5</f>
        <v>0.0112098043469034</v>
      </c>
      <c r="O26" s="21" t="n">
        <f aca="false">2_Matriz_decision!O25/O$5</f>
        <v>0.0304431282773992</v>
      </c>
      <c r="P26" s="21" t="n">
        <f aca="false">2_Matriz_decision!P25/P$5</f>
        <v>0.0264720767589686</v>
      </c>
      <c r="Q26" s="21" t="n">
        <f aca="false">2_Matriz_decision!Q25/Q$5</f>
        <v>0.0133893885620924</v>
      </c>
    </row>
    <row r="27" customFormat="false" ht="15" hidden="false" customHeight="false" outlineLevel="0" collapsed="false">
      <c r="A27" s="15" t="n">
        <f aca="false">2_Matriz_decision!A26</f>
        <v>22</v>
      </c>
      <c r="B27" s="16" t="n">
        <f aca="false">2_Matriz_decision!B26</f>
        <v>2.467</v>
      </c>
      <c r="C27" s="21" t="n">
        <f aca="false">2_Matriz_decision!C26/C$5</f>
        <v>0.00879394903078847</v>
      </c>
      <c r="D27" s="21" t="n">
        <f aca="false">2_Matriz_decision!D26/D$5</f>
        <v>0.0418648306977948</v>
      </c>
      <c r="E27" s="21" t="n">
        <f aca="false">2_Matriz_decision!E26/E$5</f>
        <v>0.0400721949850431</v>
      </c>
      <c r="F27" s="21" t="n">
        <f aca="false">2_Matriz_decision!F26/F$5</f>
        <v>0.0296434583364376</v>
      </c>
      <c r="G27" s="21" t="n">
        <f aca="false">2_Matriz_decision!G26/G$5</f>
        <v>0.0308362065165227</v>
      </c>
      <c r="H27" s="21" t="n">
        <f aca="false">2_Matriz_decision!H26/H$5</f>
        <v>0.0640446931723768</v>
      </c>
      <c r="I27" s="21" t="n">
        <f aca="false">2_Matriz_decision!I26/I$5</f>
        <v>0.0148184741491462</v>
      </c>
      <c r="J27" s="21" t="n">
        <f aca="false">2_Matriz_decision!J26/J$5</f>
        <v>0.0469323254463932</v>
      </c>
      <c r="K27" s="21" t="n">
        <f aca="false">2_Matriz_decision!K26/K$5</f>
        <v>0.039014903418414</v>
      </c>
      <c r="L27" s="21" t="n">
        <f aca="false">2_Matriz_decision!L26/L$5</f>
        <v>0.0406356413373654</v>
      </c>
      <c r="M27" s="21" t="n">
        <f aca="false">2_Matriz_decision!M26/M$5</f>
        <v>0.0441878007760322</v>
      </c>
      <c r="N27" s="21" t="n">
        <f aca="false">2_Matriz_decision!N26/N$5</f>
        <v>0.0112098043469034</v>
      </c>
      <c r="O27" s="21" t="n">
        <f aca="false">2_Matriz_decision!O26/O$5</f>
        <v>0.0304431282773992</v>
      </c>
      <c r="P27" s="21" t="n">
        <f aca="false">2_Matriz_decision!P26/P$5</f>
        <v>0.0264720767589686</v>
      </c>
      <c r="Q27" s="21" t="n">
        <f aca="false">2_Matriz_decision!Q26/Q$5</f>
        <v>0.0133893885620924</v>
      </c>
    </row>
    <row r="28" customFormat="false" ht="15" hidden="false" customHeight="false" outlineLevel="0" collapsed="false">
      <c r="A28" s="15" t="n">
        <f aca="false">2_Matriz_decision!A27</f>
        <v>23</v>
      </c>
      <c r="B28" s="16" t="n">
        <f aca="false">2_Matriz_decision!B27</f>
        <v>2.567</v>
      </c>
      <c r="C28" s="21" t="n">
        <f aca="false">2_Matriz_decision!C27/C$5</f>
        <v>0.00879394903078847</v>
      </c>
      <c r="D28" s="21" t="n">
        <f aca="false">2_Matriz_decision!D27/D$5</f>
        <v>0.0418648306977948</v>
      </c>
      <c r="E28" s="21" t="n">
        <f aca="false">2_Matriz_decision!E27/E$5</f>
        <v>0.0400721949850431</v>
      </c>
      <c r="F28" s="21" t="n">
        <f aca="false">2_Matriz_decision!F27/F$5</f>
        <v>0.0296434583364376</v>
      </c>
      <c r="G28" s="21" t="n">
        <f aca="false">2_Matriz_decision!G27/G$5</f>
        <v>0.0308362065165227</v>
      </c>
      <c r="H28" s="21" t="n">
        <f aca="false">2_Matriz_decision!H27/H$5</f>
        <v>0.0640446931723768</v>
      </c>
      <c r="I28" s="21" t="n">
        <f aca="false">2_Matriz_decision!I27/I$5</f>
        <v>0.0148184741491462</v>
      </c>
      <c r="J28" s="21" t="n">
        <f aca="false">2_Matriz_decision!J27/J$5</f>
        <v>0.0469323254463932</v>
      </c>
      <c r="K28" s="21" t="n">
        <f aca="false">2_Matriz_decision!K27/K$5</f>
        <v>0.039014903418414</v>
      </c>
      <c r="L28" s="21" t="n">
        <f aca="false">2_Matriz_decision!L27/L$5</f>
        <v>0.0405019274797235</v>
      </c>
      <c r="M28" s="21" t="n">
        <f aca="false">2_Matriz_decision!M27/M$5</f>
        <v>0.0441878007760322</v>
      </c>
      <c r="N28" s="21" t="n">
        <f aca="false">2_Matriz_decision!N27/N$5</f>
        <v>0.0112098043469034</v>
      </c>
      <c r="O28" s="21" t="n">
        <f aca="false">2_Matriz_decision!O27/O$5</f>
        <v>0.0304431282773992</v>
      </c>
      <c r="P28" s="21" t="n">
        <f aca="false">2_Matriz_decision!P27/P$5</f>
        <v>0.0264720767589686</v>
      </c>
      <c r="Q28" s="21" t="n">
        <f aca="false">2_Matriz_decision!Q27/Q$5</f>
        <v>0.0267787771241848</v>
      </c>
    </row>
    <row r="29" customFormat="false" ht="15" hidden="false" customHeight="false" outlineLevel="0" collapsed="false">
      <c r="A29" s="15" t="n">
        <f aca="false">2_Matriz_decision!A28</f>
        <v>24</v>
      </c>
      <c r="B29" s="16" t="n">
        <f aca="false">2_Matriz_decision!B28</f>
        <v>2.666</v>
      </c>
      <c r="C29" s="21" t="n">
        <f aca="false">2_Matriz_decision!C28/C$5</f>
        <v>0.00879394903078847</v>
      </c>
      <c r="D29" s="21" t="n">
        <f aca="false">2_Matriz_decision!D28/D$5</f>
        <v>0.0418648306977948</v>
      </c>
      <c r="E29" s="21" t="n">
        <f aca="false">2_Matriz_decision!E28/E$5</f>
        <v>0.0400721949850431</v>
      </c>
      <c r="F29" s="21" t="n">
        <f aca="false">2_Matriz_decision!F28/F$5</f>
        <v>0.0296434583364376</v>
      </c>
      <c r="G29" s="21" t="n">
        <f aca="false">2_Matriz_decision!G28/G$5</f>
        <v>0.0308362065165227</v>
      </c>
      <c r="H29" s="21" t="n">
        <f aca="false">2_Matriz_decision!H28/H$5</f>
        <v>0.0640446931723768</v>
      </c>
      <c r="I29" s="21" t="n">
        <f aca="false">2_Matriz_decision!I28/I$5</f>
        <v>0.0148184741491462</v>
      </c>
      <c r="J29" s="21" t="n">
        <f aca="false">2_Matriz_decision!J28/J$5</f>
        <v>0.0469323254463932</v>
      </c>
      <c r="K29" s="21" t="n">
        <f aca="false">2_Matriz_decision!K28/K$5</f>
        <v>0.039014903418414</v>
      </c>
      <c r="L29" s="21" t="n">
        <f aca="false">2_Matriz_decision!L28/L$5</f>
        <v>0.0403815850078458</v>
      </c>
      <c r="M29" s="21" t="n">
        <f aca="false">2_Matriz_decision!M28/M$5</f>
        <v>0.0441878007760322</v>
      </c>
      <c r="N29" s="21" t="n">
        <f aca="false">2_Matriz_decision!N28/N$5</f>
        <v>0.0112098043469034</v>
      </c>
      <c r="O29" s="21" t="n">
        <f aca="false">2_Matriz_decision!O28/O$5</f>
        <v>0.0304431282773992</v>
      </c>
      <c r="P29" s="21" t="n">
        <f aca="false">2_Matriz_decision!P28/P$5</f>
        <v>0.0264720767589686</v>
      </c>
      <c r="Q29" s="21" t="n">
        <f aca="false">2_Matriz_decision!Q28/Q$5</f>
        <v>0.0133893885620924</v>
      </c>
    </row>
    <row r="30" customFormat="false" ht="15" hidden="false" customHeight="false" outlineLevel="0" collapsed="false">
      <c r="A30" s="15" t="n">
        <f aca="false">2_Matriz_decision!A29</f>
        <v>25</v>
      </c>
      <c r="B30" s="16" t="n">
        <f aca="false">2_Matriz_decision!B29</f>
        <v>2.766</v>
      </c>
      <c r="C30" s="21" t="n">
        <f aca="false">2_Matriz_decision!C29/C$5</f>
        <v>0.00879394903078847</v>
      </c>
      <c r="D30" s="21" t="n">
        <f aca="false">2_Matriz_decision!D29/D$5</f>
        <v>0.0418648306977948</v>
      </c>
      <c r="E30" s="21" t="n">
        <f aca="false">2_Matriz_decision!E29/E$5</f>
        <v>0.0400721949850431</v>
      </c>
      <c r="F30" s="21" t="n">
        <f aca="false">2_Matriz_decision!F29/F$5</f>
        <v>0.0296434583364376</v>
      </c>
      <c r="G30" s="21" t="n">
        <f aca="false">2_Matriz_decision!G29/G$5</f>
        <v>0.0308362065165227</v>
      </c>
      <c r="H30" s="21" t="n">
        <f aca="false">2_Matriz_decision!H29/H$5</f>
        <v>0.0640446931723768</v>
      </c>
      <c r="I30" s="21" t="n">
        <f aca="false">2_Matriz_decision!I29/I$5</f>
        <v>0.0148184741491462</v>
      </c>
      <c r="J30" s="21" t="n">
        <f aca="false">2_Matriz_decision!J29/J$5</f>
        <v>0.0469323254463932</v>
      </c>
      <c r="K30" s="21" t="n">
        <f aca="false">2_Matriz_decision!K29/K$5</f>
        <v>0.039014903418414</v>
      </c>
      <c r="L30" s="21" t="n">
        <f aca="false">2_Matriz_decision!L29/L$5</f>
        <v>0.040608898565837</v>
      </c>
      <c r="M30" s="21" t="n">
        <f aca="false">2_Matriz_decision!M29/M$5</f>
        <v>0.0441878007760322</v>
      </c>
      <c r="N30" s="21" t="n">
        <f aca="false">2_Matriz_decision!N29/N$5</f>
        <v>0.0112098043469034</v>
      </c>
      <c r="O30" s="21" t="n">
        <f aca="false">2_Matriz_decision!O29/O$5</f>
        <v>0.0304431282773992</v>
      </c>
      <c r="P30" s="21" t="n">
        <f aca="false">2_Matriz_decision!P29/P$5</f>
        <v>0.0264720767589686</v>
      </c>
      <c r="Q30" s="21" t="n">
        <f aca="false">2_Matriz_decision!Q29/Q$5</f>
        <v>0.0133893885620924</v>
      </c>
    </row>
    <row r="31" customFormat="false" ht="15" hidden="false" customHeight="false" outlineLevel="0" collapsed="false">
      <c r="A31" s="15" t="n">
        <f aca="false">2_Matriz_decision!A30</f>
        <v>26</v>
      </c>
      <c r="B31" s="16" t="n">
        <f aca="false">2_Matriz_decision!B30</f>
        <v>2.865</v>
      </c>
      <c r="C31" s="21" t="n">
        <f aca="false">2_Matriz_decision!C30/C$5</f>
        <v>0.00879394903078847</v>
      </c>
      <c r="D31" s="21" t="n">
        <f aca="false">2_Matriz_decision!D30/D$5</f>
        <v>0.0418648306977948</v>
      </c>
      <c r="E31" s="21" t="n">
        <f aca="false">2_Matriz_decision!E30/E$5</f>
        <v>0.0300541462387823</v>
      </c>
      <c r="F31" s="21" t="n">
        <f aca="false">2_Matriz_decision!F30/F$5</f>
        <v>0.0296434583364376</v>
      </c>
      <c r="G31" s="21" t="n">
        <f aca="false">2_Matriz_decision!G30/G$5</f>
        <v>0.0308362065165227</v>
      </c>
      <c r="H31" s="21" t="n">
        <f aca="false">2_Matriz_decision!H30/H$5</f>
        <v>0.0640446931723768</v>
      </c>
      <c r="I31" s="21" t="n">
        <f aca="false">2_Matriz_decision!I30/I$5</f>
        <v>0.0148184741491462</v>
      </c>
      <c r="J31" s="21" t="n">
        <f aca="false">2_Matriz_decision!J30/J$5</f>
        <v>0.0469323254463932</v>
      </c>
      <c r="K31" s="21" t="n">
        <f aca="false">2_Matriz_decision!K30/K$5</f>
        <v>0.039014903418414</v>
      </c>
      <c r="L31" s="21" t="n">
        <f aca="false">2_Matriz_decision!L30/L$5</f>
        <v>0.04039495639361</v>
      </c>
      <c r="M31" s="21" t="n">
        <f aca="false">2_Matriz_decision!M30/M$5</f>
        <v>0.0441878007760322</v>
      </c>
      <c r="N31" s="21" t="n">
        <f aca="false">2_Matriz_decision!N30/N$5</f>
        <v>0.0112098043469034</v>
      </c>
      <c r="O31" s="21" t="n">
        <f aca="false">2_Matriz_decision!O30/O$5</f>
        <v>0.0304431282773992</v>
      </c>
      <c r="P31" s="21" t="n">
        <f aca="false">2_Matriz_decision!P30/P$5</f>
        <v>0.0264720767589686</v>
      </c>
      <c r="Q31" s="21" t="n">
        <f aca="false">2_Matriz_decision!Q30/Q$5</f>
        <v>0.0133893885620924</v>
      </c>
    </row>
    <row r="32" customFormat="false" ht="15" hidden="false" customHeight="false" outlineLevel="0" collapsed="false">
      <c r="A32" s="15" t="n">
        <f aca="false">2_Matriz_decision!A31</f>
        <v>27</v>
      </c>
      <c r="B32" s="16" t="n">
        <f aca="false">2_Matriz_decision!B31</f>
        <v>2.964</v>
      </c>
      <c r="C32" s="21" t="n">
        <f aca="false">2_Matriz_decision!C31/C$5</f>
        <v>0.00879394903078847</v>
      </c>
      <c r="D32" s="21" t="n">
        <f aca="false">2_Matriz_decision!D31/D$5</f>
        <v>0.0418648306977948</v>
      </c>
      <c r="E32" s="21" t="n">
        <f aca="false">2_Matriz_decision!E31/E$5</f>
        <v>0.0300541462387823</v>
      </c>
      <c r="F32" s="21" t="n">
        <f aca="false">2_Matriz_decision!F31/F$5</f>
        <v>0.0296434583364376</v>
      </c>
      <c r="G32" s="21" t="n">
        <f aca="false">2_Matriz_decision!G31/G$5</f>
        <v>0.0308362065165227</v>
      </c>
      <c r="H32" s="21" t="n">
        <f aca="false">2_Matriz_decision!H31/H$5</f>
        <v>0.0640446931723768</v>
      </c>
      <c r="I32" s="21" t="n">
        <f aca="false">2_Matriz_decision!I31/I$5</f>
        <v>0.0148184741491462</v>
      </c>
      <c r="J32" s="21" t="n">
        <f aca="false">2_Matriz_decision!J31/J$5</f>
        <v>0.0469323254463932</v>
      </c>
      <c r="K32" s="21" t="n">
        <f aca="false">2_Matriz_decision!K31/K$5</f>
        <v>0.039014903418414</v>
      </c>
      <c r="L32" s="21" t="n">
        <f aca="false">2_Matriz_decision!L31/L$5</f>
        <v>0.04039495639361</v>
      </c>
      <c r="M32" s="21" t="n">
        <f aca="false">2_Matriz_decision!M31/M$5</f>
        <v>0.0441878007760322</v>
      </c>
      <c r="N32" s="21" t="n">
        <f aca="false">2_Matriz_decision!N31/N$5</f>
        <v>0.0112098043469034</v>
      </c>
      <c r="O32" s="21" t="n">
        <f aca="false">2_Matriz_decision!O31/O$5</f>
        <v>0.0304431282773992</v>
      </c>
      <c r="P32" s="21" t="n">
        <f aca="false">2_Matriz_decision!P31/P$5</f>
        <v>0.0264720767589686</v>
      </c>
      <c r="Q32" s="21" t="n">
        <f aca="false">2_Matriz_decision!Q31/Q$5</f>
        <v>0.0133893885620924</v>
      </c>
    </row>
    <row r="33" customFormat="false" ht="15" hidden="false" customHeight="false" outlineLevel="0" collapsed="false">
      <c r="A33" s="15" t="n">
        <f aca="false">2_Matriz_decision!A32</f>
        <v>28</v>
      </c>
      <c r="B33" s="16" t="n">
        <f aca="false">2_Matriz_decision!B32</f>
        <v>3.062</v>
      </c>
      <c r="C33" s="21" t="n">
        <f aca="false">2_Matriz_decision!C32/C$5</f>
        <v>0.00879394903078847</v>
      </c>
      <c r="D33" s="21" t="n">
        <f aca="false">2_Matriz_decision!D32/D$5</f>
        <v>0.0418648306977948</v>
      </c>
      <c r="E33" s="21" t="n">
        <f aca="false">2_Matriz_decision!E32/E$5</f>
        <v>0.0300541462387823</v>
      </c>
      <c r="F33" s="21" t="n">
        <f aca="false">2_Matriz_decision!F32/F$5</f>
        <v>0.0296434583364376</v>
      </c>
      <c r="G33" s="21" t="n">
        <f aca="false">2_Matriz_decision!G32/G$5</f>
        <v>0.0308362065165227</v>
      </c>
      <c r="H33" s="21" t="n">
        <f aca="false">2_Matriz_decision!H32/H$5</f>
        <v>0.0640446931723768</v>
      </c>
      <c r="I33" s="21" t="n">
        <f aca="false">2_Matriz_decision!I32/I$5</f>
        <v>0.0148184741491462</v>
      </c>
      <c r="J33" s="21" t="n">
        <f aca="false">2_Matriz_decision!J32/J$5</f>
        <v>0.0469323254463932</v>
      </c>
      <c r="K33" s="21" t="n">
        <f aca="false">2_Matriz_decision!K32/K$5</f>
        <v>0.039014903418414</v>
      </c>
      <c r="L33" s="21" t="n">
        <f aca="false">2_Matriz_decision!L32/L$5</f>
        <v>0.0406222699516012</v>
      </c>
      <c r="M33" s="21" t="n">
        <f aca="false">2_Matriz_decision!M32/M$5</f>
        <v>0.0441878007760322</v>
      </c>
      <c r="N33" s="21" t="n">
        <f aca="false">2_Matriz_decision!N32/N$5</f>
        <v>0.0112098043469034</v>
      </c>
      <c r="O33" s="21" t="n">
        <f aca="false">2_Matriz_decision!O32/O$5</f>
        <v>0.0304431282773992</v>
      </c>
      <c r="P33" s="21" t="n">
        <f aca="false">2_Matriz_decision!P32/P$5</f>
        <v>0.0264720767589686</v>
      </c>
      <c r="Q33" s="21" t="n">
        <f aca="false">2_Matriz_decision!Q32/Q$5</f>
        <v>0.0133893885620924</v>
      </c>
    </row>
    <row r="34" customFormat="false" ht="15" hidden="false" customHeight="false" outlineLevel="0" collapsed="false">
      <c r="A34" s="15" t="n">
        <f aca="false">2_Matriz_decision!A33</f>
        <v>29</v>
      </c>
      <c r="B34" s="16" t="n">
        <f aca="false">2_Matriz_decision!B33</f>
        <v>3.159</v>
      </c>
      <c r="C34" s="21" t="n">
        <f aca="false">2_Matriz_decision!C33/C$5</f>
        <v>0.00879394903078847</v>
      </c>
      <c r="D34" s="21" t="n">
        <f aca="false">2_Matriz_decision!D33/D$5</f>
        <v>0.0418648306977948</v>
      </c>
      <c r="E34" s="21" t="n">
        <f aca="false">2_Matriz_decision!E33/E$5</f>
        <v>0.0300541462387823</v>
      </c>
      <c r="F34" s="21" t="n">
        <f aca="false">2_Matriz_decision!F33/F$5</f>
        <v>0.0494057638940627</v>
      </c>
      <c r="G34" s="21" t="n">
        <f aca="false">2_Matriz_decision!G33/G$5</f>
        <v>0.0308362065165227</v>
      </c>
      <c r="H34" s="21" t="n">
        <f aca="false">2_Matriz_decision!H33/H$5</f>
        <v>0.0640446931723768</v>
      </c>
      <c r="I34" s="21" t="n">
        <f aca="false">2_Matriz_decision!I33/I$5</f>
        <v>0.0148184741491462</v>
      </c>
      <c r="J34" s="21" t="n">
        <f aca="false">2_Matriz_decision!J33/J$5</f>
        <v>0.0469323254463932</v>
      </c>
      <c r="K34" s="21" t="n">
        <f aca="false">2_Matriz_decision!K33/K$5</f>
        <v>0.039014903418414</v>
      </c>
      <c r="L34" s="21" t="n">
        <f aca="false">2_Matriz_decision!L33/L$5</f>
        <v>0.0406623841088938</v>
      </c>
      <c r="M34" s="21" t="n">
        <f aca="false">2_Matriz_decision!M33/M$5</f>
        <v>0.0441878007760322</v>
      </c>
      <c r="N34" s="21" t="n">
        <f aca="false">2_Matriz_decision!N33/N$5</f>
        <v>0.0112098043469034</v>
      </c>
      <c r="O34" s="21" t="n">
        <f aca="false">2_Matriz_decision!O33/O$5</f>
        <v>0.0304431282773992</v>
      </c>
      <c r="P34" s="21" t="n">
        <f aca="false">2_Matriz_decision!P33/P$5</f>
        <v>0.0264720767589686</v>
      </c>
      <c r="Q34" s="21" t="n">
        <f aca="false">2_Matriz_decision!Q33/Q$5</f>
        <v>0.0133893885620924</v>
      </c>
    </row>
    <row r="35" customFormat="false" ht="15" hidden="false" customHeight="false" outlineLevel="0" collapsed="false">
      <c r="A35" s="15" t="n">
        <f aca="false">2_Matriz_decision!A34</f>
        <v>30</v>
      </c>
      <c r="B35" s="16" t="n">
        <f aca="false">2_Matriz_decision!B34</f>
        <v>3.256</v>
      </c>
      <c r="C35" s="21" t="n">
        <f aca="false">2_Matriz_decision!C34/C$5</f>
        <v>0.00879394903078847</v>
      </c>
      <c r="D35" s="21" t="n">
        <f aca="false">2_Matriz_decision!D34/D$5</f>
        <v>0.0418648306977948</v>
      </c>
      <c r="E35" s="21" t="n">
        <f aca="false">2_Matriz_decision!E34/E$5</f>
        <v>0.0300541462387823</v>
      </c>
      <c r="F35" s="21" t="n">
        <f aca="false">2_Matriz_decision!F34/F$5</f>
        <v>0.0395246111152501</v>
      </c>
      <c r="G35" s="21" t="n">
        <f aca="false">2_Matriz_decision!G34/G$5</f>
        <v>0.0308362065165227</v>
      </c>
      <c r="H35" s="21" t="n">
        <f aca="false">2_Matriz_decision!H34/H$5</f>
        <v>0.0640446931723768</v>
      </c>
      <c r="I35" s="21" t="n">
        <f aca="false">2_Matriz_decision!I34/I$5</f>
        <v>0.0148184741491462</v>
      </c>
      <c r="J35" s="21" t="n">
        <f aca="false">2_Matriz_decision!J34/J$5</f>
        <v>0.0469323254463932</v>
      </c>
      <c r="K35" s="21" t="n">
        <f aca="false">2_Matriz_decision!K34/K$5</f>
        <v>0.039014903418414</v>
      </c>
      <c r="L35" s="21" t="n">
        <f aca="false">2_Matriz_decision!L34/L$5</f>
        <v>0.040461813322431</v>
      </c>
      <c r="M35" s="21" t="n">
        <f aca="false">2_Matriz_decision!M34/M$5</f>
        <v>0.0441878007760322</v>
      </c>
      <c r="N35" s="21" t="n">
        <f aca="false">2_Matriz_decision!N34/N$5</f>
        <v>0.0112098043469034</v>
      </c>
      <c r="O35" s="21" t="n">
        <f aca="false">2_Matriz_decision!O34/O$5</f>
        <v>0.0304431282773992</v>
      </c>
      <c r="P35" s="21" t="n">
        <f aca="false">2_Matriz_decision!P34/P$5</f>
        <v>0.0264720767589686</v>
      </c>
      <c r="Q35" s="21" t="n">
        <f aca="false">2_Matriz_decision!Q34/Q$5</f>
        <v>0.0133893885620924</v>
      </c>
    </row>
    <row r="36" customFormat="false" ht="15" hidden="false" customHeight="false" outlineLevel="0" collapsed="false">
      <c r="A36" s="15" t="n">
        <f aca="false">2_Matriz_decision!A35</f>
        <v>31</v>
      </c>
      <c r="B36" s="16" t="n">
        <f aca="false">2_Matriz_decision!B35</f>
        <v>3.353</v>
      </c>
      <c r="C36" s="21" t="n">
        <f aca="false">2_Matriz_decision!C35/C$5</f>
        <v>0.00879394903078847</v>
      </c>
      <c r="D36" s="21" t="n">
        <f aca="false">2_Matriz_decision!D35/D$5</f>
        <v>0.0418648306977948</v>
      </c>
      <c r="E36" s="21" t="n">
        <f aca="false">2_Matriz_decision!E35/E$5</f>
        <v>0.0300541462387823</v>
      </c>
      <c r="F36" s="21" t="n">
        <f aca="false">2_Matriz_decision!F35/F$5</f>
        <v>0.0395246111152501</v>
      </c>
      <c r="G36" s="21" t="n">
        <f aca="false">2_Matriz_decision!G35/G$5</f>
        <v>0.0308362065165227</v>
      </c>
      <c r="H36" s="21" t="n">
        <f aca="false">2_Matriz_decision!H35/H$5</f>
        <v>0.0640446931723768</v>
      </c>
      <c r="I36" s="21" t="n">
        <f aca="false">2_Matriz_decision!I35/I$5</f>
        <v>0.0148184741491462</v>
      </c>
      <c r="J36" s="21" t="n">
        <f aca="false">2_Matriz_decision!J35/J$5</f>
        <v>0.0469323254463932</v>
      </c>
      <c r="K36" s="21" t="n">
        <f aca="false">2_Matriz_decision!K35/K$5</f>
        <v>0.039014903418414</v>
      </c>
      <c r="L36" s="21" t="n">
        <f aca="false">2_Matriz_decision!L35/L$5</f>
        <v>0.0403013566932607</v>
      </c>
      <c r="M36" s="21" t="n">
        <f aca="false">2_Matriz_decision!M35/M$5</f>
        <v>0.0441878007760322</v>
      </c>
      <c r="N36" s="21" t="n">
        <f aca="false">2_Matriz_decision!N35/N$5</f>
        <v>0.0112098043469034</v>
      </c>
      <c r="O36" s="21" t="n">
        <f aca="false">2_Matriz_decision!O35/O$5</f>
        <v>0.0304431282773992</v>
      </c>
      <c r="P36" s="21" t="n">
        <f aca="false">2_Matriz_decision!P35/P$5</f>
        <v>0.0264720767589686</v>
      </c>
      <c r="Q36" s="21" t="n">
        <f aca="false">2_Matriz_decision!Q35/Q$5</f>
        <v>0.0133893885620924</v>
      </c>
    </row>
    <row r="37" customFormat="false" ht="15" hidden="false" customHeight="false" outlineLevel="0" collapsed="false">
      <c r="A37" s="15" t="n">
        <f aca="false">2_Matriz_decision!A36</f>
        <v>32</v>
      </c>
      <c r="B37" s="16" t="n">
        <f aca="false">2_Matriz_decision!B36</f>
        <v>3.45</v>
      </c>
      <c r="C37" s="21" t="n">
        <f aca="false">2_Matriz_decision!C36/C$5</f>
        <v>0.00879394903078847</v>
      </c>
      <c r="D37" s="21" t="n">
        <f aca="false">2_Matriz_decision!D36/D$5</f>
        <v>0.0418648306977948</v>
      </c>
      <c r="E37" s="21" t="n">
        <f aca="false">2_Matriz_decision!E36/E$5</f>
        <v>0.0300541462387823</v>
      </c>
      <c r="F37" s="21" t="n">
        <f aca="false">2_Matriz_decision!F36/F$5</f>
        <v>0.0296434583364376</v>
      </c>
      <c r="G37" s="21" t="n">
        <f aca="false">2_Matriz_decision!G36/G$5</f>
        <v>0.0308362065165227</v>
      </c>
      <c r="H37" s="21" t="n">
        <f aca="false">2_Matriz_decision!H36/H$5</f>
        <v>0.0640446931723768</v>
      </c>
      <c r="I37" s="21" t="n">
        <f aca="false">2_Matriz_decision!I36/I$5</f>
        <v>0.0148184741491462</v>
      </c>
      <c r="J37" s="21" t="n">
        <f aca="false">2_Matriz_decision!J36/J$5</f>
        <v>0.0469323254463932</v>
      </c>
      <c r="K37" s="21" t="n">
        <f aca="false">2_Matriz_decision!K36/K$5</f>
        <v>0.039014903418414</v>
      </c>
      <c r="L37" s="21" t="n">
        <f aca="false">2_Matriz_decision!L36/L$5</f>
        <v>0.040461813322431</v>
      </c>
      <c r="M37" s="21" t="n">
        <f aca="false">2_Matriz_decision!M36/M$5</f>
        <v>0.0441878007760322</v>
      </c>
      <c r="N37" s="21" t="n">
        <f aca="false">2_Matriz_decision!N36/N$5</f>
        <v>0.0112098043469034</v>
      </c>
      <c r="O37" s="21" t="n">
        <f aca="false">2_Matriz_decision!O36/O$5</f>
        <v>0.0304431282773992</v>
      </c>
      <c r="P37" s="21" t="n">
        <f aca="false">2_Matriz_decision!P36/P$5</f>
        <v>0.0264720767589686</v>
      </c>
      <c r="Q37" s="21" t="n">
        <f aca="false">2_Matriz_decision!Q36/Q$5</f>
        <v>0.0133893885620924</v>
      </c>
    </row>
    <row r="38" customFormat="false" ht="15" hidden="false" customHeight="false" outlineLevel="0" collapsed="false">
      <c r="A38" s="15" t="n">
        <f aca="false">2_Matriz_decision!A37</f>
        <v>33</v>
      </c>
      <c r="B38" s="16" t="n">
        <f aca="false">2_Matriz_decision!B37</f>
        <v>3.547</v>
      </c>
      <c r="C38" s="21" t="n">
        <f aca="false">2_Matriz_decision!C37/C$5</f>
        <v>0.0175878980615769</v>
      </c>
      <c r="D38" s="21" t="n">
        <f aca="false">2_Matriz_decision!D37/D$5</f>
        <v>0.0418648306977948</v>
      </c>
      <c r="E38" s="21" t="n">
        <f aca="false">2_Matriz_decision!E37/E$5</f>
        <v>0.0300541462387823</v>
      </c>
      <c r="F38" s="21" t="n">
        <f aca="false">2_Matriz_decision!F37/F$5</f>
        <v>0.0395246111152501</v>
      </c>
      <c r="G38" s="21" t="n">
        <f aca="false">2_Matriz_decision!G37/G$5</f>
        <v>0.0308362065165227</v>
      </c>
      <c r="H38" s="21" t="n">
        <f aca="false">2_Matriz_decision!H37/H$5</f>
        <v>0.0640446931723768</v>
      </c>
      <c r="I38" s="21" t="n">
        <f aca="false">2_Matriz_decision!I37/I$5</f>
        <v>0.0148184741491462</v>
      </c>
      <c r="J38" s="21" t="n">
        <f aca="false">2_Matriz_decision!J37/J$5</f>
        <v>0.0469323254463932</v>
      </c>
      <c r="K38" s="21" t="n">
        <f aca="false">2_Matriz_decision!K37/K$5</f>
        <v>0.039014903418414</v>
      </c>
      <c r="L38" s="21" t="n">
        <f aca="false">2_Matriz_decision!L37/L$5</f>
        <v>0.0406222699516012</v>
      </c>
      <c r="M38" s="21" t="n">
        <f aca="false">2_Matriz_decision!M37/M$5</f>
        <v>0.0441878007760322</v>
      </c>
      <c r="N38" s="21" t="n">
        <f aca="false">2_Matriz_decision!N37/N$5</f>
        <v>0.0112098043469034</v>
      </c>
      <c r="O38" s="21" t="n">
        <f aca="false">2_Matriz_decision!O37/O$5</f>
        <v>0.0304431282773992</v>
      </c>
      <c r="P38" s="21" t="n">
        <f aca="false">2_Matriz_decision!P37/P$5</f>
        <v>0.0264720767589686</v>
      </c>
      <c r="Q38" s="21" t="n">
        <f aca="false">2_Matriz_decision!Q37/Q$5</f>
        <v>0.0133893885620924</v>
      </c>
    </row>
    <row r="39" customFormat="false" ht="15" hidden="false" customHeight="false" outlineLevel="0" collapsed="false">
      <c r="A39" s="15" t="n">
        <f aca="false">2_Matriz_decision!A38</f>
        <v>34</v>
      </c>
      <c r="B39" s="16" t="n">
        <f aca="false">2_Matriz_decision!B38</f>
        <v>3.645</v>
      </c>
      <c r="C39" s="21" t="n">
        <f aca="false">2_Matriz_decision!C38/C$5</f>
        <v>0.0175878980615769</v>
      </c>
      <c r="D39" s="21" t="n">
        <f aca="false">2_Matriz_decision!D38/D$5</f>
        <v>0.0418648306977948</v>
      </c>
      <c r="E39" s="21" t="n">
        <f aca="false">2_Matriz_decision!E38/E$5</f>
        <v>0.0200360974925215</v>
      </c>
      <c r="F39" s="21" t="n">
        <f aca="false">2_Matriz_decision!F38/F$5</f>
        <v>0.0395246111152501</v>
      </c>
      <c r="G39" s="21" t="n">
        <f aca="false">2_Matriz_decision!G38/G$5</f>
        <v>0.0308362065165227</v>
      </c>
      <c r="H39" s="21" t="n">
        <f aca="false">2_Matriz_decision!H38/H$5</f>
        <v>0.0640446931723768</v>
      </c>
      <c r="I39" s="21" t="n">
        <f aca="false">2_Matriz_decision!I38/I$5</f>
        <v>0.0148184741491462</v>
      </c>
      <c r="J39" s="21" t="n">
        <f aca="false">2_Matriz_decision!J38/J$5</f>
        <v>0.0469323254463932</v>
      </c>
      <c r="K39" s="21" t="n">
        <f aca="false">2_Matriz_decision!K38/K$5</f>
        <v>0.039014903418414</v>
      </c>
      <c r="L39" s="21" t="n">
        <f aca="false">2_Matriz_decision!L38/L$5</f>
        <v>0.0407559838092431</v>
      </c>
      <c r="M39" s="21" t="n">
        <f aca="false">2_Matriz_decision!M38/M$5</f>
        <v>0.0441878007760322</v>
      </c>
      <c r="N39" s="21" t="n">
        <f aca="false">2_Matriz_decision!N38/N$5</f>
        <v>0.0112098043469034</v>
      </c>
      <c r="O39" s="21" t="n">
        <f aca="false">2_Matriz_decision!O38/O$5</f>
        <v>0.0304431282773992</v>
      </c>
      <c r="P39" s="21" t="n">
        <f aca="false">2_Matriz_decision!P38/P$5</f>
        <v>0.0264720767589686</v>
      </c>
      <c r="Q39" s="21" t="n">
        <f aca="false">2_Matriz_decision!Q38/Q$5</f>
        <v>0.0133893885620924</v>
      </c>
    </row>
    <row r="40" customFormat="false" ht="15" hidden="false" customHeight="false" outlineLevel="0" collapsed="false">
      <c r="A40" s="15" t="n">
        <f aca="false">2_Matriz_decision!A39</f>
        <v>35</v>
      </c>
      <c r="B40" s="16" t="n">
        <f aca="false">2_Matriz_decision!B39</f>
        <v>3.742</v>
      </c>
      <c r="C40" s="21" t="n">
        <f aca="false">2_Matriz_decision!C39/C$5</f>
        <v>0.00879394903078847</v>
      </c>
      <c r="D40" s="21" t="n">
        <f aca="false">2_Matriz_decision!D39/D$5</f>
        <v>0.0418648306977948</v>
      </c>
      <c r="E40" s="21" t="n">
        <f aca="false">2_Matriz_decision!E39/E$5</f>
        <v>0.0300541462387823</v>
      </c>
      <c r="F40" s="21" t="n">
        <f aca="false">2_Matriz_decision!F39/F$5</f>
        <v>0.0494057638940627</v>
      </c>
      <c r="G40" s="21" t="n">
        <f aca="false">2_Matriz_decision!G39/G$5</f>
        <v>0.0308362065165227</v>
      </c>
      <c r="H40" s="21" t="n">
        <f aca="false">2_Matriz_decision!H39/H$5</f>
        <v>0.0640446931723768</v>
      </c>
      <c r="I40" s="21" t="n">
        <f aca="false">2_Matriz_decision!I39/I$5</f>
        <v>0.0148184741491462</v>
      </c>
      <c r="J40" s="21" t="n">
        <f aca="false">2_Matriz_decision!J39/J$5</f>
        <v>0.0469323254463932</v>
      </c>
      <c r="K40" s="21" t="n">
        <f aca="false">2_Matriz_decision!K39/K$5</f>
        <v>0.039014903418414</v>
      </c>
      <c r="L40" s="21" t="n">
        <f aca="false">2_Matriz_decision!L39/L$5</f>
        <v>0.0407827265807715</v>
      </c>
      <c r="M40" s="21" t="n">
        <f aca="false">2_Matriz_decision!M39/M$5</f>
        <v>0.0441878007760322</v>
      </c>
      <c r="N40" s="21" t="n">
        <f aca="false">2_Matriz_decision!N39/N$5</f>
        <v>0.0112098043469034</v>
      </c>
      <c r="O40" s="21" t="n">
        <f aca="false">2_Matriz_decision!O39/O$5</f>
        <v>0.0304431282773992</v>
      </c>
      <c r="P40" s="21" t="n">
        <f aca="false">2_Matriz_decision!P39/P$5</f>
        <v>0.0264720767589686</v>
      </c>
      <c r="Q40" s="21" t="n">
        <f aca="false">2_Matriz_decision!Q39/Q$5</f>
        <v>0.0133893885620924</v>
      </c>
    </row>
    <row r="41" customFormat="false" ht="15" hidden="false" customHeight="false" outlineLevel="0" collapsed="false">
      <c r="A41" s="15" t="n">
        <f aca="false">2_Matriz_decision!A40</f>
        <v>36</v>
      </c>
      <c r="B41" s="16" t="n">
        <f aca="false">2_Matriz_decision!B40</f>
        <v>3.84</v>
      </c>
      <c r="C41" s="21" t="n">
        <f aca="false">2_Matriz_decision!C40/C$5</f>
        <v>0.00879394903078847</v>
      </c>
      <c r="D41" s="21" t="n">
        <f aca="false">2_Matriz_decision!D40/D$5</f>
        <v>0.0418648306977948</v>
      </c>
      <c r="E41" s="21" t="n">
        <f aca="false">2_Matriz_decision!E40/E$5</f>
        <v>0.0300541462387823</v>
      </c>
      <c r="F41" s="21" t="n">
        <f aca="false">2_Matriz_decision!F40/F$5</f>
        <v>0.0494057638940627</v>
      </c>
      <c r="G41" s="21" t="n">
        <f aca="false">2_Matriz_decision!G40/G$5</f>
        <v>0.0308362065165227</v>
      </c>
      <c r="H41" s="21" t="n">
        <f aca="false">2_Matriz_decision!H40/H$5</f>
        <v>0.0640446931723768</v>
      </c>
      <c r="I41" s="21" t="n">
        <f aca="false">2_Matriz_decision!I40/I$5</f>
        <v>0.0148184741491462</v>
      </c>
      <c r="J41" s="21" t="n">
        <f aca="false">2_Matriz_decision!J40/J$5</f>
        <v>0.0469323254463932</v>
      </c>
      <c r="K41" s="21" t="n">
        <f aca="false">2_Matriz_decision!K40/K$5</f>
        <v>0.039014903418414</v>
      </c>
      <c r="L41" s="21" t="n">
        <f aca="false">2_Matriz_decision!L40/L$5</f>
        <v>0.0405687844085445</v>
      </c>
      <c r="M41" s="21" t="n">
        <f aca="false">2_Matriz_decision!M40/M$5</f>
        <v>0.0441878007760322</v>
      </c>
      <c r="N41" s="21" t="n">
        <f aca="false">2_Matriz_decision!N40/N$5</f>
        <v>0.0112098043469034</v>
      </c>
      <c r="O41" s="21" t="n">
        <f aca="false">2_Matriz_decision!O40/O$5</f>
        <v>0.0304431282773992</v>
      </c>
      <c r="P41" s="21" t="n">
        <f aca="false">2_Matriz_decision!P40/P$5</f>
        <v>0.0264720767589686</v>
      </c>
      <c r="Q41" s="21" t="n">
        <f aca="false">2_Matriz_decision!Q40/Q$5</f>
        <v>0.0133893885620924</v>
      </c>
    </row>
    <row r="42" customFormat="false" ht="15" hidden="false" customHeight="false" outlineLevel="0" collapsed="false">
      <c r="A42" s="15" t="n">
        <f aca="false">2_Matriz_decision!A41</f>
        <v>37</v>
      </c>
      <c r="B42" s="16" t="n">
        <f aca="false">2_Matriz_decision!B41</f>
        <v>3.937</v>
      </c>
      <c r="C42" s="21" t="n">
        <f aca="false">2_Matriz_decision!C41/C$5</f>
        <v>0.00879394903078847</v>
      </c>
      <c r="D42" s="21" t="n">
        <f aca="false">2_Matriz_decision!D41/D$5</f>
        <v>0.0418648306977948</v>
      </c>
      <c r="E42" s="21" t="n">
        <f aca="false">2_Matriz_decision!E41/E$5</f>
        <v>0.0300541462387823</v>
      </c>
      <c r="F42" s="21" t="n">
        <f aca="false">2_Matriz_decision!F41/F$5</f>
        <v>0.0395246111152501</v>
      </c>
      <c r="G42" s="21" t="n">
        <f aca="false">2_Matriz_decision!G41/G$5</f>
        <v>0.0308362065165227</v>
      </c>
      <c r="H42" s="21" t="n">
        <f aca="false">2_Matriz_decision!H41/H$5</f>
        <v>0.0640446931723768</v>
      </c>
      <c r="I42" s="21" t="n">
        <f aca="false">2_Matriz_decision!I41/I$5</f>
        <v>0.0148184741491462</v>
      </c>
      <c r="J42" s="21" t="n">
        <f aca="false">2_Matriz_decision!J41/J$5</f>
        <v>0.0469323254463932</v>
      </c>
      <c r="K42" s="21" t="n">
        <f aca="false">2_Matriz_decision!K41/K$5</f>
        <v>0.039014903418414</v>
      </c>
      <c r="L42" s="21" t="n">
        <f aca="false">2_Matriz_decision!L41/L$5</f>
        <v>0.0405019274797235</v>
      </c>
      <c r="M42" s="21" t="n">
        <f aca="false">2_Matriz_decision!M41/M$5</f>
        <v>0.0441878007760322</v>
      </c>
      <c r="N42" s="21" t="n">
        <f aca="false">2_Matriz_decision!N41/N$5</f>
        <v>0.0112098043469034</v>
      </c>
      <c r="O42" s="21" t="n">
        <f aca="false">2_Matriz_decision!O41/O$5</f>
        <v>0.0304431282773992</v>
      </c>
      <c r="P42" s="21" t="n">
        <f aca="false">2_Matriz_decision!P41/P$5</f>
        <v>0.0264720767589686</v>
      </c>
      <c r="Q42" s="21" t="n">
        <f aca="false">2_Matriz_decision!Q41/Q$5</f>
        <v>0.0133893885620924</v>
      </c>
    </row>
    <row r="43" customFormat="false" ht="15" hidden="false" customHeight="false" outlineLevel="0" collapsed="false">
      <c r="A43" s="15" t="n">
        <f aca="false">2_Matriz_decision!A42</f>
        <v>38</v>
      </c>
      <c r="B43" s="16" t="n">
        <f aca="false">2_Matriz_decision!B42</f>
        <v>4.034</v>
      </c>
      <c r="C43" s="21" t="n">
        <f aca="false">2_Matriz_decision!C42/C$5</f>
        <v>0.00879394903078847</v>
      </c>
      <c r="D43" s="21" t="n">
        <f aca="false">2_Matriz_decision!D42/D$5</f>
        <v>0.0418648306977948</v>
      </c>
      <c r="E43" s="21" t="n">
        <f aca="false">2_Matriz_decision!E42/E$5</f>
        <v>0.0300541462387823</v>
      </c>
      <c r="F43" s="21" t="n">
        <f aca="false">2_Matriz_decision!F42/F$5</f>
        <v>0.0395246111152501</v>
      </c>
      <c r="G43" s="21" t="n">
        <f aca="false">2_Matriz_decision!G42/G$5</f>
        <v>0.0308362065165227</v>
      </c>
      <c r="H43" s="21" t="n">
        <f aca="false">2_Matriz_decision!H42/H$5</f>
        <v>0.0640446931723768</v>
      </c>
      <c r="I43" s="21" t="n">
        <f aca="false">2_Matriz_decision!I42/I$5</f>
        <v>0.0148184741491462</v>
      </c>
      <c r="J43" s="21" t="n">
        <f aca="false">2_Matriz_decision!J42/J$5</f>
        <v>0.0469323254463932</v>
      </c>
      <c r="K43" s="21" t="n">
        <f aca="false">2_Matriz_decision!K42/K$5</f>
        <v>0.039014903418414</v>
      </c>
      <c r="L43" s="21" t="n">
        <f aca="false">2_Matriz_decision!L42/L$5</f>
        <v>0.0404484419366668</v>
      </c>
      <c r="M43" s="21" t="n">
        <f aca="false">2_Matriz_decision!M42/M$5</f>
        <v>0.0441878007760322</v>
      </c>
      <c r="N43" s="21" t="n">
        <f aca="false">2_Matriz_decision!N42/N$5</f>
        <v>0.0112098043469034</v>
      </c>
      <c r="O43" s="21" t="n">
        <f aca="false">2_Matriz_decision!O42/O$5</f>
        <v>0.0304431282773992</v>
      </c>
      <c r="P43" s="21" t="n">
        <f aca="false">2_Matriz_decision!P42/P$5</f>
        <v>0.0264720767589686</v>
      </c>
      <c r="Q43" s="21" t="n">
        <f aca="false">2_Matriz_decision!Q42/Q$5</f>
        <v>0.0133893885620924</v>
      </c>
    </row>
    <row r="44" customFormat="false" ht="15" hidden="false" customHeight="false" outlineLevel="0" collapsed="false">
      <c r="A44" s="15" t="n">
        <f aca="false">2_Matriz_decision!A43</f>
        <v>39</v>
      </c>
      <c r="B44" s="16" t="n">
        <f aca="false">2_Matriz_decision!B43</f>
        <v>4.132</v>
      </c>
      <c r="C44" s="21" t="n">
        <f aca="false">2_Matriz_decision!C43/C$5</f>
        <v>0.00879394903078847</v>
      </c>
      <c r="D44" s="21" t="n">
        <f aca="false">2_Matriz_decision!D43/D$5</f>
        <v>0.0418648306977948</v>
      </c>
      <c r="E44" s="21" t="n">
        <f aca="false">2_Matriz_decision!E43/E$5</f>
        <v>0.0300541462387823</v>
      </c>
      <c r="F44" s="21" t="n">
        <f aca="false">2_Matriz_decision!F43/F$5</f>
        <v>0.0494057638940627</v>
      </c>
      <c r="G44" s="21" t="n">
        <f aca="false">2_Matriz_decision!G43/G$5</f>
        <v>0.0308362065165227</v>
      </c>
      <c r="H44" s="21" t="n">
        <f aca="false">2_Matriz_decision!H43/H$5</f>
        <v>0.0640446931723768</v>
      </c>
      <c r="I44" s="21" t="n">
        <f aca="false">2_Matriz_decision!I43/I$5</f>
        <v>0.0148184741491462</v>
      </c>
      <c r="J44" s="21" t="n">
        <f aca="false">2_Matriz_decision!J43/J$5</f>
        <v>0.0469323254463932</v>
      </c>
      <c r="K44" s="21" t="n">
        <f aca="false">2_Matriz_decision!K43/K$5</f>
        <v>0.039014903418414</v>
      </c>
      <c r="L44" s="21" t="n">
        <f aca="false">2_Matriz_decision!L43/L$5</f>
        <v>0.0405286702512519</v>
      </c>
      <c r="M44" s="21" t="n">
        <f aca="false">2_Matriz_decision!M43/M$5</f>
        <v>0.0441878007760322</v>
      </c>
      <c r="N44" s="21" t="n">
        <f aca="false">2_Matriz_decision!N43/N$5</f>
        <v>0.0112098043469034</v>
      </c>
      <c r="O44" s="21" t="n">
        <f aca="false">2_Matriz_decision!O43/O$5</f>
        <v>0.0304431282773992</v>
      </c>
      <c r="P44" s="21" t="n">
        <f aca="false">2_Matriz_decision!P43/P$5</f>
        <v>0.0264720767589686</v>
      </c>
      <c r="Q44" s="21" t="n">
        <f aca="false">2_Matriz_decision!Q43/Q$5</f>
        <v>0.0133893885620924</v>
      </c>
    </row>
    <row r="45" customFormat="false" ht="15" hidden="false" customHeight="false" outlineLevel="0" collapsed="false">
      <c r="A45" s="15" t="n">
        <f aca="false">2_Matriz_decision!A44</f>
        <v>40</v>
      </c>
      <c r="B45" s="16" t="n">
        <f aca="false">2_Matriz_decision!B44</f>
        <v>4.23</v>
      </c>
      <c r="C45" s="21" t="n">
        <f aca="false">2_Matriz_decision!C44/C$5</f>
        <v>0.00879394903078847</v>
      </c>
      <c r="D45" s="21" t="n">
        <f aca="false">2_Matriz_decision!D44/D$5</f>
        <v>0.0418648306977948</v>
      </c>
      <c r="E45" s="21" t="n">
        <f aca="false">2_Matriz_decision!E44/E$5</f>
        <v>0.0300541462387823</v>
      </c>
      <c r="F45" s="21" t="n">
        <f aca="false">2_Matriz_decision!F44/F$5</f>
        <v>0.0494057638940627</v>
      </c>
      <c r="G45" s="21" t="n">
        <f aca="false">2_Matriz_decision!G44/G$5</f>
        <v>0.0308362065165227</v>
      </c>
      <c r="H45" s="21" t="n">
        <f aca="false">2_Matriz_decision!H44/H$5</f>
        <v>0.0640446931723768</v>
      </c>
      <c r="I45" s="21" t="n">
        <f aca="false">2_Matriz_decision!I44/I$5</f>
        <v>0.0148184741491462</v>
      </c>
      <c r="J45" s="21" t="n">
        <f aca="false">2_Matriz_decision!J44/J$5</f>
        <v>0.0469323254463932</v>
      </c>
      <c r="K45" s="21" t="n">
        <f aca="false">2_Matriz_decision!K44/K$5</f>
        <v>0.039014903418414</v>
      </c>
      <c r="L45" s="21" t="n">
        <f aca="false">2_Matriz_decision!L44/L$5</f>
        <v>0.04039495639361</v>
      </c>
      <c r="M45" s="21" t="n">
        <f aca="false">2_Matriz_decision!M44/M$5</f>
        <v>0.0441878007760322</v>
      </c>
      <c r="N45" s="21" t="n">
        <f aca="false">2_Matriz_decision!N44/N$5</f>
        <v>0.0112098043469034</v>
      </c>
      <c r="O45" s="21" t="n">
        <f aca="false">2_Matriz_decision!O44/O$5</f>
        <v>0.0304431282773992</v>
      </c>
      <c r="P45" s="21" t="n">
        <f aca="false">2_Matriz_decision!P44/P$5</f>
        <v>0.0264720767589686</v>
      </c>
      <c r="Q45" s="21" t="n">
        <f aca="false">2_Matriz_decision!Q44/Q$5</f>
        <v>0.0133893885620924</v>
      </c>
    </row>
    <row r="46" customFormat="false" ht="15" hidden="false" customHeight="false" outlineLevel="0" collapsed="false">
      <c r="A46" s="15" t="n">
        <f aca="false">2_Matriz_decision!A45</f>
        <v>41</v>
      </c>
      <c r="B46" s="16" t="n">
        <f aca="false">2_Matriz_decision!B45</f>
        <v>4.328</v>
      </c>
      <c r="C46" s="21" t="n">
        <f aca="false">2_Matriz_decision!C45/C$5</f>
        <v>0.00879394903078847</v>
      </c>
      <c r="D46" s="21" t="n">
        <f aca="false">2_Matriz_decision!D45/D$5</f>
        <v>0.0418648306977948</v>
      </c>
      <c r="E46" s="21" t="n">
        <f aca="false">2_Matriz_decision!E45/E$5</f>
        <v>0.0300541462387823</v>
      </c>
      <c r="F46" s="21" t="n">
        <f aca="false">2_Matriz_decision!F45/F$5</f>
        <v>0.0494057638940627</v>
      </c>
      <c r="G46" s="21" t="n">
        <f aca="false">2_Matriz_decision!G45/G$5</f>
        <v>0.0308362065165227</v>
      </c>
      <c r="H46" s="21" t="n">
        <f aca="false">2_Matriz_decision!H45/H$5</f>
        <v>0.0640446931723768</v>
      </c>
      <c r="I46" s="21" t="n">
        <f aca="false">2_Matriz_decision!I45/I$5</f>
        <v>0.0148184741491462</v>
      </c>
      <c r="J46" s="21" t="n">
        <f aca="false">2_Matriz_decision!J45/J$5</f>
        <v>0.0469323254463932</v>
      </c>
      <c r="K46" s="21" t="n">
        <f aca="false">2_Matriz_decision!K45/K$5</f>
        <v>0.039014903418414</v>
      </c>
      <c r="L46" s="21" t="n">
        <f aca="false">2_Matriz_decision!L45/L$5</f>
        <v>0.0397130157196365</v>
      </c>
      <c r="M46" s="21" t="n">
        <f aca="false">2_Matriz_decision!M45/M$5</f>
        <v>0.0441878007760322</v>
      </c>
      <c r="N46" s="21" t="n">
        <f aca="false">2_Matriz_decision!N45/N$5</f>
        <v>0.0112098043469034</v>
      </c>
      <c r="O46" s="21" t="n">
        <f aca="false">2_Matriz_decision!O45/O$5</f>
        <v>0.0304431282773992</v>
      </c>
      <c r="P46" s="21" t="n">
        <f aca="false">2_Matriz_decision!P45/P$5</f>
        <v>0.0264720767589686</v>
      </c>
      <c r="Q46" s="21" t="n">
        <f aca="false">2_Matriz_decision!Q45/Q$5</f>
        <v>0.0133893885620924</v>
      </c>
    </row>
    <row r="47" customFormat="false" ht="15" hidden="false" customHeight="false" outlineLevel="0" collapsed="false">
      <c r="A47" s="15" t="n">
        <f aca="false">2_Matriz_decision!A46</f>
        <v>42</v>
      </c>
      <c r="B47" s="16" t="n">
        <f aca="false">2_Matriz_decision!B46</f>
        <v>4.426</v>
      </c>
      <c r="C47" s="21" t="n">
        <f aca="false">2_Matriz_decision!C46/C$5</f>
        <v>0.00879394903078847</v>
      </c>
      <c r="D47" s="21" t="n">
        <f aca="false">2_Matriz_decision!D46/D$5</f>
        <v>0.0418648306977948</v>
      </c>
      <c r="E47" s="21" t="n">
        <f aca="false">2_Matriz_decision!E46/E$5</f>
        <v>0.0300541462387823</v>
      </c>
      <c r="F47" s="21" t="n">
        <f aca="false">2_Matriz_decision!F46/F$5</f>
        <v>0.0395246111152501</v>
      </c>
      <c r="G47" s="21" t="n">
        <f aca="false">2_Matriz_decision!G46/G$5</f>
        <v>0.0308362065165227</v>
      </c>
      <c r="H47" s="21" t="n">
        <f aca="false">2_Matriz_decision!H46/H$5</f>
        <v>0.0640446931723768</v>
      </c>
      <c r="I47" s="21" t="n">
        <f aca="false">2_Matriz_decision!I46/I$5</f>
        <v>0.0148184741491462</v>
      </c>
      <c r="J47" s="21" t="n">
        <f aca="false">2_Matriz_decision!J46/J$5</f>
        <v>0.0469323254463932</v>
      </c>
      <c r="K47" s="21" t="n">
        <f aca="false">2_Matriz_decision!K46/K$5</f>
        <v>0.039014903418414</v>
      </c>
      <c r="L47" s="21" t="n">
        <f aca="false">2_Matriz_decision!L46/L$5</f>
        <v>0.0382421632855759</v>
      </c>
      <c r="M47" s="21" t="n">
        <f aca="false">2_Matriz_decision!M46/M$5</f>
        <v>0.0441878007760322</v>
      </c>
      <c r="N47" s="21" t="n">
        <f aca="false">2_Matriz_decision!N46/N$5</f>
        <v>0.0112098043469034</v>
      </c>
      <c r="O47" s="21" t="n">
        <f aca="false">2_Matriz_decision!O46/O$5</f>
        <v>0.0304431282773992</v>
      </c>
      <c r="P47" s="21" t="n">
        <f aca="false">2_Matriz_decision!P46/P$5</f>
        <v>0.0264720767589686</v>
      </c>
      <c r="Q47" s="21" t="n">
        <f aca="false">2_Matriz_decision!Q46/Q$5</f>
        <v>0.0133893885620924</v>
      </c>
    </row>
    <row r="48" customFormat="false" ht="15" hidden="false" customHeight="false" outlineLevel="0" collapsed="false">
      <c r="A48" s="15" t="n">
        <f aca="false">2_Matriz_decision!A47</f>
        <v>43</v>
      </c>
      <c r="B48" s="16" t="n">
        <f aca="false">2_Matriz_decision!B47</f>
        <v>4.526</v>
      </c>
      <c r="C48" s="21" t="n">
        <f aca="false">2_Matriz_decision!C47/C$5</f>
        <v>0.00879394903078847</v>
      </c>
      <c r="D48" s="21" t="n">
        <f aca="false">2_Matriz_decision!D47/D$5</f>
        <v>0.0418648306977948</v>
      </c>
      <c r="E48" s="21" t="n">
        <f aca="false">2_Matriz_decision!E47/E$5</f>
        <v>0.0300541462387823</v>
      </c>
      <c r="F48" s="21" t="n">
        <f aca="false">2_Matriz_decision!F47/F$5</f>
        <v>0.0395246111152501</v>
      </c>
      <c r="G48" s="21" t="n">
        <f aca="false">2_Matriz_decision!G47/G$5</f>
        <v>0.0308362065165227</v>
      </c>
      <c r="H48" s="21" t="n">
        <f aca="false">2_Matriz_decision!H47/H$5</f>
        <v>0.0640446931723768</v>
      </c>
      <c r="I48" s="21" t="n">
        <f aca="false">2_Matriz_decision!I47/I$5</f>
        <v>0.0148184741491462</v>
      </c>
      <c r="J48" s="21" t="n">
        <f aca="false">2_Matriz_decision!J47/J$5</f>
        <v>0.0469323254463932</v>
      </c>
      <c r="K48" s="21" t="n">
        <f aca="false">2_Matriz_decision!K47/K$5</f>
        <v>0.039014903418414</v>
      </c>
      <c r="L48" s="21" t="n">
        <f aca="false">2_Matriz_decision!L47/L$5</f>
        <v>0.0383491343716893</v>
      </c>
      <c r="M48" s="21" t="n">
        <f aca="false">2_Matriz_decision!M47/M$5</f>
        <v>0.0441878007760322</v>
      </c>
      <c r="N48" s="21" t="n">
        <f aca="false">2_Matriz_decision!N47/N$5</f>
        <v>0.0112098043469034</v>
      </c>
      <c r="O48" s="21" t="n">
        <f aca="false">2_Matriz_decision!O47/O$5</f>
        <v>0.0304431282773992</v>
      </c>
      <c r="P48" s="21" t="n">
        <f aca="false">2_Matriz_decision!P47/P$5</f>
        <v>0.0264720767589686</v>
      </c>
      <c r="Q48" s="21" t="n">
        <f aca="false">2_Matriz_decision!Q47/Q$5</f>
        <v>0.0133893885620924</v>
      </c>
    </row>
    <row r="49" customFormat="false" ht="15" hidden="false" customHeight="false" outlineLevel="0" collapsed="false">
      <c r="A49" s="15" t="n">
        <f aca="false">2_Matriz_decision!A48</f>
        <v>44</v>
      </c>
      <c r="B49" s="16" t="n">
        <f aca="false">2_Matriz_decision!B48</f>
        <v>4.626</v>
      </c>
      <c r="C49" s="21" t="n">
        <f aca="false">2_Matriz_decision!C48/C$5</f>
        <v>0.00879394903078847</v>
      </c>
      <c r="D49" s="21" t="n">
        <f aca="false">2_Matriz_decision!D48/D$5</f>
        <v>0.0418648306977948</v>
      </c>
      <c r="E49" s="21" t="n">
        <f aca="false">2_Matriz_decision!E48/E$5</f>
        <v>0.0300541462387823</v>
      </c>
      <c r="F49" s="21" t="n">
        <f aca="false">2_Matriz_decision!F48/F$5</f>
        <v>0.0395246111152501</v>
      </c>
      <c r="G49" s="21" t="n">
        <f aca="false">2_Matriz_decision!G48/G$5</f>
        <v>0.0308362065165227</v>
      </c>
      <c r="H49" s="21" t="n">
        <f aca="false">2_Matriz_decision!H48/H$5</f>
        <v>0.0640446931723768</v>
      </c>
      <c r="I49" s="21" t="n">
        <f aca="false">2_Matriz_decision!I48/I$5</f>
        <v>0.0148184741491462</v>
      </c>
      <c r="J49" s="21" t="n">
        <f aca="false">2_Matriz_decision!J48/J$5</f>
        <v>0.0469323254463932</v>
      </c>
      <c r="K49" s="21" t="n">
        <f aca="false">2_Matriz_decision!K48/K$5</f>
        <v>0.039014903418414</v>
      </c>
      <c r="L49" s="21" t="n">
        <f aca="false">2_Matriz_decision!L48/L$5</f>
        <v>0.0386299334727373</v>
      </c>
      <c r="M49" s="21" t="n">
        <f aca="false">2_Matriz_decision!M48/M$5</f>
        <v>0.0441878007760322</v>
      </c>
      <c r="N49" s="21" t="n">
        <f aca="false">2_Matriz_decision!N48/N$5</f>
        <v>0.0112098043469034</v>
      </c>
      <c r="O49" s="21" t="n">
        <f aca="false">2_Matriz_decision!O48/O$5</f>
        <v>0.0304431282773992</v>
      </c>
      <c r="P49" s="21" t="n">
        <f aca="false">2_Matriz_decision!P48/P$5</f>
        <v>0.0264720767589686</v>
      </c>
      <c r="Q49" s="21" t="n">
        <f aca="false">2_Matriz_decision!Q48/Q$5</f>
        <v>0.0133893885620924</v>
      </c>
    </row>
    <row r="50" customFormat="false" ht="15" hidden="false" customHeight="false" outlineLevel="0" collapsed="false">
      <c r="A50" s="15" t="n">
        <f aca="false">2_Matriz_decision!A49</f>
        <v>45</v>
      </c>
      <c r="B50" s="16" t="n">
        <f aca="false">2_Matriz_decision!B49</f>
        <v>4.726</v>
      </c>
      <c r="C50" s="21" t="n">
        <f aca="false">2_Matriz_decision!C49/C$5</f>
        <v>0.0175878980615769</v>
      </c>
      <c r="D50" s="21" t="n">
        <f aca="false">2_Matriz_decision!D49/D$5</f>
        <v>0.0418648306977948</v>
      </c>
      <c r="E50" s="21" t="n">
        <f aca="false">2_Matriz_decision!E49/E$5</f>
        <v>0.0300541462387823</v>
      </c>
      <c r="F50" s="21" t="n">
        <f aca="false">2_Matriz_decision!F49/F$5</f>
        <v>0.0395246111152501</v>
      </c>
      <c r="G50" s="21" t="n">
        <f aca="false">2_Matriz_decision!G49/G$5</f>
        <v>0.0308362065165227</v>
      </c>
      <c r="H50" s="21" t="n">
        <f aca="false">2_Matriz_decision!H49/H$5</f>
        <v>0.0640446931723768</v>
      </c>
      <c r="I50" s="21" t="n">
        <f aca="false">2_Matriz_decision!I49/I$5</f>
        <v>0.0148184741491462</v>
      </c>
      <c r="J50" s="21" t="n">
        <f aca="false">2_Matriz_decision!J49/J$5</f>
        <v>0.0469323254463932</v>
      </c>
      <c r="K50" s="21" t="n">
        <f aca="false">2_Matriz_decision!K49/K$5</f>
        <v>0.039014903418414</v>
      </c>
      <c r="L50" s="21" t="n">
        <f aca="false">2_Matriz_decision!L49/L$5</f>
        <v>0.0406222699516012</v>
      </c>
      <c r="M50" s="21" t="n">
        <f aca="false">2_Matriz_decision!M49/M$5</f>
        <v>0.0441878007760322</v>
      </c>
      <c r="N50" s="21" t="n">
        <f aca="false">2_Matriz_decision!N49/N$5</f>
        <v>0.0112098043469034</v>
      </c>
      <c r="O50" s="21" t="n">
        <f aca="false">2_Matriz_decision!O49/O$5</f>
        <v>0.0304431282773992</v>
      </c>
      <c r="P50" s="21" t="n">
        <f aca="false">2_Matriz_decision!P49/P$5</f>
        <v>0.0264720767589686</v>
      </c>
      <c r="Q50" s="21" t="n">
        <f aca="false">2_Matriz_decision!Q49/Q$5</f>
        <v>0.0133893885620924</v>
      </c>
    </row>
    <row r="51" customFormat="false" ht="15" hidden="false" customHeight="false" outlineLevel="0" collapsed="false">
      <c r="A51" s="15" t="n">
        <f aca="false">2_Matriz_decision!A50</f>
        <v>46</v>
      </c>
      <c r="B51" s="16" t="n">
        <f aca="false">2_Matriz_decision!B50</f>
        <v>4.826</v>
      </c>
      <c r="C51" s="21" t="n">
        <f aca="false">2_Matriz_decision!C50/C$5</f>
        <v>0.0263818470923654</v>
      </c>
      <c r="D51" s="21" t="n">
        <f aca="false">2_Matriz_decision!D50/D$5</f>
        <v>0.0418648306977948</v>
      </c>
      <c r="E51" s="21" t="n">
        <f aca="false">2_Matriz_decision!E50/E$5</f>
        <v>0.0300541462387823</v>
      </c>
      <c r="F51" s="21" t="n">
        <f aca="false">2_Matriz_decision!F50/F$5</f>
        <v>0.0494057638940627</v>
      </c>
      <c r="G51" s="21" t="n">
        <f aca="false">2_Matriz_decision!G50/G$5</f>
        <v>0.0308362065165227</v>
      </c>
      <c r="H51" s="21" t="n">
        <f aca="false">2_Matriz_decision!H50/H$5</f>
        <v>0.0640446931723768</v>
      </c>
      <c r="I51" s="21" t="n">
        <f aca="false">2_Matriz_decision!I50/I$5</f>
        <v>0.0148184741491462</v>
      </c>
      <c r="J51" s="21" t="n">
        <f aca="false">2_Matriz_decision!J50/J$5</f>
        <v>0.0469323254463932</v>
      </c>
      <c r="K51" s="21" t="n">
        <f aca="false">2_Matriz_decision!K50/K$5</f>
        <v>0.039014903418414</v>
      </c>
      <c r="L51" s="21" t="n">
        <f aca="false">2_Matriz_decision!L50/L$5</f>
        <v>0.0408495835095924</v>
      </c>
      <c r="M51" s="21" t="n">
        <f aca="false">2_Matriz_decision!M50/M$5</f>
        <v>0.0441878007760322</v>
      </c>
      <c r="N51" s="21" t="n">
        <f aca="false">2_Matriz_decision!N50/N$5</f>
        <v>0.0112098043469034</v>
      </c>
      <c r="O51" s="21" t="n">
        <f aca="false">2_Matriz_decision!O50/O$5</f>
        <v>0.0304431282773992</v>
      </c>
      <c r="P51" s="21" t="n">
        <f aca="false">2_Matriz_decision!P50/P$5</f>
        <v>0.0264720767589686</v>
      </c>
      <c r="Q51" s="21" t="n">
        <f aca="false">2_Matriz_decision!Q50/Q$5</f>
        <v>0.0133893885620924</v>
      </c>
    </row>
    <row r="52" customFormat="false" ht="15" hidden="false" customHeight="false" outlineLevel="0" collapsed="false">
      <c r="A52" s="15" t="n">
        <f aca="false">2_Matriz_decision!A51</f>
        <v>47</v>
      </c>
      <c r="B52" s="16" t="n">
        <f aca="false">2_Matriz_decision!B51</f>
        <v>4.925</v>
      </c>
      <c r="C52" s="21" t="n">
        <f aca="false">2_Matriz_decision!C51/C$5</f>
        <v>0.0263818470923654</v>
      </c>
      <c r="D52" s="21" t="n">
        <f aca="false">2_Matriz_decision!D51/D$5</f>
        <v>0.0418648306977948</v>
      </c>
      <c r="E52" s="21" t="n">
        <f aca="false">2_Matriz_decision!E51/E$5</f>
        <v>0.0400721949850431</v>
      </c>
      <c r="F52" s="21" t="n">
        <f aca="false">2_Matriz_decision!F51/F$5</f>
        <v>0.0395246111152501</v>
      </c>
      <c r="G52" s="21" t="n">
        <f aca="false">2_Matriz_decision!G51/G$5</f>
        <v>0.0308362065165227</v>
      </c>
      <c r="H52" s="21" t="n">
        <f aca="false">2_Matriz_decision!H51/H$5</f>
        <v>0.0640446931723768</v>
      </c>
      <c r="I52" s="21" t="n">
        <f aca="false">2_Matriz_decision!I51/I$5</f>
        <v>0.0148184741491462</v>
      </c>
      <c r="J52" s="21" t="n">
        <f aca="false">2_Matriz_decision!J51/J$5</f>
        <v>0.0469323254463932</v>
      </c>
      <c r="K52" s="21" t="n">
        <f aca="false">2_Matriz_decision!K51/K$5</f>
        <v>0.039014903418414</v>
      </c>
      <c r="L52" s="21" t="n">
        <f aca="false">2_Matriz_decision!L51/L$5</f>
        <v>0.037894507255707</v>
      </c>
      <c r="M52" s="21" t="n">
        <f aca="false">2_Matriz_decision!M51/M$5</f>
        <v>0.0441878007760322</v>
      </c>
      <c r="N52" s="21" t="n">
        <f aca="false">2_Matriz_decision!N51/N$5</f>
        <v>0.0112098043469034</v>
      </c>
      <c r="O52" s="21" t="n">
        <f aca="false">2_Matriz_decision!O51/O$5</f>
        <v>0.0304431282773992</v>
      </c>
      <c r="P52" s="21" t="n">
        <f aca="false">2_Matriz_decision!P51/P$5</f>
        <v>0.0264720767589686</v>
      </c>
      <c r="Q52" s="21" t="n">
        <f aca="false">2_Matriz_decision!Q51/Q$5</f>
        <v>0.0133893885620924</v>
      </c>
    </row>
    <row r="53" customFormat="false" ht="15" hidden="false" customHeight="false" outlineLevel="0" collapsed="false">
      <c r="A53" s="15" t="n">
        <f aca="false">2_Matriz_decision!A52</f>
        <v>48</v>
      </c>
      <c r="B53" s="16" t="n">
        <f aca="false">2_Matriz_decision!B52</f>
        <v>5.023</v>
      </c>
      <c r="C53" s="21" t="n">
        <f aca="false">2_Matriz_decision!C52/C$5</f>
        <v>0.0263818470923654</v>
      </c>
      <c r="D53" s="21" t="n">
        <f aca="false">2_Matriz_decision!D52/D$5</f>
        <v>0.0418648306977948</v>
      </c>
      <c r="E53" s="21" t="n">
        <f aca="false">2_Matriz_decision!E52/E$5</f>
        <v>0.0300541462387823</v>
      </c>
      <c r="F53" s="21" t="n">
        <f aca="false">2_Matriz_decision!F52/F$5</f>
        <v>0.0395246111152501</v>
      </c>
      <c r="G53" s="21" t="n">
        <f aca="false">2_Matriz_decision!G52/G$5</f>
        <v>0.0308362065165227</v>
      </c>
      <c r="H53" s="21" t="n">
        <f aca="false">2_Matriz_decision!H52/H$5</f>
        <v>0.0640446931723768</v>
      </c>
      <c r="I53" s="21" t="n">
        <f aca="false">2_Matriz_decision!I52/I$5</f>
        <v>0.0148184741491462</v>
      </c>
      <c r="J53" s="21" t="n">
        <f aca="false">2_Matriz_decision!J52/J$5</f>
        <v>0.0469323254463932</v>
      </c>
      <c r="K53" s="21" t="n">
        <f aca="false">2_Matriz_decision!K52/K$5</f>
        <v>0.039014903418414</v>
      </c>
      <c r="L53" s="21" t="n">
        <f aca="false">2_Matriz_decision!L52/L$5</f>
        <v>0.0330005800660144</v>
      </c>
      <c r="M53" s="21" t="n">
        <f aca="false">2_Matriz_decision!M52/M$5</f>
        <v>0.0441878007760322</v>
      </c>
      <c r="N53" s="21" t="n">
        <f aca="false">2_Matriz_decision!N52/N$5</f>
        <v>0.0112098043469034</v>
      </c>
      <c r="O53" s="21" t="n">
        <f aca="false">2_Matriz_decision!O52/O$5</f>
        <v>0.0304431282773992</v>
      </c>
      <c r="P53" s="21" t="n">
        <f aca="false">2_Matriz_decision!P52/P$5</f>
        <v>0.0264720767589686</v>
      </c>
      <c r="Q53" s="21" t="n">
        <f aca="false">2_Matriz_decision!Q52/Q$5</f>
        <v>0.0133893885620924</v>
      </c>
    </row>
    <row r="54" customFormat="false" ht="15" hidden="false" customHeight="false" outlineLevel="0" collapsed="false">
      <c r="A54" s="15" t="n">
        <f aca="false">2_Matriz_decision!A53</f>
        <v>49</v>
      </c>
      <c r="B54" s="16" t="n">
        <f aca="false">2_Matriz_decision!B53</f>
        <v>5.12</v>
      </c>
      <c r="C54" s="21" t="n">
        <f aca="false">2_Matriz_decision!C53/C$5</f>
        <v>0.0263818470923654</v>
      </c>
      <c r="D54" s="21" t="n">
        <f aca="false">2_Matriz_decision!D53/D$5</f>
        <v>0.0418648306977948</v>
      </c>
      <c r="E54" s="21" t="n">
        <f aca="false">2_Matriz_decision!E53/E$5</f>
        <v>0.0300541462387823</v>
      </c>
      <c r="F54" s="21" t="n">
        <f aca="false">2_Matriz_decision!F53/F$5</f>
        <v>0.0494057638940627</v>
      </c>
      <c r="G54" s="21" t="n">
        <f aca="false">2_Matriz_decision!G53/G$5</f>
        <v>0.0308362065165227</v>
      </c>
      <c r="H54" s="21" t="n">
        <f aca="false">2_Matriz_decision!H53/H$5</f>
        <v>0.0640446931723768</v>
      </c>
      <c r="I54" s="21" t="n">
        <f aca="false">2_Matriz_decision!I53/I$5</f>
        <v>0.0148184741491462</v>
      </c>
      <c r="J54" s="21" t="n">
        <f aca="false">2_Matriz_decision!J53/J$5</f>
        <v>0.0469323254463932</v>
      </c>
      <c r="K54" s="21" t="n">
        <f aca="false">2_Matriz_decision!K53/K$5</f>
        <v>0.039014903418414</v>
      </c>
      <c r="L54" s="21" t="n">
        <f aca="false">2_Matriz_decision!L53/L$5</f>
        <v>0.033187779466713</v>
      </c>
      <c r="M54" s="21" t="n">
        <f aca="false">2_Matriz_decision!M53/M$5</f>
        <v>0.0426633216492591</v>
      </c>
      <c r="N54" s="21" t="n">
        <f aca="false">2_Matriz_decision!N53/N$5</f>
        <v>0.0112098043469034</v>
      </c>
      <c r="O54" s="21" t="n">
        <f aca="false">2_Matriz_decision!O53/O$5</f>
        <v>0.0304431282773992</v>
      </c>
      <c r="P54" s="21" t="n">
        <f aca="false">2_Matriz_decision!P53/P$5</f>
        <v>0.0264720767589686</v>
      </c>
      <c r="Q54" s="21" t="n">
        <f aca="false">2_Matriz_decision!Q53/Q$5</f>
        <v>0.0133893885620924</v>
      </c>
    </row>
    <row r="55" customFormat="false" ht="15" hidden="false" customHeight="false" outlineLevel="0" collapsed="false">
      <c r="A55" s="15" t="n">
        <f aca="false">2_Matriz_decision!A54</f>
        <v>50</v>
      </c>
      <c r="B55" s="16" t="n">
        <f aca="false">2_Matriz_decision!B54</f>
        <v>5.216</v>
      </c>
      <c r="C55" s="21" t="n">
        <f aca="false">2_Matriz_decision!C54/C$5</f>
        <v>0.0263818470923654</v>
      </c>
      <c r="D55" s="21" t="n">
        <f aca="false">2_Matriz_decision!D54/D$5</f>
        <v>0.0418648306977948</v>
      </c>
      <c r="E55" s="21" t="n">
        <f aca="false">2_Matriz_decision!E54/E$5</f>
        <v>0.0300541462387823</v>
      </c>
      <c r="F55" s="21" t="n">
        <f aca="false">2_Matriz_decision!F54/F$5</f>
        <v>0.0395246111152501</v>
      </c>
      <c r="G55" s="21" t="n">
        <f aca="false">2_Matriz_decision!G54/G$5</f>
        <v>0.0308362065165227</v>
      </c>
      <c r="H55" s="21" t="n">
        <f aca="false">2_Matriz_decision!H54/H$5</f>
        <v>0.0640446931723768</v>
      </c>
      <c r="I55" s="21" t="n">
        <f aca="false">2_Matriz_decision!I54/I$5</f>
        <v>0.0148184741491462</v>
      </c>
      <c r="J55" s="21" t="n">
        <f aca="false">2_Matriz_decision!J54/J$5</f>
        <v>0.0469323254463932</v>
      </c>
      <c r="K55" s="21" t="n">
        <f aca="false">2_Matriz_decision!K54/K$5</f>
        <v>0.039014903418414</v>
      </c>
      <c r="L55" s="21" t="n">
        <f aca="false">2_Matriz_decision!L54/L$5</f>
        <v>0.0335086927250535</v>
      </c>
      <c r="M55" s="21" t="n">
        <f aca="false">2_Matriz_decision!M54/M$5</f>
        <v>0.0377474288129255</v>
      </c>
      <c r="N55" s="21" t="n">
        <f aca="false">2_Matriz_decision!N54/N$5</f>
        <v>0.0112098043469034</v>
      </c>
      <c r="O55" s="21" t="n">
        <f aca="false">2_Matriz_decision!O54/O$5</f>
        <v>0.0304431282773992</v>
      </c>
      <c r="P55" s="21" t="n">
        <f aca="false">2_Matriz_decision!P54/P$5</f>
        <v>0.0264720767589686</v>
      </c>
      <c r="Q55" s="21" t="n">
        <f aca="false">2_Matriz_decision!Q54/Q$5</f>
        <v>0.0133893885620924</v>
      </c>
    </row>
    <row r="56" customFormat="false" ht="15" hidden="false" customHeight="false" outlineLevel="0" collapsed="false">
      <c r="A56" s="15" t="n">
        <f aca="false">2_Matriz_decision!A55</f>
        <v>51</v>
      </c>
      <c r="B56" s="16" t="n">
        <f aca="false">2_Matriz_decision!B55</f>
        <v>5.31</v>
      </c>
      <c r="C56" s="21" t="n">
        <f aca="false">2_Matriz_decision!C55/C$5</f>
        <v>0.0263818470923654</v>
      </c>
      <c r="D56" s="21" t="n">
        <f aca="false">2_Matriz_decision!D55/D$5</f>
        <v>0.0418648306977948</v>
      </c>
      <c r="E56" s="21" t="n">
        <f aca="false">2_Matriz_decision!E55/E$5</f>
        <v>0.0300541462387823</v>
      </c>
      <c r="F56" s="21" t="n">
        <f aca="false">2_Matriz_decision!F55/F$5</f>
        <v>0.0395246111152501</v>
      </c>
      <c r="G56" s="21" t="n">
        <f aca="false">2_Matriz_decision!G55/G$5</f>
        <v>0.0308362065165227</v>
      </c>
      <c r="H56" s="21" t="n">
        <f aca="false">2_Matriz_decision!H55/H$5</f>
        <v>0.0640446931723768</v>
      </c>
      <c r="I56" s="21" t="n">
        <f aca="false">2_Matriz_decision!I55/I$5</f>
        <v>0.0148184741491462</v>
      </c>
      <c r="J56" s="21" t="n">
        <f aca="false">2_Matriz_decision!J55/J$5</f>
        <v>0.0469323254463932</v>
      </c>
      <c r="K56" s="21" t="n">
        <f aca="false">2_Matriz_decision!K55/K$5</f>
        <v>0.039014903418414</v>
      </c>
      <c r="L56" s="21" t="n">
        <f aca="false">2_Matriz_decision!L55/L$5</f>
        <v>0.0391647889033048</v>
      </c>
      <c r="M56" s="21" t="n">
        <f aca="false">2_Matriz_decision!M55/M$5</f>
        <v>0.0360793393336303</v>
      </c>
      <c r="N56" s="21" t="n">
        <f aca="false">2_Matriz_decision!N55/N$5</f>
        <v>0.0112098043469034</v>
      </c>
      <c r="O56" s="21" t="n">
        <f aca="false">2_Matriz_decision!O55/O$5</f>
        <v>0.0304431282773992</v>
      </c>
      <c r="P56" s="21" t="n">
        <f aca="false">2_Matriz_decision!P55/P$5</f>
        <v>0.0264720767589686</v>
      </c>
      <c r="Q56" s="21" t="n">
        <f aca="false">2_Matriz_decision!Q55/Q$5</f>
        <v>0.0133893885620924</v>
      </c>
    </row>
    <row r="57" customFormat="false" ht="15" hidden="false" customHeight="false" outlineLevel="0" collapsed="false">
      <c r="A57" s="15" t="n">
        <f aca="false">2_Matriz_decision!A56</f>
        <v>52</v>
      </c>
      <c r="B57" s="16" t="n">
        <f aca="false">2_Matriz_decision!B56</f>
        <v>5.403</v>
      </c>
      <c r="C57" s="21" t="n">
        <f aca="false">2_Matriz_decision!C56/C$5</f>
        <v>0.0263818470923654</v>
      </c>
      <c r="D57" s="21" t="n">
        <f aca="false">2_Matriz_decision!D56/D$5</f>
        <v>0.0334918645582358</v>
      </c>
      <c r="E57" s="21" t="n">
        <f aca="false">2_Matriz_decision!E56/E$5</f>
        <v>0.0300541462387823</v>
      </c>
      <c r="F57" s="21" t="n">
        <f aca="false">2_Matriz_decision!F56/F$5</f>
        <v>0.0395246111152501</v>
      </c>
      <c r="G57" s="21" t="n">
        <f aca="false">2_Matriz_decision!G56/G$5</f>
        <v>0.0308362065165227</v>
      </c>
      <c r="H57" s="21" t="n">
        <f aca="false">2_Matriz_decision!H56/H$5</f>
        <v>0.0640446931723768</v>
      </c>
      <c r="I57" s="21" t="n">
        <f aca="false">2_Matriz_decision!I56/I$5</f>
        <v>0.0148184741491462</v>
      </c>
      <c r="J57" s="21" t="n">
        <f aca="false">2_Matriz_decision!J56/J$5</f>
        <v>0.0469323254463932</v>
      </c>
      <c r="K57" s="21" t="n">
        <f aca="false">2_Matriz_decision!K56/K$5</f>
        <v>0.039014903418414</v>
      </c>
      <c r="L57" s="21" t="n">
        <f aca="false">2_Matriz_decision!L56/L$5</f>
        <v>0.0369585102522139</v>
      </c>
      <c r="M57" s="21" t="n">
        <f aca="false">2_Matriz_decision!M56/M$5</f>
        <v>0.0353833814714078</v>
      </c>
      <c r="N57" s="21" t="n">
        <f aca="false">2_Matriz_decision!N56/N$5</f>
        <v>0.0112098043469034</v>
      </c>
      <c r="O57" s="21" t="n">
        <f aca="false">2_Matriz_decision!O56/O$5</f>
        <v>0.0304431282773992</v>
      </c>
      <c r="P57" s="21" t="n">
        <f aca="false">2_Matriz_decision!P56/P$5</f>
        <v>0.0264720767589686</v>
      </c>
      <c r="Q57" s="21" t="n">
        <f aca="false">2_Matriz_decision!Q56/Q$5</f>
        <v>0.0133893885620924</v>
      </c>
    </row>
    <row r="58" customFormat="false" ht="15" hidden="false" customHeight="false" outlineLevel="0" collapsed="false">
      <c r="A58" s="15" t="n">
        <f aca="false">2_Matriz_decision!A57</f>
        <v>53</v>
      </c>
      <c r="B58" s="16" t="n">
        <f aca="false">2_Matriz_decision!B57</f>
        <v>5.496</v>
      </c>
      <c r="C58" s="21" t="n">
        <f aca="false">2_Matriz_decision!C57/C$5</f>
        <v>0.0263818470923654</v>
      </c>
      <c r="D58" s="21" t="n">
        <f aca="false">2_Matriz_decision!D57/D$5</f>
        <v>0.0334918645582358</v>
      </c>
      <c r="E58" s="21" t="n">
        <f aca="false">2_Matriz_decision!E57/E$5</f>
        <v>0.0300541462387823</v>
      </c>
      <c r="F58" s="21" t="n">
        <f aca="false">2_Matriz_decision!F57/F$5</f>
        <v>0.0395246111152501</v>
      </c>
      <c r="G58" s="21" t="n">
        <f aca="false">2_Matriz_decision!G57/G$5</f>
        <v>0.0308362065165227</v>
      </c>
      <c r="H58" s="21" t="n">
        <f aca="false">2_Matriz_decision!H57/H$5</f>
        <v>0.0640446931723768</v>
      </c>
      <c r="I58" s="21" t="n">
        <f aca="false">2_Matriz_decision!I57/I$5</f>
        <v>0.0148184741491462</v>
      </c>
      <c r="J58" s="21" t="n">
        <f aca="false">2_Matriz_decision!J57/J$5</f>
        <v>0.0469323254463932</v>
      </c>
      <c r="K58" s="21" t="n">
        <f aca="false">2_Matriz_decision!K57/K$5</f>
        <v>0.039014903418414</v>
      </c>
      <c r="L58" s="21" t="n">
        <f aca="false">2_Matriz_decision!L57/L$5</f>
        <v>0.0319174978191152</v>
      </c>
      <c r="M58" s="21" t="n">
        <f aca="false">2_Matriz_decision!M57/M$5</f>
        <v>0.0378137105140896</v>
      </c>
      <c r="N58" s="21" t="n">
        <f aca="false">2_Matriz_decision!N57/N$5</f>
        <v>0.0112098043469034</v>
      </c>
      <c r="O58" s="21" t="n">
        <f aca="false">2_Matriz_decision!O57/O$5</f>
        <v>0.0304431282773992</v>
      </c>
      <c r="P58" s="21" t="n">
        <f aca="false">2_Matriz_decision!P57/P$5</f>
        <v>0.0264720767589686</v>
      </c>
      <c r="Q58" s="21" t="n">
        <f aca="false">2_Matriz_decision!Q57/Q$5</f>
        <v>0.0133893885620924</v>
      </c>
    </row>
    <row r="59" customFormat="false" ht="15" hidden="false" customHeight="false" outlineLevel="0" collapsed="false">
      <c r="A59" s="15" t="n">
        <f aca="false">2_Matriz_decision!A58</f>
        <v>54</v>
      </c>
      <c r="B59" s="16" t="n">
        <f aca="false">2_Matriz_decision!B58</f>
        <v>5.589</v>
      </c>
      <c r="C59" s="21" t="n">
        <f aca="false">2_Matriz_decision!C58/C$5</f>
        <v>0.0263818470923654</v>
      </c>
      <c r="D59" s="21" t="n">
        <f aca="false">2_Matriz_decision!D58/D$5</f>
        <v>0.0334918645582358</v>
      </c>
      <c r="E59" s="21" t="n">
        <f aca="false">2_Matriz_decision!E58/E$5</f>
        <v>0.0200360974925215</v>
      </c>
      <c r="F59" s="21" t="n">
        <f aca="false">2_Matriz_decision!F58/F$5</f>
        <v>0.0395246111152501</v>
      </c>
      <c r="G59" s="21" t="n">
        <f aca="false">2_Matriz_decision!G58/G$5</f>
        <v>0.0308362065165227</v>
      </c>
      <c r="H59" s="21" t="n">
        <f aca="false">2_Matriz_decision!H58/H$5</f>
        <v>0.0640446931723768</v>
      </c>
      <c r="I59" s="21" t="n">
        <f aca="false">2_Matriz_decision!I58/I$5</f>
        <v>0.0148184741491462</v>
      </c>
      <c r="J59" s="21" t="n">
        <f aca="false">2_Matriz_decision!J58/J$5</f>
        <v>0.0469323254463932</v>
      </c>
      <c r="K59" s="21" t="n">
        <f aca="false">2_Matriz_decision!K58/K$5</f>
        <v>0.039014903418414</v>
      </c>
      <c r="L59" s="21" t="n">
        <f aca="false">2_Matriz_decision!L58/L$5</f>
        <v>0.0322384110774557</v>
      </c>
      <c r="M59" s="21" t="n">
        <f aca="false">2_Matriz_decision!M58/M$5</f>
        <v>0.0414260632275302</v>
      </c>
      <c r="N59" s="21" t="n">
        <f aca="false">2_Matriz_decision!N58/N$5</f>
        <v>0.0112098043469034</v>
      </c>
      <c r="O59" s="21" t="n">
        <f aca="false">2_Matriz_decision!O58/O$5</f>
        <v>0.0304431282773992</v>
      </c>
      <c r="P59" s="21" t="n">
        <f aca="false">2_Matriz_decision!P58/P$5</f>
        <v>0.0264720767589686</v>
      </c>
      <c r="Q59" s="21" t="n">
        <f aca="false">2_Matriz_decision!Q58/Q$5</f>
        <v>0.0133893885620924</v>
      </c>
    </row>
    <row r="60" customFormat="false" ht="15" hidden="false" customHeight="false" outlineLevel="0" collapsed="false">
      <c r="A60" s="15" t="n">
        <f aca="false">2_Matriz_decision!A59</f>
        <v>55</v>
      </c>
      <c r="B60" s="16" t="n">
        <f aca="false">2_Matriz_decision!B59</f>
        <v>5.682</v>
      </c>
      <c r="C60" s="21" t="n">
        <f aca="false">2_Matriz_decision!C59/C$5</f>
        <v>0.0263818470923654</v>
      </c>
      <c r="D60" s="21" t="n">
        <f aca="false">2_Matriz_decision!D59/D$5</f>
        <v>0.0334918645582358</v>
      </c>
      <c r="E60" s="21" t="n">
        <f aca="false">2_Matriz_decision!E59/E$5</f>
        <v>0.0200360974925215</v>
      </c>
      <c r="F60" s="21" t="n">
        <f aca="false">2_Matriz_decision!F59/F$5</f>
        <v>0.0395246111152501</v>
      </c>
      <c r="G60" s="21" t="n">
        <f aca="false">2_Matriz_decision!G59/G$5</f>
        <v>0.0308362065165227</v>
      </c>
      <c r="H60" s="21" t="n">
        <f aca="false">2_Matriz_decision!H59/H$5</f>
        <v>0.0640446931723768</v>
      </c>
      <c r="I60" s="21" t="n">
        <f aca="false">2_Matriz_decision!I59/I$5</f>
        <v>0.0148184741491462</v>
      </c>
      <c r="J60" s="21" t="n">
        <f aca="false">2_Matriz_decision!J59/J$5</f>
        <v>0.0469323254463932</v>
      </c>
      <c r="K60" s="21" t="n">
        <f aca="false">2_Matriz_decision!K59/K$5</f>
        <v>0.039014903418414</v>
      </c>
      <c r="L60" s="21" t="n">
        <f aca="false">2_Matriz_decision!L59/L$5</f>
        <v>0.0323854963208618</v>
      </c>
      <c r="M60" s="21" t="n">
        <f aca="false">2_Matriz_decision!M59/M$5</f>
        <v>0.0429174015037213</v>
      </c>
      <c r="N60" s="21" t="n">
        <f aca="false">2_Matriz_decision!N59/N$5</f>
        <v>0.0112098043469034</v>
      </c>
      <c r="O60" s="21" t="n">
        <f aca="false">2_Matriz_decision!O59/O$5</f>
        <v>0.0304431282773992</v>
      </c>
      <c r="P60" s="21" t="n">
        <f aca="false">2_Matriz_decision!P59/P$5</f>
        <v>0.0264720767589686</v>
      </c>
      <c r="Q60" s="21" t="n">
        <f aca="false">2_Matriz_decision!Q59/Q$5</f>
        <v>0.0133893885620924</v>
      </c>
    </row>
    <row r="61" customFormat="false" ht="15" hidden="false" customHeight="false" outlineLevel="0" collapsed="false">
      <c r="A61" s="15" t="n">
        <f aca="false">2_Matriz_decision!A60</f>
        <v>56</v>
      </c>
      <c r="B61" s="16" t="n">
        <f aca="false">2_Matriz_decision!B60</f>
        <v>5.777</v>
      </c>
      <c r="C61" s="21" t="n">
        <f aca="false">2_Matriz_decision!C60/C$5</f>
        <v>0.0263818470923654</v>
      </c>
      <c r="D61" s="21" t="n">
        <f aca="false">2_Matriz_decision!D60/D$5</f>
        <v>0.0334918645582358</v>
      </c>
      <c r="E61" s="21" t="n">
        <f aca="false">2_Matriz_decision!E60/E$5</f>
        <v>0.0200360974925215</v>
      </c>
      <c r="F61" s="21" t="n">
        <f aca="false">2_Matriz_decision!F60/F$5</f>
        <v>0.0395246111152501</v>
      </c>
      <c r="G61" s="21" t="n">
        <f aca="false">2_Matriz_decision!G60/G$5</f>
        <v>0.0308362065165227</v>
      </c>
      <c r="H61" s="21" t="n">
        <f aca="false">2_Matriz_decision!H60/H$5</f>
        <v>0.0640446931723768</v>
      </c>
      <c r="I61" s="21" t="n">
        <f aca="false">2_Matriz_decision!I60/I$5</f>
        <v>0.0148184741491462</v>
      </c>
      <c r="J61" s="21" t="n">
        <f aca="false">2_Matriz_decision!J60/J$5</f>
        <v>0.0469323254463932</v>
      </c>
      <c r="K61" s="21" t="n">
        <f aca="false">2_Matriz_decision!K60/K$5</f>
        <v>0.039014903418414</v>
      </c>
      <c r="L61" s="21" t="n">
        <f aca="false">2_Matriz_decision!L60/L$5</f>
        <v>0.0315297276319538</v>
      </c>
      <c r="M61" s="21" t="n">
        <f aca="false">2_Matriz_decision!M60/M$5</f>
        <v>0.0420999271893647</v>
      </c>
      <c r="N61" s="21" t="n">
        <f aca="false">2_Matriz_decision!N60/N$5</f>
        <v>0.0112098043469034</v>
      </c>
      <c r="O61" s="21" t="n">
        <f aca="false">2_Matriz_decision!O60/O$5</f>
        <v>0.0304431282773992</v>
      </c>
      <c r="P61" s="21" t="n">
        <f aca="false">2_Matriz_decision!P60/P$5</f>
        <v>0.0264720767589686</v>
      </c>
      <c r="Q61" s="21" t="n">
        <f aca="false">2_Matriz_decision!Q60/Q$5</f>
        <v>0.0133893885620924</v>
      </c>
    </row>
    <row r="62" customFormat="false" ht="15" hidden="false" customHeight="false" outlineLevel="0" collapsed="false">
      <c r="A62" s="15" t="n">
        <f aca="false">2_Matriz_decision!A61</f>
        <v>57</v>
      </c>
      <c r="B62" s="16" t="n">
        <f aca="false">2_Matriz_decision!B61</f>
        <v>5.872</v>
      </c>
      <c r="C62" s="21" t="n">
        <f aca="false">2_Matriz_decision!C61/C$5</f>
        <v>0.0263818470923654</v>
      </c>
      <c r="D62" s="21" t="n">
        <f aca="false">2_Matriz_decision!D61/D$5</f>
        <v>0.0334918645582358</v>
      </c>
      <c r="E62" s="21" t="n">
        <f aca="false">2_Matriz_decision!E61/E$5</f>
        <v>0.0200360974925215</v>
      </c>
      <c r="F62" s="21" t="n">
        <f aca="false">2_Matriz_decision!F61/F$5</f>
        <v>0.0494057638940627</v>
      </c>
      <c r="G62" s="21" t="n">
        <f aca="false">2_Matriz_decision!G61/G$5</f>
        <v>0.0308362065165227</v>
      </c>
      <c r="H62" s="21" t="n">
        <f aca="false">2_Matriz_decision!H61/H$5</f>
        <v>0.0640446931723768</v>
      </c>
      <c r="I62" s="21" t="n">
        <f aca="false">2_Matriz_decision!I61/I$5</f>
        <v>0.0148184741491462</v>
      </c>
      <c r="J62" s="21" t="n">
        <f aca="false">2_Matriz_decision!J61/J$5</f>
        <v>0.0469323254463932</v>
      </c>
      <c r="K62" s="21" t="n">
        <f aca="false">2_Matriz_decision!K61/K$5</f>
        <v>0.039014903418414</v>
      </c>
      <c r="L62" s="21" t="n">
        <f aca="false">2_Matriz_decision!L61/L$5</f>
        <v>0.029189735123221</v>
      </c>
      <c r="M62" s="21" t="n">
        <f aca="false">2_Matriz_decision!M61/M$5</f>
        <v>0.0431162466072135</v>
      </c>
      <c r="N62" s="21" t="n">
        <f aca="false">2_Matriz_decision!N61/N$5</f>
        <v>0.0112098043469034</v>
      </c>
      <c r="O62" s="21" t="n">
        <f aca="false">2_Matriz_decision!O61/O$5</f>
        <v>0.0304431282773992</v>
      </c>
      <c r="P62" s="21" t="n">
        <f aca="false">2_Matriz_decision!P61/P$5</f>
        <v>0.0264720767589686</v>
      </c>
      <c r="Q62" s="21" t="n">
        <f aca="false">2_Matriz_decision!Q61/Q$5</f>
        <v>0.0133893885620924</v>
      </c>
    </row>
    <row r="63" customFormat="false" ht="15" hidden="false" customHeight="false" outlineLevel="0" collapsed="false">
      <c r="A63" s="15" t="n">
        <f aca="false">2_Matriz_decision!A62</f>
        <v>58</v>
      </c>
      <c r="B63" s="16" t="n">
        <f aca="false">2_Matriz_decision!B62</f>
        <v>5.969</v>
      </c>
      <c r="C63" s="21" t="n">
        <f aca="false">2_Matriz_decision!C62/C$5</f>
        <v>0.0351757961231539</v>
      </c>
      <c r="D63" s="21" t="n">
        <f aca="false">2_Matriz_decision!D62/D$5</f>
        <v>0.0334918645582358</v>
      </c>
      <c r="E63" s="21" t="n">
        <f aca="false">2_Matriz_decision!E62/E$5</f>
        <v>0.0200360974925215</v>
      </c>
      <c r="F63" s="21" t="n">
        <f aca="false">2_Matriz_decision!F62/F$5</f>
        <v>0.0395246111152501</v>
      </c>
      <c r="G63" s="21" t="n">
        <f aca="false">2_Matriz_decision!G62/G$5</f>
        <v>0.0308362065165227</v>
      </c>
      <c r="H63" s="21" t="n">
        <f aca="false">2_Matriz_decision!H62/H$5</f>
        <v>0.0640446931723768</v>
      </c>
      <c r="I63" s="21" t="n">
        <f aca="false">2_Matriz_decision!I62/I$5</f>
        <v>0.0148184741491462</v>
      </c>
      <c r="J63" s="21" t="n">
        <f aca="false">2_Matriz_decision!J62/J$5</f>
        <v>0.0469323254463932</v>
      </c>
      <c r="K63" s="21" t="n">
        <f aca="false">2_Matriz_decision!K62/K$5</f>
        <v>0.039014903418414</v>
      </c>
      <c r="L63" s="21" t="n">
        <f aca="false">2_Matriz_decision!L62/L$5</f>
        <v>0.0280264245617367</v>
      </c>
      <c r="M63" s="21" t="n">
        <f aca="false">2_Matriz_decision!M62/M$5</f>
        <v>0.0406859175645317</v>
      </c>
      <c r="N63" s="21" t="n">
        <f aca="false">2_Matriz_decision!N62/N$5</f>
        <v>0.0112098043469034</v>
      </c>
      <c r="O63" s="21" t="n">
        <f aca="false">2_Matriz_decision!O62/O$5</f>
        <v>0.0304431282773992</v>
      </c>
      <c r="P63" s="21" t="n">
        <f aca="false">2_Matriz_decision!P62/P$5</f>
        <v>0.0264720767589686</v>
      </c>
      <c r="Q63" s="21" t="n">
        <f aca="false">2_Matriz_decision!Q62/Q$5</f>
        <v>0.0133893885620924</v>
      </c>
    </row>
    <row r="64" customFormat="false" ht="15" hidden="false" customHeight="false" outlineLevel="0" collapsed="false">
      <c r="A64" s="15" t="n">
        <f aca="false">2_Matriz_decision!A63</f>
        <v>59</v>
      </c>
      <c r="B64" s="16" t="n">
        <f aca="false">2_Matriz_decision!B63</f>
        <v>6.066</v>
      </c>
      <c r="C64" s="21" t="n">
        <f aca="false">2_Matriz_decision!C63/C$5</f>
        <v>0.0351757961231539</v>
      </c>
      <c r="D64" s="21" t="n">
        <f aca="false">2_Matriz_decision!D63/D$5</f>
        <v>0.0334918645582358</v>
      </c>
      <c r="E64" s="21" t="n">
        <f aca="false">2_Matriz_decision!E63/E$5</f>
        <v>0.0200360974925215</v>
      </c>
      <c r="F64" s="21" t="n">
        <f aca="false">2_Matriz_decision!F63/F$5</f>
        <v>0.0395246111152501</v>
      </c>
      <c r="G64" s="21" t="n">
        <f aca="false">2_Matriz_decision!G63/G$5</f>
        <v>0.0308362065165227</v>
      </c>
      <c r="H64" s="21" t="n">
        <f aca="false">2_Matriz_decision!H63/H$5</f>
        <v>0.0640446931723768</v>
      </c>
      <c r="I64" s="21" t="n">
        <f aca="false">2_Matriz_decision!I63/I$5</f>
        <v>0.0148184741491462</v>
      </c>
      <c r="J64" s="21" t="n">
        <f aca="false">2_Matriz_decision!J63/J$5</f>
        <v>0.0469323254463932</v>
      </c>
      <c r="K64" s="21" t="n">
        <f aca="false">2_Matriz_decision!K63/K$5</f>
        <v>0.039014903418414</v>
      </c>
      <c r="L64" s="21" t="n">
        <f aca="false">2_Matriz_decision!L63/L$5</f>
        <v>0.0307943014149235</v>
      </c>
      <c r="M64" s="21" t="n">
        <f aca="false">2_Matriz_decision!M63/M$5</f>
        <v>0.0391835323381466</v>
      </c>
      <c r="N64" s="21" t="n">
        <f aca="false">2_Matriz_decision!N63/N$5</f>
        <v>0.0112098043469034</v>
      </c>
      <c r="O64" s="21" t="n">
        <f aca="false">2_Matriz_decision!O63/O$5</f>
        <v>0.0304431282773992</v>
      </c>
      <c r="P64" s="21" t="n">
        <f aca="false">2_Matriz_decision!P63/P$5</f>
        <v>0.0264720767589686</v>
      </c>
      <c r="Q64" s="21" t="n">
        <f aca="false">2_Matriz_decision!Q63/Q$5</f>
        <v>0.0133893885620924</v>
      </c>
    </row>
    <row r="65" customFormat="false" ht="15" hidden="false" customHeight="false" outlineLevel="0" collapsed="false">
      <c r="A65" s="15" t="n">
        <f aca="false">2_Matriz_decision!A64</f>
        <v>60</v>
      </c>
      <c r="B65" s="16" t="n">
        <f aca="false">2_Matriz_decision!B64</f>
        <v>6.164</v>
      </c>
      <c r="C65" s="21" t="n">
        <f aca="false">2_Matriz_decision!C64/C$5</f>
        <v>0.0351757961231539</v>
      </c>
      <c r="D65" s="21" t="n">
        <f aca="false">2_Matriz_decision!D64/D$5</f>
        <v>0.0334918645582358</v>
      </c>
      <c r="E65" s="21" t="n">
        <f aca="false">2_Matriz_decision!E64/E$5</f>
        <v>0.0200360974925215</v>
      </c>
      <c r="F65" s="21" t="n">
        <f aca="false">2_Matriz_decision!F64/F$5</f>
        <v>0.0395246111152501</v>
      </c>
      <c r="G65" s="21" t="n">
        <f aca="false">2_Matriz_decision!G64/G$5</f>
        <v>0.0308362065165227</v>
      </c>
      <c r="H65" s="21" t="n">
        <f aca="false">2_Matriz_decision!H64/H$5</f>
        <v>0.0640446931723768</v>
      </c>
      <c r="I65" s="21" t="n">
        <f aca="false">2_Matriz_decision!I64/I$5</f>
        <v>0.0148184741491462</v>
      </c>
      <c r="J65" s="21" t="n">
        <f aca="false">2_Matriz_decision!J64/J$5</f>
        <v>0.0469323254463932</v>
      </c>
      <c r="K65" s="21" t="n">
        <f aca="false">2_Matriz_decision!K64/K$5</f>
        <v>0.039014903418414</v>
      </c>
      <c r="L65" s="21" t="n">
        <f aca="false">2_Matriz_decision!L64/L$5</f>
        <v>0.0284543089061907</v>
      </c>
      <c r="M65" s="21" t="n">
        <f aca="false">2_Matriz_decision!M64/M$5</f>
        <v>0.039702738997265</v>
      </c>
      <c r="N65" s="21" t="n">
        <f aca="false">2_Matriz_decision!N64/N$5</f>
        <v>0.0112098043469034</v>
      </c>
      <c r="O65" s="21" t="n">
        <f aca="false">2_Matriz_decision!O64/O$5</f>
        <v>0.0304431282773992</v>
      </c>
      <c r="P65" s="21" t="n">
        <f aca="false">2_Matriz_decision!P64/P$5</f>
        <v>0.0264720767589686</v>
      </c>
      <c r="Q65" s="21" t="n">
        <f aca="false">2_Matriz_decision!Q64/Q$5</f>
        <v>0.0133893885620924</v>
      </c>
    </row>
    <row r="66" customFormat="false" ht="15" hidden="false" customHeight="false" outlineLevel="0" collapsed="false">
      <c r="A66" s="15" t="n">
        <f aca="false">2_Matriz_decision!A65</f>
        <v>61</v>
      </c>
      <c r="B66" s="16" t="n">
        <f aca="false">2_Matriz_decision!B65</f>
        <v>6.262</v>
      </c>
      <c r="C66" s="21" t="n">
        <f aca="false">2_Matriz_decision!C65/C$5</f>
        <v>0.0351757961231539</v>
      </c>
      <c r="D66" s="21" t="n">
        <f aca="false">2_Matriz_decision!D65/D$5</f>
        <v>0.0334918645582358</v>
      </c>
      <c r="E66" s="21" t="n">
        <f aca="false">2_Matriz_decision!E65/E$5</f>
        <v>0.0300541462387823</v>
      </c>
      <c r="F66" s="21" t="n">
        <f aca="false">2_Matriz_decision!F65/F$5</f>
        <v>0.0395246111152501</v>
      </c>
      <c r="G66" s="21" t="n">
        <f aca="false">2_Matriz_decision!G65/G$5</f>
        <v>0.0308362065165227</v>
      </c>
      <c r="H66" s="21" t="n">
        <f aca="false">2_Matriz_decision!H65/H$5</f>
        <v>0.0640446931723768</v>
      </c>
      <c r="I66" s="21" t="n">
        <f aca="false">2_Matriz_decision!I65/I$5</f>
        <v>0.0148184741491462</v>
      </c>
      <c r="J66" s="21" t="n">
        <f aca="false">2_Matriz_decision!J65/J$5</f>
        <v>0.0469323254463932</v>
      </c>
      <c r="K66" s="21" t="n">
        <f aca="false">2_Matriz_decision!K65/K$5</f>
        <v>0.039014903418414</v>
      </c>
      <c r="L66" s="21" t="n">
        <f aca="false">2_Matriz_decision!L65/L$5</f>
        <v>0.0277188826891604</v>
      </c>
      <c r="M66" s="21" t="n">
        <f aca="false">2_Matriz_decision!M65/M$5</f>
        <v>0.0386864195794162</v>
      </c>
      <c r="N66" s="21" t="n">
        <f aca="false">2_Matriz_decision!N65/N$5</f>
        <v>0.0112098043469034</v>
      </c>
      <c r="O66" s="21" t="n">
        <f aca="false">2_Matriz_decision!O65/O$5</f>
        <v>0.0304431282773992</v>
      </c>
      <c r="P66" s="21" t="n">
        <f aca="false">2_Matriz_decision!P65/P$5</f>
        <v>0.0264720767589686</v>
      </c>
      <c r="Q66" s="21" t="n">
        <f aca="false">2_Matriz_decision!Q65/Q$5</f>
        <v>0.0401681656862772</v>
      </c>
    </row>
    <row r="67" customFormat="false" ht="15" hidden="false" customHeight="false" outlineLevel="0" collapsed="false">
      <c r="A67" s="15" t="n">
        <f aca="false">2_Matriz_decision!A66</f>
        <v>62</v>
      </c>
      <c r="B67" s="16" t="n">
        <f aca="false">2_Matriz_decision!B66</f>
        <v>6.36</v>
      </c>
      <c r="C67" s="21" t="n">
        <f aca="false">2_Matriz_decision!C66/C$5</f>
        <v>0.0351757961231539</v>
      </c>
      <c r="D67" s="21" t="n">
        <f aca="false">2_Matriz_decision!D66/D$5</f>
        <v>0.0418648306977948</v>
      </c>
      <c r="E67" s="21" t="n">
        <f aca="false">2_Matriz_decision!E66/E$5</f>
        <v>0.0300541462387823</v>
      </c>
      <c r="F67" s="21" t="n">
        <f aca="false">2_Matriz_decision!F66/F$5</f>
        <v>0.0395246111152501</v>
      </c>
      <c r="G67" s="21" t="n">
        <f aca="false">2_Matriz_decision!G66/G$5</f>
        <v>0.0308362065165227</v>
      </c>
      <c r="H67" s="21" t="n">
        <f aca="false">2_Matriz_decision!H66/H$5</f>
        <v>0.0640446931723768</v>
      </c>
      <c r="I67" s="21" t="n">
        <f aca="false">2_Matriz_decision!I66/I$5</f>
        <v>0.0148184741491462</v>
      </c>
      <c r="J67" s="21" t="n">
        <f aca="false">2_Matriz_decision!J66/J$5</f>
        <v>0.0469323254463932</v>
      </c>
      <c r="K67" s="21" t="n">
        <f aca="false">2_Matriz_decision!K66/K$5</f>
        <v>0.039014903418414</v>
      </c>
      <c r="L67" s="21" t="n">
        <f aca="false">2_Matriz_decision!L66/L$5</f>
        <v>0.0310349863586789</v>
      </c>
      <c r="M67" s="21" t="n">
        <f aca="false">2_Matriz_decision!M66/M$5</f>
        <v>0.037007283149927</v>
      </c>
      <c r="N67" s="21" t="n">
        <f aca="false">2_Matriz_decision!N66/N$5</f>
        <v>0.0112098043469034</v>
      </c>
      <c r="O67" s="21" t="n">
        <f aca="false">2_Matriz_decision!O66/O$5</f>
        <v>0.0304431282773992</v>
      </c>
      <c r="P67" s="21" t="n">
        <f aca="false">2_Matriz_decision!P66/P$5</f>
        <v>0.0264720767589686</v>
      </c>
      <c r="Q67" s="21" t="n">
        <f aca="false">2_Matriz_decision!Q66/Q$5</f>
        <v>0.0401681656862772</v>
      </c>
    </row>
    <row r="68" customFormat="false" ht="15" hidden="false" customHeight="false" outlineLevel="0" collapsed="false">
      <c r="A68" s="15" t="n">
        <f aca="false">2_Matriz_decision!A67</f>
        <v>63</v>
      </c>
      <c r="B68" s="16" t="n">
        <f aca="false">2_Matriz_decision!B67</f>
        <v>6.46</v>
      </c>
      <c r="C68" s="21" t="n">
        <f aca="false">2_Matriz_decision!C67/C$5</f>
        <v>0.0351757961231539</v>
      </c>
      <c r="D68" s="21" t="n">
        <f aca="false">2_Matriz_decision!D67/D$5</f>
        <v>0.0418648306977948</v>
      </c>
      <c r="E68" s="21" t="n">
        <f aca="false">2_Matriz_decision!E67/E$5</f>
        <v>0.0300541462387823</v>
      </c>
      <c r="F68" s="21" t="n">
        <f aca="false">2_Matriz_decision!F67/F$5</f>
        <v>0.0395246111152501</v>
      </c>
      <c r="G68" s="21" t="n">
        <f aca="false">2_Matriz_decision!G67/G$5</f>
        <v>0.0308362065165227</v>
      </c>
      <c r="H68" s="21" t="n">
        <f aca="false">2_Matriz_decision!H67/H$5</f>
        <v>0.0640446931723768</v>
      </c>
      <c r="I68" s="21" t="n">
        <f aca="false">2_Matriz_decision!I67/I$5</f>
        <v>0.0148184741491462</v>
      </c>
      <c r="J68" s="21" t="n">
        <f aca="false">2_Matriz_decision!J67/J$5</f>
        <v>0.0469323254463932</v>
      </c>
      <c r="K68" s="21" t="n">
        <f aca="false">2_Matriz_decision!K67/K$5</f>
        <v>0.039014903418414</v>
      </c>
      <c r="L68" s="21" t="n">
        <f aca="false">2_Matriz_decision!L67/L$5</f>
        <v>0.0354475436608607</v>
      </c>
      <c r="M68" s="21" t="n">
        <f aca="false">2_Matriz_decision!M67/M$5</f>
        <v>0.0367863441460468</v>
      </c>
      <c r="N68" s="21" t="n">
        <f aca="false">2_Matriz_decision!N67/N$5</f>
        <v>0.0112098043469034</v>
      </c>
      <c r="O68" s="21" t="n">
        <f aca="false">2_Matriz_decision!O67/O$5</f>
        <v>0.0304431282773992</v>
      </c>
      <c r="P68" s="21" t="n">
        <f aca="false">2_Matriz_decision!P67/P$5</f>
        <v>0.0264720767589686</v>
      </c>
      <c r="Q68" s="21" t="n">
        <f aca="false">2_Matriz_decision!Q67/Q$5</f>
        <v>0.0401681656862772</v>
      </c>
    </row>
    <row r="69" customFormat="false" ht="15" hidden="false" customHeight="false" outlineLevel="0" collapsed="false">
      <c r="A69" s="15" t="n">
        <f aca="false">2_Matriz_decision!A68</f>
        <v>64</v>
      </c>
      <c r="B69" s="16" t="n">
        <f aca="false">2_Matriz_decision!B68</f>
        <v>6.564</v>
      </c>
      <c r="C69" s="21" t="n">
        <f aca="false">2_Matriz_decision!C68/C$5</f>
        <v>0.0351757961231539</v>
      </c>
      <c r="D69" s="21" t="n">
        <f aca="false">2_Matriz_decision!D68/D$5</f>
        <v>0.0418648306977948</v>
      </c>
      <c r="E69" s="21" t="n">
        <f aca="false">2_Matriz_decision!E68/E$5</f>
        <v>0.0300541462387823</v>
      </c>
      <c r="F69" s="21" t="n">
        <f aca="false">2_Matriz_decision!F68/F$5</f>
        <v>0.0395246111152501</v>
      </c>
      <c r="G69" s="21" t="n">
        <f aca="false">2_Matriz_decision!G68/G$5</f>
        <v>0.0308362065165227</v>
      </c>
      <c r="H69" s="21" t="n">
        <f aca="false">2_Matriz_decision!H68/H$5</f>
        <v>0.0640446931723768</v>
      </c>
      <c r="I69" s="21" t="n">
        <f aca="false">2_Matriz_decision!I68/I$5</f>
        <v>0.0148184741491462</v>
      </c>
      <c r="J69" s="21" t="n">
        <f aca="false">2_Matriz_decision!J68/J$5</f>
        <v>0.0469323254463932</v>
      </c>
      <c r="K69" s="21" t="n">
        <f aca="false">2_Matriz_decision!K68/K$5</f>
        <v>0.039014903418414</v>
      </c>
      <c r="L69" s="21" t="n">
        <f aca="false">2_Matriz_decision!L68/L$5</f>
        <v>0.0337627490545731</v>
      </c>
      <c r="M69" s="21" t="n">
        <f aca="false">2_Matriz_decision!M68/M$5</f>
        <v>0.0378689452650596</v>
      </c>
      <c r="N69" s="21" t="n">
        <f aca="false">2_Matriz_decision!N68/N$5</f>
        <v>0.0112098043469034</v>
      </c>
      <c r="O69" s="21" t="n">
        <f aca="false">2_Matriz_decision!O68/O$5</f>
        <v>0.0304431282773992</v>
      </c>
      <c r="P69" s="21" t="n">
        <f aca="false">2_Matriz_decision!P68/P$5</f>
        <v>0.0264720767589686</v>
      </c>
      <c r="Q69" s="21" t="n">
        <f aca="false">2_Matriz_decision!Q68/Q$5</f>
        <v>0.0401681656862772</v>
      </c>
    </row>
    <row r="70" customFormat="false" ht="15" hidden="false" customHeight="false" outlineLevel="0" collapsed="false">
      <c r="A70" s="15" t="n">
        <f aca="false">2_Matriz_decision!A69</f>
        <v>65</v>
      </c>
      <c r="B70" s="16" t="n">
        <f aca="false">2_Matriz_decision!B69</f>
        <v>6.671</v>
      </c>
      <c r="C70" s="21" t="n">
        <f aca="false">2_Matriz_decision!C69/C$5</f>
        <v>0.0351757961231539</v>
      </c>
      <c r="D70" s="21" t="n">
        <f aca="false">2_Matriz_decision!D69/D$5</f>
        <v>0.0418648306977948</v>
      </c>
      <c r="E70" s="21" t="n">
        <f aca="false">2_Matriz_decision!E69/E$5</f>
        <v>0.0300541462387823</v>
      </c>
      <c r="F70" s="21" t="n">
        <f aca="false">2_Matriz_decision!F69/F$5</f>
        <v>0.0395246111152501</v>
      </c>
      <c r="G70" s="21" t="n">
        <f aca="false">2_Matriz_decision!G69/G$5</f>
        <v>0.0308362065165227</v>
      </c>
      <c r="H70" s="21" t="n">
        <f aca="false">2_Matriz_decision!H69/H$5</f>
        <v>0.0640446931723768</v>
      </c>
      <c r="I70" s="21" t="n">
        <f aca="false">2_Matriz_decision!I69/I$5</f>
        <v>0.0148184741491462</v>
      </c>
      <c r="J70" s="21" t="n">
        <f aca="false">2_Matriz_decision!J69/J$5</f>
        <v>0.0469323254463932</v>
      </c>
      <c r="K70" s="21" t="n">
        <f aca="false">2_Matriz_decision!K69/K$5</f>
        <v>0.039014903418414</v>
      </c>
      <c r="L70" s="21" t="n">
        <f aca="false">2_Matriz_decision!L69/L$5</f>
        <v>0.0299786468833081</v>
      </c>
      <c r="M70" s="21" t="n">
        <f aca="false">2_Matriz_decision!M69/M$5</f>
        <v>0.0371508935024491</v>
      </c>
      <c r="N70" s="21" t="n">
        <f aca="false">2_Matriz_decision!N69/N$5</f>
        <v>0.0112098043469034</v>
      </c>
      <c r="O70" s="21" t="n">
        <f aca="false">2_Matriz_decision!O69/O$5</f>
        <v>0.0304431282773992</v>
      </c>
      <c r="P70" s="21" t="n">
        <f aca="false">2_Matriz_decision!P69/P$5</f>
        <v>0.0264720767589686</v>
      </c>
      <c r="Q70" s="21" t="n">
        <f aca="false">2_Matriz_decision!Q69/Q$5</f>
        <v>0.0401681656862772</v>
      </c>
    </row>
    <row r="71" customFormat="false" ht="15" hidden="false" customHeight="false" outlineLevel="0" collapsed="false">
      <c r="A71" s="15" t="n">
        <f aca="false">2_Matriz_decision!A70</f>
        <v>66</v>
      </c>
      <c r="B71" s="16" t="n">
        <f aca="false">2_Matriz_decision!B70</f>
        <v>6.782</v>
      </c>
      <c r="C71" s="21" t="n">
        <f aca="false">2_Matriz_decision!C70/C$5</f>
        <v>0.0263818470923654</v>
      </c>
      <c r="D71" s="21" t="n">
        <f aca="false">2_Matriz_decision!D70/D$5</f>
        <v>0.0418648306977948</v>
      </c>
      <c r="E71" s="21" t="n">
        <f aca="false">2_Matriz_decision!E70/E$5</f>
        <v>0.0300541462387823</v>
      </c>
      <c r="F71" s="21" t="n">
        <f aca="false">2_Matriz_decision!F70/F$5</f>
        <v>0.0395246111152501</v>
      </c>
      <c r="G71" s="21" t="n">
        <f aca="false">2_Matriz_decision!G70/G$5</f>
        <v>0.0308362065165227</v>
      </c>
      <c r="H71" s="21" t="n">
        <f aca="false">2_Matriz_decision!H70/H$5</f>
        <v>0.0640446931723768</v>
      </c>
      <c r="I71" s="21" t="n">
        <f aca="false">2_Matriz_decision!I70/I$5</f>
        <v>0.0148184741491462</v>
      </c>
      <c r="J71" s="21" t="n">
        <f aca="false">2_Matriz_decision!J70/J$5</f>
        <v>0.0469323254463932</v>
      </c>
      <c r="K71" s="21" t="n">
        <f aca="false">2_Matriz_decision!K70/K$5</f>
        <v>0.039014903418414</v>
      </c>
      <c r="L71" s="21" t="n">
        <f aca="false">2_Matriz_decision!L70/L$5</f>
        <v>0.0239882660609521</v>
      </c>
      <c r="M71" s="21" t="n">
        <f aca="false">2_Matriz_decision!M70/M$5</f>
        <v>0.0423208661932449</v>
      </c>
      <c r="N71" s="21" t="n">
        <f aca="false">2_Matriz_decision!N70/N$5</f>
        <v>0.0112098043469034</v>
      </c>
      <c r="O71" s="21" t="n">
        <f aca="false">2_Matriz_decision!O70/O$5</f>
        <v>0.0304431282773992</v>
      </c>
      <c r="P71" s="21" t="n">
        <f aca="false">2_Matriz_decision!P70/P$5</f>
        <v>0.0264720767589686</v>
      </c>
      <c r="Q71" s="21" t="n">
        <f aca="false">2_Matriz_decision!Q70/Q$5</f>
        <v>0.0133893885620924</v>
      </c>
    </row>
    <row r="72" customFormat="false" ht="15" hidden="false" customHeight="false" outlineLevel="0" collapsed="false">
      <c r="A72" s="15" t="n">
        <f aca="false">2_Matriz_decision!A71</f>
        <v>67</v>
      </c>
      <c r="B72" s="16" t="n">
        <f aca="false">2_Matriz_decision!B71</f>
        <v>6.894</v>
      </c>
      <c r="C72" s="21" t="n">
        <f aca="false">2_Matriz_decision!C71/C$5</f>
        <v>0.0351757961231539</v>
      </c>
      <c r="D72" s="21" t="n">
        <f aca="false">2_Matriz_decision!D71/D$5</f>
        <v>0.0418648306977948</v>
      </c>
      <c r="E72" s="21" t="n">
        <f aca="false">2_Matriz_decision!E71/E$5</f>
        <v>0.0300541462387823</v>
      </c>
      <c r="F72" s="21" t="n">
        <f aca="false">2_Matriz_decision!F71/F$5</f>
        <v>0.0395246111152501</v>
      </c>
      <c r="G72" s="21" t="n">
        <f aca="false">2_Matriz_decision!G71/G$5</f>
        <v>0.0308362065165227</v>
      </c>
      <c r="H72" s="21" t="n">
        <f aca="false">2_Matriz_decision!H71/H$5</f>
        <v>0.0640446931723768</v>
      </c>
      <c r="I72" s="21" t="n">
        <f aca="false">2_Matriz_decision!I71/I$5</f>
        <v>0.0148184741491462</v>
      </c>
      <c r="J72" s="21" t="n">
        <f aca="false">2_Matriz_decision!J71/J$5</f>
        <v>0.0469323254463932</v>
      </c>
      <c r="K72" s="21" t="n">
        <f aca="false">2_Matriz_decision!K71/K$5</f>
        <v>0.039014903418414</v>
      </c>
      <c r="L72" s="21" t="n">
        <f aca="false">2_Matriz_decision!L71/L$5</f>
        <v>0.0188803966990326</v>
      </c>
      <c r="M72" s="21" t="n">
        <f aca="false">2_Matriz_decision!M71/M$5</f>
        <v>0.0441878007760322</v>
      </c>
      <c r="N72" s="21" t="n">
        <f aca="false">2_Matriz_decision!N71/N$5</f>
        <v>0.0112098043469034</v>
      </c>
      <c r="O72" s="21" t="n">
        <f aca="false">2_Matriz_decision!O71/O$5</f>
        <v>0.0304431282773992</v>
      </c>
      <c r="P72" s="21" t="n">
        <f aca="false">2_Matriz_decision!P71/P$5</f>
        <v>0.0264720767589686</v>
      </c>
      <c r="Q72" s="21" t="n">
        <f aca="false">2_Matriz_decision!Q71/Q$5</f>
        <v>0.0133893885620924</v>
      </c>
    </row>
    <row r="73" customFormat="false" ht="15" hidden="false" customHeight="false" outlineLevel="0" collapsed="false">
      <c r="A73" s="15" t="n">
        <f aca="false">2_Matriz_decision!A72</f>
        <v>68</v>
      </c>
      <c r="B73" s="16" t="n">
        <f aca="false">2_Matriz_decision!B72</f>
        <v>7.004</v>
      </c>
      <c r="C73" s="21" t="n">
        <f aca="false">2_Matriz_decision!C72/C$5</f>
        <v>0.0351757961231539</v>
      </c>
      <c r="D73" s="21" t="n">
        <f aca="false">2_Matriz_decision!D72/D$5</f>
        <v>0.0418648306977948</v>
      </c>
      <c r="E73" s="21" t="n">
        <f aca="false">2_Matriz_decision!E72/E$5</f>
        <v>0.0300541462387823</v>
      </c>
      <c r="F73" s="21" t="n">
        <f aca="false">2_Matriz_decision!F72/F$5</f>
        <v>0.0395246111152501</v>
      </c>
      <c r="G73" s="21" t="n">
        <f aca="false">2_Matriz_decision!G72/G$5</f>
        <v>0.0308362065165227</v>
      </c>
      <c r="H73" s="21" t="n">
        <f aca="false">2_Matriz_decision!H72/H$5</f>
        <v>0.0640446931723768</v>
      </c>
      <c r="I73" s="21" t="n">
        <f aca="false">2_Matriz_decision!I72/I$5</f>
        <v>0.0148184741491462</v>
      </c>
      <c r="J73" s="21" t="n">
        <f aca="false">2_Matriz_decision!J72/J$5</f>
        <v>0.0469323254463932</v>
      </c>
      <c r="K73" s="21" t="n">
        <f aca="false">2_Matriz_decision!K72/K$5</f>
        <v>0.039014903418414</v>
      </c>
      <c r="L73" s="21" t="n">
        <f aca="false">2_Matriz_decision!L72/L$5</f>
        <v>0.0180647421674171</v>
      </c>
      <c r="M73" s="21" t="n">
        <f aca="false">2_Matriz_decision!M72/M$5</f>
        <v>0.0441878007760322</v>
      </c>
      <c r="N73" s="21" t="n">
        <f aca="false">2_Matriz_decision!N72/N$5</f>
        <v>0.0112098043469034</v>
      </c>
      <c r="O73" s="21" t="n">
        <f aca="false">2_Matriz_decision!O72/O$5</f>
        <v>0.0304431282773992</v>
      </c>
      <c r="P73" s="21" t="n">
        <f aca="false">2_Matriz_decision!P72/P$5</f>
        <v>0.0264720767589686</v>
      </c>
      <c r="Q73" s="21" t="n">
        <f aca="false">2_Matriz_decision!Q72/Q$5</f>
        <v>0.0133893885620924</v>
      </c>
    </row>
    <row r="74" customFormat="false" ht="15" hidden="false" customHeight="false" outlineLevel="0" collapsed="false">
      <c r="A74" s="15" t="n">
        <f aca="false">2_Matriz_decision!A73</f>
        <v>69</v>
      </c>
      <c r="B74" s="16" t="n">
        <f aca="false">2_Matriz_decision!B73</f>
        <v>7.111</v>
      </c>
      <c r="C74" s="21" t="n">
        <f aca="false">2_Matriz_decision!C73/C$5</f>
        <v>0.0439697451539424</v>
      </c>
      <c r="D74" s="21" t="n">
        <f aca="false">2_Matriz_decision!D73/D$5</f>
        <v>0.0418648306977948</v>
      </c>
      <c r="E74" s="21" t="n">
        <f aca="false">2_Matriz_decision!E73/E$5</f>
        <v>0.0300541462387823</v>
      </c>
      <c r="F74" s="21" t="n">
        <f aca="false">2_Matriz_decision!F73/F$5</f>
        <v>0.0395246111152501</v>
      </c>
      <c r="G74" s="21" t="n">
        <f aca="false">2_Matriz_decision!G73/G$5</f>
        <v>0.0308362065165227</v>
      </c>
      <c r="H74" s="21" t="n">
        <f aca="false">2_Matriz_decision!H73/H$5</f>
        <v>0.0640446931723768</v>
      </c>
      <c r="I74" s="21" t="n">
        <f aca="false">2_Matriz_decision!I73/I$5</f>
        <v>0.0148184741491462</v>
      </c>
      <c r="J74" s="21" t="n">
        <f aca="false">2_Matriz_decision!J73/J$5</f>
        <v>0.0469323254463932</v>
      </c>
      <c r="K74" s="21" t="n">
        <f aca="false">2_Matriz_decision!K73/K$5</f>
        <v>0.039014903418414</v>
      </c>
      <c r="L74" s="21" t="n">
        <f aca="false">2_Matriz_decision!L73/L$5</f>
        <v>0.0196024515302987</v>
      </c>
      <c r="M74" s="21" t="n">
        <f aca="false">2_Matriz_decision!M73/M$5</f>
        <v>0.0441878007760322</v>
      </c>
      <c r="N74" s="21" t="n">
        <f aca="false">2_Matriz_decision!N73/N$5</f>
        <v>0.0112098043469034</v>
      </c>
      <c r="O74" s="21" t="n">
        <f aca="false">2_Matriz_decision!O73/O$5</f>
        <v>0.0304431282773992</v>
      </c>
      <c r="P74" s="21" t="n">
        <f aca="false">2_Matriz_decision!P73/P$5</f>
        <v>0.0264720767589686</v>
      </c>
      <c r="Q74" s="21" t="n">
        <f aca="false">2_Matriz_decision!Q73/Q$5</f>
        <v>0.0133893885620924</v>
      </c>
    </row>
    <row r="75" customFormat="false" ht="15" hidden="false" customHeight="false" outlineLevel="0" collapsed="false">
      <c r="A75" s="15" t="n">
        <f aca="false">2_Matriz_decision!A74</f>
        <v>70</v>
      </c>
      <c r="B75" s="16" t="n">
        <f aca="false">2_Matriz_decision!B74</f>
        <v>7.215</v>
      </c>
      <c r="C75" s="21" t="n">
        <f aca="false">2_Matriz_decision!C74/C$5</f>
        <v>0.0439697451539424</v>
      </c>
      <c r="D75" s="21" t="n">
        <f aca="false">2_Matriz_decision!D74/D$5</f>
        <v>0.0418648306977948</v>
      </c>
      <c r="E75" s="21" t="n">
        <f aca="false">2_Matriz_decision!E74/E$5</f>
        <v>0.0300541462387823</v>
      </c>
      <c r="F75" s="21" t="n">
        <f aca="false">2_Matriz_decision!F74/F$5</f>
        <v>0.0395246111152501</v>
      </c>
      <c r="G75" s="21" t="n">
        <f aca="false">2_Matriz_decision!G74/G$5</f>
        <v>0.0308362065165227</v>
      </c>
      <c r="H75" s="21" t="n">
        <f aca="false">2_Matriz_decision!H74/H$5</f>
        <v>0.0640446931723768</v>
      </c>
      <c r="I75" s="21" t="n">
        <f aca="false">2_Matriz_decision!I74/I$5</f>
        <v>0.0148184741491462</v>
      </c>
      <c r="J75" s="21" t="n">
        <f aca="false">2_Matriz_decision!J74/J$5</f>
        <v>0.0469323254463932</v>
      </c>
      <c r="K75" s="21" t="n">
        <f aca="false">2_Matriz_decision!K74/K$5</f>
        <v>0.039014903418414</v>
      </c>
      <c r="L75" s="21" t="n">
        <f aca="false">2_Matriz_decision!L74/L$5</f>
        <v>0.0231191259862799</v>
      </c>
      <c r="M75" s="21" t="n">
        <f aca="false">2_Matriz_decision!M74/M$5</f>
        <v>0.0441878007760322</v>
      </c>
      <c r="N75" s="21" t="n">
        <f aca="false">2_Matriz_decision!N74/N$5</f>
        <v>0.0112098043469034</v>
      </c>
      <c r="O75" s="21" t="n">
        <f aca="false">2_Matriz_decision!O74/O$5</f>
        <v>0.0304431282773992</v>
      </c>
      <c r="P75" s="21" t="n">
        <f aca="false">2_Matriz_decision!P74/P$5</f>
        <v>0.0264720767589686</v>
      </c>
      <c r="Q75" s="21" t="n">
        <f aca="false">2_Matriz_decision!Q74/Q$5</f>
        <v>0.0133893885620924</v>
      </c>
    </row>
    <row r="76" customFormat="false" ht="15" hidden="false" customHeight="false" outlineLevel="0" collapsed="false">
      <c r="A76" s="15" t="n">
        <f aca="false">2_Matriz_decision!A75</f>
        <v>71</v>
      </c>
      <c r="B76" s="16" t="n">
        <f aca="false">2_Matriz_decision!B75</f>
        <v>7.316</v>
      </c>
      <c r="C76" s="21" t="n">
        <f aca="false">2_Matriz_decision!C75/C$5</f>
        <v>0.0439697451539424</v>
      </c>
      <c r="D76" s="21" t="n">
        <f aca="false">2_Matriz_decision!D75/D$5</f>
        <v>0.0418648306977948</v>
      </c>
      <c r="E76" s="21" t="n">
        <f aca="false">2_Matriz_decision!E75/E$5</f>
        <v>0.0300541462387823</v>
      </c>
      <c r="F76" s="21" t="n">
        <f aca="false">2_Matriz_decision!F75/F$5</f>
        <v>0.0494057638940627</v>
      </c>
      <c r="G76" s="21" t="n">
        <f aca="false">2_Matriz_decision!G75/G$5</f>
        <v>0.0308362065165227</v>
      </c>
      <c r="H76" s="21" t="n">
        <f aca="false">2_Matriz_decision!H75/H$5</f>
        <v>0.0640446931723768</v>
      </c>
      <c r="I76" s="21" t="n">
        <f aca="false">2_Matriz_decision!I75/I$5</f>
        <v>0.0148184741491462</v>
      </c>
      <c r="J76" s="21" t="n">
        <f aca="false">2_Matriz_decision!J75/J$5</f>
        <v>0.0469323254463932</v>
      </c>
      <c r="K76" s="21" t="n">
        <f aca="false">2_Matriz_decision!K75/K$5</f>
        <v>0.039014903418414</v>
      </c>
      <c r="L76" s="21" t="n">
        <f aca="false">2_Matriz_decision!L75/L$5</f>
        <v>0.0239882660609521</v>
      </c>
      <c r="M76" s="21" t="n">
        <f aca="false">2_Matriz_decision!M75/M$5</f>
        <v>0.0441878007760322</v>
      </c>
      <c r="N76" s="21" t="n">
        <f aca="false">2_Matriz_decision!N75/N$5</f>
        <v>0.0112098043469034</v>
      </c>
      <c r="O76" s="21" t="n">
        <f aca="false">2_Matriz_decision!O75/O$5</f>
        <v>0.0304431282773992</v>
      </c>
      <c r="P76" s="21" t="n">
        <f aca="false">2_Matriz_decision!P75/P$5</f>
        <v>0.0264720767589686</v>
      </c>
      <c r="Q76" s="21" t="n">
        <f aca="false">2_Matriz_decision!Q75/Q$5</f>
        <v>0.0133893885620924</v>
      </c>
    </row>
    <row r="77" customFormat="false" ht="15" hidden="false" customHeight="false" outlineLevel="0" collapsed="false">
      <c r="A77" s="15" t="n">
        <f aca="false">2_Matriz_decision!A76</f>
        <v>72</v>
      </c>
      <c r="B77" s="16" t="n">
        <f aca="false">2_Matriz_decision!B76</f>
        <v>7.416</v>
      </c>
      <c r="C77" s="21" t="n">
        <f aca="false">2_Matriz_decision!C76/C$5</f>
        <v>0.0439697451539424</v>
      </c>
      <c r="D77" s="21" t="n">
        <f aca="false">2_Matriz_decision!D76/D$5</f>
        <v>0.0418648306977948</v>
      </c>
      <c r="E77" s="21" t="n">
        <f aca="false">2_Matriz_decision!E76/E$5</f>
        <v>0.0300541462387823</v>
      </c>
      <c r="F77" s="21" t="n">
        <f aca="false">2_Matriz_decision!F76/F$5</f>
        <v>0.0494057638940627</v>
      </c>
      <c r="G77" s="21" t="n">
        <f aca="false">2_Matriz_decision!G76/G$5</f>
        <v>0.0308362065165227</v>
      </c>
      <c r="H77" s="21" t="n">
        <f aca="false">2_Matriz_decision!H76/H$5</f>
        <v>0.0640446931723768</v>
      </c>
      <c r="I77" s="21" t="n">
        <f aca="false">2_Matriz_decision!I76/I$5</f>
        <v>0.0148184741491462</v>
      </c>
      <c r="J77" s="21" t="n">
        <f aca="false">2_Matriz_decision!J76/J$5</f>
        <v>0.0469323254463932</v>
      </c>
      <c r="K77" s="21" t="n">
        <f aca="false">2_Matriz_decision!K76/K$5</f>
        <v>0.039014903418414</v>
      </c>
      <c r="L77" s="21" t="n">
        <f aca="false">2_Matriz_decision!L76/L$5</f>
        <v>0.0297914474826094</v>
      </c>
      <c r="M77" s="21" t="n">
        <f aca="false">2_Matriz_decision!M76/M$5</f>
        <v>0.0441878007760322</v>
      </c>
      <c r="N77" s="21" t="n">
        <f aca="false">2_Matriz_decision!N76/N$5</f>
        <v>0.0112098043469034</v>
      </c>
      <c r="O77" s="21" t="n">
        <f aca="false">2_Matriz_decision!O76/O$5</f>
        <v>0.0304431282773992</v>
      </c>
      <c r="P77" s="21" t="n">
        <f aca="false">2_Matriz_decision!P76/P$5</f>
        <v>0.0264720767589686</v>
      </c>
      <c r="Q77" s="21" t="n">
        <f aca="false">2_Matriz_decision!Q76/Q$5</f>
        <v>0.0133893885620924</v>
      </c>
    </row>
    <row r="78" customFormat="false" ht="15" hidden="false" customHeight="false" outlineLevel="0" collapsed="false">
      <c r="A78" s="15" t="n">
        <f aca="false">2_Matriz_decision!A77</f>
        <v>73</v>
      </c>
      <c r="B78" s="16" t="n">
        <f aca="false">2_Matriz_decision!B77</f>
        <v>7.515</v>
      </c>
      <c r="C78" s="21" t="n">
        <f aca="false">2_Matriz_decision!C77/C$5</f>
        <v>0.0439697451539424</v>
      </c>
      <c r="D78" s="21" t="n">
        <f aca="false">2_Matriz_decision!D77/D$5</f>
        <v>0.0418648306977948</v>
      </c>
      <c r="E78" s="21" t="n">
        <f aca="false">2_Matriz_decision!E77/E$5</f>
        <v>0.0300541462387823</v>
      </c>
      <c r="F78" s="21" t="n">
        <f aca="false">2_Matriz_decision!F77/F$5</f>
        <v>0.0494057638940627</v>
      </c>
      <c r="G78" s="21" t="n">
        <f aca="false">2_Matriz_decision!G77/G$5</f>
        <v>0.0308362065165227</v>
      </c>
      <c r="H78" s="21" t="n">
        <f aca="false">2_Matriz_decision!H77/H$5</f>
        <v>0.0640446931723768</v>
      </c>
      <c r="I78" s="21" t="n">
        <f aca="false">2_Matriz_decision!I77/I$5</f>
        <v>0.0148184741491462</v>
      </c>
      <c r="J78" s="21" t="n">
        <f aca="false">2_Matriz_decision!J77/J$5</f>
        <v>0.0469323254463932</v>
      </c>
      <c r="K78" s="21" t="n">
        <f aca="false">2_Matriz_decision!K77/K$5</f>
        <v>0.039014903418414</v>
      </c>
      <c r="L78" s="21" t="n">
        <f aca="false">2_Matriz_decision!L77/L$5</f>
        <v>0.0320913258340497</v>
      </c>
      <c r="M78" s="21" t="n">
        <f aca="false">2_Matriz_decision!M77/M$5</f>
        <v>0.0441878007760322</v>
      </c>
      <c r="N78" s="21" t="n">
        <f aca="false">2_Matriz_decision!N77/N$5</f>
        <v>0.0112098043469034</v>
      </c>
      <c r="O78" s="21" t="n">
        <f aca="false">2_Matriz_decision!O77/O$5</f>
        <v>0.0304431282773992</v>
      </c>
      <c r="P78" s="21" t="n">
        <f aca="false">2_Matriz_decision!P77/P$5</f>
        <v>0.0264720767589686</v>
      </c>
      <c r="Q78" s="21" t="n">
        <f aca="false">2_Matriz_decision!Q77/Q$5</f>
        <v>0.0133893885620924</v>
      </c>
    </row>
    <row r="79" customFormat="false" ht="15" hidden="false" customHeight="false" outlineLevel="0" collapsed="false">
      <c r="A79" s="15" t="n">
        <f aca="false">2_Matriz_decision!A78</f>
        <v>74</v>
      </c>
      <c r="B79" s="16" t="n">
        <f aca="false">2_Matriz_decision!B78</f>
        <v>7.616</v>
      </c>
      <c r="C79" s="21" t="n">
        <f aca="false">2_Matriz_decision!C78/C$5</f>
        <v>0.0439697451539424</v>
      </c>
      <c r="D79" s="21" t="n">
        <f aca="false">2_Matriz_decision!D78/D$5</f>
        <v>0.0418648306977948</v>
      </c>
      <c r="E79" s="21" t="n">
        <f aca="false">2_Matriz_decision!E78/E$5</f>
        <v>0.0400721949850431</v>
      </c>
      <c r="F79" s="21" t="n">
        <f aca="false">2_Matriz_decision!F78/F$5</f>
        <v>0.0395246111152501</v>
      </c>
      <c r="G79" s="21" t="n">
        <f aca="false">2_Matriz_decision!G78/G$5</f>
        <v>0.0308362065165227</v>
      </c>
      <c r="H79" s="21" t="n">
        <f aca="false">2_Matriz_decision!H78/H$5</f>
        <v>0.0640446931723768</v>
      </c>
      <c r="I79" s="21" t="n">
        <f aca="false">2_Matriz_decision!I78/I$5</f>
        <v>0.0148184741491462</v>
      </c>
      <c r="J79" s="21" t="n">
        <f aca="false">2_Matriz_decision!J78/J$5</f>
        <v>0.0469323254463932</v>
      </c>
      <c r="K79" s="21" t="n">
        <f aca="false">2_Matriz_decision!K78/K$5</f>
        <v>0.039014903418414</v>
      </c>
      <c r="L79" s="21" t="n">
        <f aca="false">2_Matriz_decision!L78/L$5</f>
        <v>0.0364905117504673</v>
      </c>
      <c r="M79" s="21" t="n">
        <f aca="false">2_Matriz_decision!M78/M$5</f>
        <v>0.0400783353038612</v>
      </c>
      <c r="N79" s="21" t="n">
        <f aca="false">2_Matriz_decision!N78/N$5</f>
        <v>0.0112098043469034</v>
      </c>
      <c r="O79" s="21" t="n">
        <f aca="false">2_Matriz_decision!O78/O$5</f>
        <v>0.0304431282773992</v>
      </c>
      <c r="P79" s="21" t="n">
        <f aca="false">2_Matriz_decision!P78/P$5</f>
        <v>0.0264720767589686</v>
      </c>
      <c r="Q79" s="21" t="n">
        <f aca="false">2_Matriz_decision!Q78/Q$5</f>
        <v>0.0267787771241848</v>
      </c>
    </row>
    <row r="80" customFormat="false" ht="15" hidden="false" customHeight="false" outlineLevel="0" collapsed="false">
      <c r="A80" s="15" t="n">
        <f aca="false">2_Matriz_decision!A79</f>
        <v>75</v>
      </c>
      <c r="B80" s="16" t="n">
        <f aca="false">2_Matriz_decision!B79</f>
        <v>7.718</v>
      </c>
      <c r="C80" s="21" t="n">
        <f aca="false">2_Matriz_decision!C79/C$5</f>
        <v>0.0439697451539424</v>
      </c>
      <c r="D80" s="21" t="n">
        <f aca="false">2_Matriz_decision!D79/D$5</f>
        <v>0.0418648306977948</v>
      </c>
      <c r="E80" s="21" t="n">
        <f aca="false">2_Matriz_decision!E79/E$5</f>
        <v>0.0400721949850431</v>
      </c>
      <c r="F80" s="21" t="n">
        <f aca="false">2_Matriz_decision!F79/F$5</f>
        <v>0.0494057638940627</v>
      </c>
      <c r="G80" s="21" t="n">
        <f aca="false">2_Matriz_decision!G79/G$5</f>
        <v>0.0308362065165227</v>
      </c>
      <c r="H80" s="21" t="n">
        <f aca="false">2_Matriz_decision!H79/H$5</f>
        <v>0.0640446931723768</v>
      </c>
      <c r="I80" s="21" t="n">
        <f aca="false">2_Matriz_decision!I79/I$5</f>
        <v>0.0296369482982925</v>
      </c>
      <c r="J80" s="21" t="n">
        <f aca="false">2_Matriz_decision!J79/J$5</f>
        <v>0.0469323254463932</v>
      </c>
      <c r="K80" s="21" t="n">
        <f aca="false">2_Matriz_decision!K79/K$5</f>
        <v>0.039014903418414</v>
      </c>
      <c r="L80" s="21" t="n">
        <f aca="false">2_Matriz_decision!L79/L$5</f>
        <v>0.0333883502531758</v>
      </c>
      <c r="M80" s="21" t="n">
        <f aca="false">2_Matriz_decision!M79/M$5</f>
        <v>0.0377695227133136</v>
      </c>
      <c r="N80" s="21" t="n">
        <f aca="false">2_Matriz_decision!N79/N$5</f>
        <v>0.0112098043469034</v>
      </c>
      <c r="O80" s="21" t="n">
        <f aca="false">2_Matriz_decision!O79/O$5</f>
        <v>0.0304431282773992</v>
      </c>
      <c r="P80" s="21" t="n">
        <f aca="false">2_Matriz_decision!P79/P$5</f>
        <v>0.0264720767589686</v>
      </c>
      <c r="Q80" s="21" t="n">
        <f aca="false">2_Matriz_decision!Q79/Q$5</f>
        <v>0.0401681656862772</v>
      </c>
    </row>
    <row r="81" customFormat="false" ht="15" hidden="false" customHeight="false" outlineLevel="0" collapsed="false">
      <c r="A81" s="15" t="n">
        <f aca="false">2_Matriz_decision!A80</f>
        <v>76</v>
      </c>
      <c r="B81" s="16" t="n">
        <f aca="false">2_Matriz_decision!B80</f>
        <v>7.821</v>
      </c>
      <c r="C81" s="21" t="n">
        <f aca="false">2_Matriz_decision!C80/C$5</f>
        <v>0.0439697451539424</v>
      </c>
      <c r="D81" s="21" t="n">
        <f aca="false">2_Matriz_decision!D80/D$5</f>
        <v>0.0418648306977948</v>
      </c>
      <c r="E81" s="21" t="n">
        <f aca="false">2_Matriz_decision!E80/E$5</f>
        <v>0.0400721949850431</v>
      </c>
      <c r="F81" s="21" t="n">
        <f aca="false">2_Matriz_decision!F80/F$5</f>
        <v>0.0494057638940627</v>
      </c>
      <c r="G81" s="21" t="n">
        <f aca="false">2_Matriz_decision!G80/G$5</f>
        <v>0.0308362065165227</v>
      </c>
      <c r="H81" s="21" t="n">
        <f aca="false">2_Matriz_decision!H80/H$5</f>
        <v>0.0640446931723768</v>
      </c>
      <c r="I81" s="21" t="n">
        <f aca="false">2_Matriz_decision!I80/I$5</f>
        <v>0.0444554224474387</v>
      </c>
      <c r="J81" s="21" t="n">
        <f aca="false">2_Matriz_decision!J80/J$5</f>
        <v>0.0469323254463932</v>
      </c>
      <c r="K81" s="21" t="n">
        <f aca="false">2_Matriz_decision!K80/K$5</f>
        <v>0.039014903418414</v>
      </c>
      <c r="L81" s="21" t="n">
        <f aca="false">2_Matriz_decision!L80/L$5</f>
        <v>0.0299251613402513</v>
      </c>
      <c r="M81" s="21" t="n">
        <f aca="false">2_Matriz_decision!M80/M$5</f>
        <v>0.0385317622767001</v>
      </c>
      <c r="N81" s="21" t="n">
        <f aca="false">2_Matriz_decision!N80/N$5</f>
        <v>0.0112098043469034</v>
      </c>
      <c r="O81" s="21" t="n">
        <f aca="false">2_Matriz_decision!O80/O$5</f>
        <v>0.0304431282773992</v>
      </c>
      <c r="P81" s="21" t="n">
        <f aca="false">2_Matriz_decision!P80/P$5</f>
        <v>0.0264720767589686</v>
      </c>
      <c r="Q81" s="21" t="n">
        <f aca="false">2_Matriz_decision!Q80/Q$5</f>
        <v>0.0401681656862772</v>
      </c>
    </row>
    <row r="82" customFormat="false" ht="15" hidden="false" customHeight="false" outlineLevel="0" collapsed="false">
      <c r="A82" s="15" t="n">
        <f aca="false">2_Matriz_decision!A81</f>
        <v>77</v>
      </c>
      <c r="B82" s="16" t="n">
        <f aca="false">2_Matriz_decision!B81</f>
        <v>7.924</v>
      </c>
      <c r="C82" s="21" t="n">
        <f aca="false">2_Matriz_decision!C81/C$5</f>
        <v>0.0351757961231539</v>
      </c>
      <c r="D82" s="21" t="n">
        <f aca="false">2_Matriz_decision!D81/D$5</f>
        <v>0.0418648306977948</v>
      </c>
      <c r="E82" s="21" t="n">
        <f aca="false">2_Matriz_decision!E81/E$5</f>
        <v>0.0400721949850431</v>
      </c>
      <c r="F82" s="21" t="n">
        <f aca="false">2_Matriz_decision!F81/F$5</f>
        <v>0.0494057638940627</v>
      </c>
      <c r="G82" s="21" t="n">
        <f aca="false">2_Matriz_decision!G81/G$5</f>
        <v>0.0308362065165227</v>
      </c>
      <c r="H82" s="21" t="n">
        <f aca="false">2_Matriz_decision!H81/H$5</f>
        <v>0.0640446931723768</v>
      </c>
      <c r="I82" s="21" t="n">
        <f aca="false">2_Matriz_decision!I81/I$5</f>
        <v>0.0444554224474387</v>
      </c>
      <c r="J82" s="21" t="n">
        <f aca="false">2_Matriz_decision!J81/J$5</f>
        <v>0.0469323254463932</v>
      </c>
      <c r="K82" s="21" t="n">
        <f aca="false">2_Matriz_decision!K81/K$5</f>
        <v>0.039014903418414</v>
      </c>
      <c r="L82" s="21" t="n">
        <f aca="false">2_Matriz_decision!L81/L$5</f>
        <v>0.0251114624651439</v>
      </c>
      <c r="M82" s="21" t="n">
        <f aca="false">2_Matriz_decision!M81/M$5</f>
        <v>0.0394597060929968</v>
      </c>
      <c r="N82" s="21" t="n">
        <f aca="false">2_Matriz_decision!N81/N$5</f>
        <v>0.0112098043469034</v>
      </c>
      <c r="O82" s="21" t="n">
        <f aca="false">2_Matriz_decision!O81/O$5</f>
        <v>0.0304431282773992</v>
      </c>
      <c r="P82" s="21" t="n">
        <f aca="false">2_Matriz_decision!P81/P$5</f>
        <v>0.0264720767589686</v>
      </c>
      <c r="Q82" s="21" t="n">
        <f aca="false">2_Matriz_decision!Q81/Q$5</f>
        <v>0.0535575542483696</v>
      </c>
    </row>
    <row r="83" customFormat="false" ht="15" hidden="false" customHeight="false" outlineLevel="0" collapsed="false">
      <c r="A83" s="15" t="n">
        <f aca="false">2_Matriz_decision!A82</f>
        <v>78</v>
      </c>
      <c r="B83" s="16" t="n">
        <f aca="false">2_Matriz_decision!B82</f>
        <v>8.026</v>
      </c>
      <c r="C83" s="21" t="n">
        <f aca="false">2_Matriz_decision!C82/C$5</f>
        <v>0.0351757961231539</v>
      </c>
      <c r="D83" s="21" t="n">
        <f aca="false">2_Matriz_decision!D82/D$5</f>
        <v>0.0418648306977948</v>
      </c>
      <c r="E83" s="21" t="n">
        <f aca="false">2_Matriz_decision!E82/E$5</f>
        <v>0.0400721949850431</v>
      </c>
      <c r="F83" s="21" t="n">
        <f aca="false">2_Matriz_decision!F82/F$5</f>
        <v>0.0395246111152501</v>
      </c>
      <c r="G83" s="21" t="n">
        <f aca="false">2_Matriz_decision!G82/G$5</f>
        <v>0.0308362065165227</v>
      </c>
      <c r="H83" s="21" t="n">
        <f aca="false">2_Matriz_decision!H82/H$5</f>
        <v>0.0640446931723768</v>
      </c>
      <c r="I83" s="21" t="n">
        <f aca="false">2_Matriz_decision!I82/I$5</f>
        <v>0.0444554224474387</v>
      </c>
      <c r="J83" s="21" t="n">
        <f aca="false">2_Matriz_decision!J82/J$5</f>
        <v>0.0469323254463932</v>
      </c>
      <c r="K83" s="21" t="n">
        <f aca="false">2_Matriz_decision!K82/K$5</f>
        <v>0.039014903418414</v>
      </c>
      <c r="L83" s="21" t="n">
        <f aca="false">2_Matriz_decision!L82/L$5</f>
        <v>0.020698905162962</v>
      </c>
      <c r="M83" s="21" t="n">
        <f aca="false">2_Matriz_decision!M82/M$5</f>
        <v>0.0420557393885887</v>
      </c>
      <c r="N83" s="21" t="n">
        <f aca="false">2_Matriz_decision!N82/N$5</f>
        <v>0.0112098043469034</v>
      </c>
      <c r="O83" s="21" t="n">
        <f aca="false">2_Matriz_decision!O82/O$5</f>
        <v>0.0304431282773992</v>
      </c>
      <c r="P83" s="21" t="n">
        <f aca="false">2_Matriz_decision!P82/P$5</f>
        <v>0.0264720767589686</v>
      </c>
      <c r="Q83" s="21" t="n">
        <f aca="false">2_Matriz_decision!Q82/Q$5</f>
        <v>0.0133893885620924</v>
      </c>
    </row>
    <row r="84" customFormat="false" ht="15" hidden="false" customHeight="false" outlineLevel="0" collapsed="false">
      <c r="A84" s="15" t="n">
        <f aca="false">2_Matriz_decision!A83</f>
        <v>79</v>
      </c>
      <c r="B84" s="16" t="n">
        <f aca="false">2_Matriz_decision!B83</f>
        <v>8.125</v>
      </c>
      <c r="C84" s="21" t="n">
        <f aca="false">2_Matriz_decision!C83/C$5</f>
        <v>0.0351757961231539</v>
      </c>
      <c r="D84" s="21" t="n">
        <f aca="false">2_Matriz_decision!D83/D$5</f>
        <v>0.0418648306977948</v>
      </c>
      <c r="E84" s="21" t="n">
        <f aca="false">2_Matriz_decision!E83/E$5</f>
        <v>0.0400721949850431</v>
      </c>
      <c r="F84" s="21" t="n">
        <f aca="false">2_Matriz_decision!F83/F$5</f>
        <v>0.0395246111152501</v>
      </c>
      <c r="G84" s="21" t="n">
        <f aca="false">2_Matriz_decision!G83/G$5</f>
        <v>0.0308362065165227</v>
      </c>
      <c r="H84" s="21" t="n">
        <f aca="false">2_Matriz_decision!H83/H$5</f>
        <v>0.0640446931723768</v>
      </c>
      <c r="I84" s="21" t="n">
        <f aca="false">2_Matriz_decision!I83/I$5</f>
        <v>0.0148184741491462</v>
      </c>
      <c r="J84" s="21" t="n">
        <f aca="false">2_Matriz_decision!J83/J$5</f>
        <v>0.0469323254463932</v>
      </c>
      <c r="K84" s="21" t="n">
        <f aca="false">2_Matriz_decision!K83/K$5</f>
        <v>0.039014903418414</v>
      </c>
      <c r="L84" s="21" t="n">
        <f aca="false">2_Matriz_decision!L83/L$5</f>
        <v>0.0255259754238337</v>
      </c>
      <c r="M84" s="21" t="n">
        <f aca="false">2_Matriz_decision!M83/M$5</f>
        <v>0.0433261386608996</v>
      </c>
      <c r="N84" s="21" t="n">
        <f aca="false">2_Matriz_decision!N83/N$5</f>
        <v>0.0112098043469034</v>
      </c>
      <c r="O84" s="21" t="n">
        <f aca="false">2_Matriz_decision!O83/O$5</f>
        <v>0.0304431282773992</v>
      </c>
      <c r="P84" s="21" t="n">
        <f aca="false">2_Matriz_decision!P83/P$5</f>
        <v>0.0264720767589686</v>
      </c>
      <c r="Q84" s="21" t="n">
        <f aca="false">2_Matriz_decision!Q83/Q$5</f>
        <v>0.0133893885620924</v>
      </c>
    </row>
    <row r="85" customFormat="false" ht="15" hidden="false" customHeight="false" outlineLevel="0" collapsed="false">
      <c r="A85" s="15" t="n">
        <f aca="false">2_Matriz_decision!A84</f>
        <v>80</v>
      </c>
      <c r="B85" s="16" t="n">
        <f aca="false">2_Matriz_decision!B84</f>
        <v>8.223</v>
      </c>
      <c r="C85" s="21" t="n">
        <f aca="false">2_Matriz_decision!C84/C$5</f>
        <v>0.0351757961231539</v>
      </c>
      <c r="D85" s="21" t="n">
        <f aca="false">2_Matriz_decision!D84/D$5</f>
        <v>0.0418648306977948</v>
      </c>
      <c r="E85" s="21" t="n">
        <f aca="false">2_Matriz_decision!E84/E$5</f>
        <v>0.0300541462387823</v>
      </c>
      <c r="F85" s="21" t="n">
        <f aca="false">2_Matriz_decision!F84/F$5</f>
        <v>0.0395246111152501</v>
      </c>
      <c r="G85" s="21" t="n">
        <f aca="false">2_Matriz_decision!G84/G$5</f>
        <v>0.0308362065165227</v>
      </c>
      <c r="H85" s="21" t="n">
        <f aca="false">2_Matriz_decision!H84/H$5</f>
        <v>0.0640446931723768</v>
      </c>
      <c r="I85" s="21" t="n">
        <f aca="false">2_Matriz_decision!I84/I$5</f>
        <v>0.0148184741491462</v>
      </c>
      <c r="J85" s="21" t="n">
        <f aca="false">2_Matriz_decision!J84/J$5</f>
        <v>0.0469323254463932</v>
      </c>
      <c r="K85" s="21" t="n">
        <f aca="false">2_Matriz_decision!K84/K$5</f>
        <v>0.039014903418414</v>
      </c>
      <c r="L85" s="21" t="n">
        <f aca="false">2_Matriz_decision!L84/L$5</f>
        <v>0.0262881444123924</v>
      </c>
      <c r="M85" s="21" t="n">
        <f aca="false">2_Matriz_decision!M84/M$5</f>
        <v>0.0418127064843205</v>
      </c>
      <c r="N85" s="21" t="n">
        <f aca="false">2_Matriz_decision!N84/N$5</f>
        <v>0.0112098043469034</v>
      </c>
      <c r="O85" s="21" t="n">
        <f aca="false">2_Matriz_decision!O84/O$5</f>
        <v>0.0304431282773992</v>
      </c>
      <c r="P85" s="21" t="n">
        <f aca="false">2_Matriz_decision!P84/P$5</f>
        <v>0.0264720767589686</v>
      </c>
      <c r="Q85" s="21" t="n">
        <f aca="false">2_Matriz_decision!Q84/Q$5</f>
        <v>0.0133893885620924</v>
      </c>
    </row>
    <row r="86" customFormat="false" ht="15" hidden="false" customHeight="false" outlineLevel="0" collapsed="false">
      <c r="A86" s="15" t="n">
        <f aca="false">2_Matriz_decision!A85</f>
        <v>81</v>
      </c>
      <c r="B86" s="16" t="n">
        <f aca="false">2_Matriz_decision!B85</f>
        <v>8.319</v>
      </c>
      <c r="C86" s="21" t="n">
        <f aca="false">2_Matriz_decision!C85/C$5</f>
        <v>0.0351757961231539</v>
      </c>
      <c r="D86" s="21" t="n">
        <f aca="false">2_Matriz_decision!D85/D$5</f>
        <v>0.0418648306977948</v>
      </c>
      <c r="E86" s="21" t="n">
        <f aca="false">2_Matriz_decision!E85/E$5</f>
        <v>0.0200360974925215</v>
      </c>
      <c r="F86" s="21" t="n">
        <f aca="false">2_Matriz_decision!F85/F$5</f>
        <v>0.0494057638940627</v>
      </c>
      <c r="G86" s="21" t="n">
        <f aca="false">2_Matriz_decision!G85/G$5</f>
        <v>0.0308362065165227</v>
      </c>
      <c r="H86" s="21" t="n">
        <f aca="false">2_Matriz_decision!H85/H$5</f>
        <v>0.0640446931723768</v>
      </c>
      <c r="I86" s="21" t="n">
        <f aca="false">2_Matriz_decision!I85/I$5</f>
        <v>0.0148184741491462</v>
      </c>
      <c r="J86" s="21" t="n">
        <f aca="false">2_Matriz_decision!J85/J$5</f>
        <v>0.0469323254463932</v>
      </c>
      <c r="K86" s="21" t="n">
        <f aca="false">2_Matriz_decision!K85/K$5</f>
        <v>0.039014903418414</v>
      </c>
      <c r="L86" s="21" t="n">
        <f aca="false">2_Matriz_decision!L85/L$5</f>
        <v>0.0239748946751879</v>
      </c>
      <c r="M86" s="21" t="n">
        <f aca="false">2_Matriz_decision!M85/M$5</f>
        <v>0.0441546599254502</v>
      </c>
      <c r="N86" s="21" t="n">
        <f aca="false">2_Matriz_decision!N85/N$5</f>
        <v>0.0112098043469034</v>
      </c>
      <c r="O86" s="21" t="n">
        <f aca="false">2_Matriz_decision!O85/O$5</f>
        <v>0.0304431282773992</v>
      </c>
      <c r="P86" s="21" t="n">
        <f aca="false">2_Matriz_decision!P85/P$5</f>
        <v>0.0264720767589686</v>
      </c>
      <c r="Q86" s="21" t="n">
        <f aca="false">2_Matriz_decision!Q85/Q$5</f>
        <v>0.0133893885620924</v>
      </c>
    </row>
    <row r="87" customFormat="false" ht="15" hidden="false" customHeight="false" outlineLevel="0" collapsed="false">
      <c r="A87" s="15" t="n">
        <f aca="false">2_Matriz_decision!A86</f>
        <v>82</v>
      </c>
      <c r="B87" s="16" t="n">
        <f aca="false">2_Matriz_decision!B86</f>
        <v>8.413</v>
      </c>
      <c r="C87" s="21" t="n">
        <f aca="false">2_Matriz_decision!C86/C$5</f>
        <v>0.0351757961231539</v>
      </c>
      <c r="D87" s="21" t="n">
        <f aca="false">2_Matriz_decision!D86/D$5</f>
        <v>0.0418648306977948</v>
      </c>
      <c r="E87" s="21" t="n">
        <f aca="false">2_Matriz_decision!E86/E$5</f>
        <v>0.0200360974925215</v>
      </c>
      <c r="F87" s="21" t="n">
        <f aca="false">2_Matriz_decision!F86/F$5</f>
        <v>0.0494057638940627</v>
      </c>
      <c r="G87" s="21" t="n">
        <f aca="false">2_Matriz_decision!G86/G$5</f>
        <v>0.0308362065165227</v>
      </c>
      <c r="H87" s="21" t="n">
        <f aca="false">2_Matriz_decision!H86/H$5</f>
        <v>0.0640446931723768</v>
      </c>
      <c r="I87" s="21" t="n">
        <f aca="false">2_Matriz_decision!I86/I$5</f>
        <v>0.0148184741491462</v>
      </c>
      <c r="J87" s="21" t="n">
        <f aca="false">2_Matriz_decision!J86/J$5</f>
        <v>0.0469323254463932</v>
      </c>
      <c r="K87" s="21" t="n">
        <f aca="false">2_Matriz_decision!K86/K$5</f>
        <v>0.039014903418414</v>
      </c>
      <c r="L87" s="21" t="n">
        <f aca="false">2_Matriz_decision!L86/L$5</f>
        <v>0.0305268736996397</v>
      </c>
      <c r="M87" s="21" t="n">
        <f aca="false">2_Matriz_decision!M86/M$5</f>
        <v>0.0441878007760322</v>
      </c>
      <c r="N87" s="21" t="n">
        <f aca="false">2_Matriz_decision!N86/N$5</f>
        <v>0.0112098043469034</v>
      </c>
      <c r="O87" s="21" t="n">
        <f aca="false">2_Matriz_decision!O86/O$5</f>
        <v>0.0304431282773992</v>
      </c>
      <c r="P87" s="21" t="n">
        <f aca="false">2_Matriz_decision!P86/P$5</f>
        <v>0.0264720767589686</v>
      </c>
      <c r="Q87" s="21" t="n">
        <f aca="false">2_Matriz_decision!Q86/Q$5</f>
        <v>0.0133893885620924</v>
      </c>
    </row>
    <row r="88" customFormat="false" ht="15" hidden="false" customHeight="false" outlineLevel="0" collapsed="false">
      <c r="A88" s="15" t="n">
        <f aca="false">2_Matriz_decision!A87</f>
        <v>83</v>
      </c>
      <c r="B88" s="16" t="n">
        <f aca="false">2_Matriz_decision!B87</f>
        <v>8.508</v>
      </c>
      <c r="C88" s="21" t="n">
        <f aca="false">2_Matriz_decision!C87/C$5</f>
        <v>0.0351757961231539</v>
      </c>
      <c r="D88" s="21" t="n">
        <f aca="false">2_Matriz_decision!D87/D$5</f>
        <v>0.0418648306977948</v>
      </c>
      <c r="E88" s="21" t="n">
        <f aca="false">2_Matriz_decision!E87/E$5</f>
        <v>0.0200360974925215</v>
      </c>
      <c r="F88" s="21" t="n">
        <f aca="false">2_Matriz_decision!F87/F$5</f>
        <v>0.0494057638940627</v>
      </c>
      <c r="G88" s="21" t="n">
        <f aca="false">2_Matriz_decision!G87/G$5</f>
        <v>0.0308362065165227</v>
      </c>
      <c r="H88" s="21" t="n">
        <f aca="false">2_Matriz_decision!H87/H$5</f>
        <v>0.0640446931723768</v>
      </c>
      <c r="I88" s="21" t="n">
        <f aca="false">2_Matriz_decision!I87/I$5</f>
        <v>0.0148184741491462</v>
      </c>
      <c r="J88" s="21" t="n">
        <f aca="false">2_Matriz_decision!J87/J$5</f>
        <v>0.0469323254463932</v>
      </c>
      <c r="K88" s="21" t="n">
        <f aca="false">2_Matriz_decision!K87/K$5</f>
        <v>0.039014903418414</v>
      </c>
      <c r="L88" s="21" t="n">
        <f aca="false">2_Matriz_decision!L87/L$5</f>
        <v>0.0308745297295086</v>
      </c>
      <c r="M88" s="21" t="n">
        <f aca="false">2_Matriz_decision!M87/M$5</f>
        <v>0.0441878007760322</v>
      </c>
      <c r="N88" s="21" t="n">
        <f aca="false">2_Matriz_decision!N87/N$5</f>
        <v>0.0112098043469034</v>
      </c>
      <c r="O88" s="21" t="n">
        <f aca="false">2_Matriz_decision!O87/O$5</f>
        <v>0.0304431282773992</v>
      </c>
      <c r="P88" s="21" t="n">
        <f aca="false">2_Matriz_decision!P87/P$5</f>
        <v>0.0264720767589686</v>
      </c>
      <c r="Q88" s="21" t="n">
        <f aca="false">2_Matriz_decision!Q87/Q$5</f>
        <v>0.0133893885620924</v>
      </c>
    </row>
    <row r="89" customFormat="false" ht="15" hidden="false" customHeight="false" outlineLevel="0" collapsed="false">
      <c r="A89" s="15" t="n">
        <f aca="false">2_Matriz_decision!A88</f>
        <v>84</v>
      </c>
      <c r="B89" s="16" t="n">
        <f aca="false">2_Matriz_decision!B88</f>
        <v>8.604</v>
      </c>
      <c r="C89" s="21" t="n">
        <f aca="false">2_Matriz_decision!C88/C$5</f>
        <v>0.0351757961231539</v>
      </c>
      <c r="D89" s="21" t="n">
        <f aca="false">2_Matriz_decision!D88/D$5</f>
        <v>0.0418648306977948</v>
      </c>
      <c r="E89" s="21" t="n">
        <f aca="false">2_Matriz_decision!E88/E$5</f>
        <v>0.0200360974925215</v>
      </c>
      <c r="F89" s="21" t="n">
        <f aca="false">2_Matriz_decision!F88/F$5</f>
        <v>0.0494057638940627</v>
      </c>
      <c r="G89" s="21" t="n">
        <f aca="false">2_Matriz_decision!G88/G$5</f>
        <v>0.0308362065165227</v>
      </c>
      <c r="H89" s="21" t="n">
        <f aca="false">2_Matriz_decision!H88/H$5</f>
        <v>0.0640446931723768</v>
      </c>
      <c r="I89" s="21" t="n">
        <f aca="false">2_Matriz_decision!I88/I$5</f>
        <v>0.0148184741491462</v>
      </c>
      <c r="J89" s="21" t="n">
        <f aca="false">2_Matriz_decision!J88/J$5</f>
        <v>0.0469323254463932</v>
      </c>
      <c r="K89" s="21" t="n">
        <f aca="false">2_Matriz_decision!K88/K$5</f>
        <v>0.039014903418414</v>
      </c>
      <c r="L89" s="21" t="n">
        <f aca="false">2_Matriz_decision!L88/L$5</f>
        <v>0.0305937306284607</v>
      </c>
      <c r="M89" s="21" t="n">
        <f aca="false">2_Matriz_decision!M88/M$5</f>
        <v>0.0441878007760322</v>
      </c>
      <c r="N89" s="21" t="n">
        <f aca="false">2_Matriz_decision!N88/N$5</f>
        <v>0.0112098043469034</v>
      </c>
      <c r="O89" s="21" t="n">
        <f aca="false">2_Matriz_decision!O88/O$5</f>
        <v>0.0304431282773992</v>
      </c>
      <c r="P89" s="21" t="n">
        <f aca="false">2_Matriz_decision!P88/P$5</f>
        <v>0.0264720767589686</v>
      </c>
      <c r="Q89" s="21" t="n">
        <f aca="false">2_Matriz_decision!Q88/Q$5</f>
        <v>0.0133893885620924</v>
      </c>
    </row>
    <row r="90" customFormat="false" ht="15" hidden="false" customHeight="false" outlineLevel="0" collapsed="false">
      <c r="A90" s="15" t="n">
        <f aca="false">2_Matriz_decision!A89</f>
        <v>85</v>
      </c>
      <c r="B90" s="16" t="n">
        <f aca="false">2_Matriz_decision!B89</f>
        <v>8.703</v>
      </c>
      <c r="C90" s="21" t="n">
        <f aca="false">2_Matriz_decision!C89/C$5</f>
        <v>0.0351757961231539</v>
      </c>
      <c r="D90" s="21" t="n">
        <f aca="false">2_Matriz_decision!D89/D$5</f>
        <v>0.0418648306977948</v>
      </c>
      <c r="E90" s="21" t="n">
        <f aca="false">2_Matriz_decision!E89/E$5</f>
        <v>0.0200360974925215</v>
      </c>
      <c r="F90" s="21" t="n">
        <f aca="false">2_Matriz_decision!F89/F$5</f>
        <v>0.0494057638940627</v>
      </c>
      <c r="G90" s="21" t="n">
        <f aca="false">2_Matriz_decision!G89/G$5</f>
        <v>0.0308362065165227</v>
      </c>
      <c r="H90" s="21" t="n">
        <f aca="false">2_Matriz_decision!H89/H$5</f>
        <v>0.0640446931723768</v>
      </c>
      <c r="I90" s="21" t="n">
        <f aca="false">2_Matriz_decision!I89/I$5</f>
        <v>0.0148184741491462</v>
      </c>
      <c r="J90" s="21" t="n">
        <f aca="false">2_Matriz_decision!J89/J$5</f>
        <v>0.0469323254463932</v>
      </c>
      <c r="K90" s="21" t="n">
        <f aca="false">2_Matriz_decision!K89/K$5</f>
        <v>0.039014903418414</v>
      </c>
      <c r="L90" s="21" t="n">
        <f aca="false">2_Matriz_decision!L89/L$5</f>
        <v>0.028828707707588</v>
      </c>
      <c r="M90" s="21" t="n">
        <f aca="false">2_Matriz_decision!M89/M$5</f>
        <v>0.0441878007760322</v>
      </c>
      <c r="N90" s="21" t="n">
        <f aca="false">2_Matriz_decision!N89/N$5</f>
        <v>0.0112098043469034</v>
      </c>
      <c r="O90" s="21" t="n">
        <f aca="false">2_Matriz_decision!O89/O$5</f>
        <v>0.0304431282773992</v>
      </c>
      <c r="P90" s="21" t="n">
        <f aca="false">2_Matriz_decision!P89/P$5</f>
        <v>0.0264720767589686</v>
      </c>
      <c r="Q90" s="21" t="n">
        <f aca="false">2_Matriz_decision!Q89/Q$5</f>
        <v>0.0133893885620924</v>
      </c>
    </row>
    <row r="91" customFormat="false" ht="15" hidden="false" customHeight="false" outlineLevel="0" collapsed="false">
      <c r="A91" s="15" t="n">
        <f aca="false">2_Matriz_decision!A90</f>
        <v>86</v>
      </c>
      <c r="B91" s="16" t="n">
        <f aca="false">2_Matriz_decision!B90</f>
        <v>8.803</v>
      </c>
      <c r="C91" s="21" t="n">
        <f aca="false">2_Matriz_decision!C90/C$5</f>
        <v>0.0263818470923654</v>
      </c>
      <c r="D91" s="21" t="n">
        <f aca="false">2_Matriz_decision!D90/D$5</f>
        <v>0.0418648306977948</v>
      </c>
      <c r="E91" s="21" t="n">
        <f aca="false">2_Matriz_decision!E90/E$5</f>
        <v>0.0200360974925215</v>
      </c>
      <c r="F91" s="21" t="n">
        <f aca="false">2_Matriz_decision!F90/F$5</f>
        <v>0.0395246111152501</v>
      </c>
      <c r="G91" s="21" t="n">
        <f aca="false">2_Matriz_decision!G90/G$5</f>
        <v>0.0308362065165227</v>
      </c>
      <c r="H91" s="21" t="n">
        <f aca="false">2_Matriz_decision!H90/H$5</f>
        <v>0.0640446931723768</v>
      </c>
      <c r="I91" s="21" t="n">
        <f aca="false">2_Matriz_decision!I90/I$5</f>
        <v>0.0148184741491462</v>
      </c>
      <c r="J91" s="21" t="n">
        <f aca="false">2_Matriz_decision!J90/J$5</f>
        <v>0.0469323254463932</v>
      </c>
      <c r="K91" s="21" t="n">
        <f aca="false">2_Matriz_decision!K90/K$5</f>
        <v>0.039014903418414</v>
      </c>
      <c r="L91" s="21" t="n">
        <f aca="false">2_Matriz_decision!L90/L$5</f>
        <v>0.027331112501999</v>
      </c>
      <c r="M91" s="21" t="n">
        <f aca="false">2_Matriz_decision!M90/M$5</f>
        <v>0.0441878007760322</v>
      </c>
      <c r="N91" s="21" t="n">
        <f aca="false">2_Matriz_decision!N90/N$5</f>
        <v>0.0112098043469034</v>
      </c>
      <c r="O91" s="21" t="n">
        <f aca="false">2_Matriz_decision!O90/O$5</f>
        <v>0.0304431282773992</v>
      </c>
      <c r="P91" s="21" t="n">
        <f aca="false">2_Matriz_decision!P90/P$5</f>
        <v>0.0264720767589686</v>
      </c>
      <c r="Q91" s="21" t="n">
        <f aca="false">2_Matriz_decision!Q90/Q$5</f>
        <v>0.0133893885620924</v>
      </c>
    </row>
    <row r="92" customFormat="false" ht="15" hidden="false" customHeight="false" outlineLevel="0" collapsed="false">
      <c r="A92" s="15" t="n">
        <f aca="false">2_Matriz_decision!A91</f>
        <v>87</v>
      </c>
      <c r="B92" s="16" t="n">
        <f aca="false">2_Matriz_decision!B91</f>
        <v>8.906</v>
      </c>
      <c r="C92" s="21" t="n">
        <f aca="false">2_Matriz_decision!C91/C$5</f>
        <v>0.0263818470923654</v>
      </c>
      <c r="D92" s="21" t="n">
        <f aca="false">2_Matriz_decision!D91/D$5</f>
        <v>0.0418648306977948</v>
      </c>
      <c r="E92" s="21" t="n">
        <f aca="false">2_Matriz_decision!E91/E$5</f>
        <v>0.0200360974925215</v>
      </c>
      <c r="F92" s="21" t="n">
        <f aca="false">2_Matriz_decision!F91/F$5</f>
        <v>0.0296434583364376</v>
      </c>
      <c r="G92" s="21" t="n">
        <f aca="false">2_Matriz_decision!G91/G$5</f>
        <v>0.0308362065165227</v>
      </c>
      <c r="H92" s="21" t="n">
        <f aca="false">2_Matriz_decision!H91/H$5</f>
        <v>0.0640446931723768</v>
      </c>
      <c r="I92" s="21" t="n">
        <f aca="false">2_Matriz_decision!I91/I$5</f>
        <v>0.0148184741491462</v>
      </c>
      <c r="J92" s="21" t="n">
        <f aca="false">2_Matriz_decision!J91/J$5</f>
        <v>0.0469323254463932</v>
      </c>
      <c r="K92" s="21" t="n">
        <f aca="false">2_Matriz_decision!K91/K$5</f>
        <v>0.039014903418414</v>
      </c>
      <c r="L92" s="21" t="n">
        <f aca="false">2_Matriz_decision!L91/L$5</f>
        <v>0.0259003742252309</v>
      </c>
      <c r="M92" s="21" t="n">
        <f aca="false">2_Matriz_decision!M91/M$5</f>
        <v>0.0441878007760322</v>
      </c>
      <c r="N92" s="21" t="n">
        <f aca="false">2_Matriz_decision!N91/N$5</f>
        <v>0.0112098043469034</v>
      </c>
      <c r="O92" s="21" t="n">
        <f aca="false">2_Matriz_decision!O91/O$5</f>
        <v>0.0304431282773992</v>
      </c>
      <c r="P92" s="21" t="n">
        <f aca="false">2_Matriz_decision!P91/P$5</f>
        <v>0.0264720767589686</v>
      </c>
      <c r="Q92" s="21" t="n">
        <f aca="false">2_Matriz_decision!Q91/Q$5</f>
        <v>0.0133893885620924</v>
      </c>
    </row>
    <row r="93" customFormat="false" ht="15" hidden="false" customHeight="false" outlineLevel="0" collapsed="false">
      <c r="A93" s="15" t="n">
        <f aca="false">2_Matriz_decision!A92</f>
        <v>88</v>
      </c>
      <c r="B93" s="16" t="n">
        <f aca="false">2_Matriz_decision!B92</f>
        <v>9.011</v>
      </c>
      <c r="C93" s="21" t="n">
        <f aca="false">2_Matriz_decision!C92/C$5</f>
        <v>0.0351757961231539</v>
      </c>
      <c r="D93" s="21" t="n">
        <f aca="false">2_Matriz_decision!D92/D$5</f>
        <v>0.0418648306977948</v>
      </c>
      <c r="E93" s="21" t="n">
        <f aca="false">2_Matriz_decision!E92/E$5</f>
        <v>0.0200360974925215</v>
      </c>
      <c r="F93" s="21" t="n">
        <f aca="false">2_Matriz_decision!F92/F$5</f>
        <v>0.0395246111152501</v>
      </c>
      <c r="G93" s="21" t="n">
        <f aca="false">2_Matriz_decision!G92/G$5</f>
        <v>0.0308362065165227</v>
      </c>
      <c r="H93" s="21" t="n">
        <f aca="false">2_Matriz_decision!H92/H$5</f>
        <v>0.0640446931723768</v>
      </c>
      <c r="I93" s="21" t="n">
        <f aca="false">2_Matriz_decision!I92/I$5</f>
        <v>0.0148184741491462</v>
      </c>
      <c r="J93" s="21" t="n">
        <f aca="false">2_Matriz_decision!J92/J$5</f>
        <v>0.0469323254463932</v>
      </c>
      <c r="K93" s="21" t="n">
        <f aca="false">2_Matriz_decision!K92/K$5</f>
        <v>0.039014903418414</v>
      </c>
      <c r="L93" s="21" t="n">
        <f aca="false">2_Matriz_decision!L92/L$5</f>
        <v>0.0241487226901224</v>
      </c>
      <c r="M93" s="21" t="n">
        <f aca="false">2_Matriz_decision!M92/M$5</f>
        <v>0.0441878007760322</v>
      </c>
      <c r="N93" s="21" t="n">
        <f aca="false">2_Matriz_decision!N92/N$5</f>
        <v>0.0112098043469034</v>
      </c>
      <c r="O93" s="21" t="n">
        <f aca="false">2_Matriz_decision!O92/O$5</f>
        <v>0.0304431282773992</v>
      </c>
      <c r="P93" s="21" t="n">
        <f aca="false">2_Matriz_decision!P92/P$5</f>
        <v>0.0264720767589686</v>
      </c>
      <c r="Q93" s="21" t="n">
        <f aca="false">2_Matriz_decision!Q92/Q$5</f>
        <v>0.0133893885620924</v>
      </c>
    </row>
    <row r="94" customFormat="false" ht="15" hidden="false" customHeight="false" outlineLevel="0" collapsed="false">
      <c r="A94" s="15" t="n">
        <f aca="false">2_Matriz_decision!A93</f>
        <v>89</v>
      </c>
      <c r="B94" s="16" t="n">
        <f aca="false">2_Matriz_decision!B93</f>
        <v>9.116</v>
      </c>
      <c r="C94" s="21" t="n">
        <f aca="false">2_Matriz_decision!C93/C$5</f>
        <v>0.0351757961231539</v>
      </c>
      <c r="D94" s="21" t="n">
        <f aca="false">2_Matriz_decision!D93/D$5</f>
        <v>0.0418648306977948</v>
      </c>
      <c r="E94" s="21" t="n">
        <f aca="false">2_Matriz_decision!E93/E$5</f>
        <v>0.0200360974925215</v>
      </c>
      <c r="F94" s="21" t="n">
        <f aca="false">2_Matriz_decision!F93/F$5</f>
        <v>0.0395246111152501</v>
      </c>
      <c r="G94" s="21" t="n">
        <f aca="false">2_Matriz_decision!G93/G$5</f>
        <v>0.0308362065165227</v>
      </c>
      <c r="H94" s="21" t="n">
        <f aca="false">2_Matriz_decision!H93/H$5</f>
        <v>0.0640446931723768</v>
      </c>
      <c r="I94" s="21" t="n">
        <f aca="false">2_Matriz_decision!I93/I$5</f>
        <v>0.0148184741491462</v>
      </c>
      <c r="J94" s="21" t="n">
        <f aca="false">2_Matriz_decision!J93/J$5</f>
        <v>0.0469323254463932</v>
      </c>
      <c r="K94" s="21" t="n">
        <f aca="false">2_Matriz_decision!K93/K$5</f>
        <v>0.039014903418414</v>
      </c>
      <c r="L94" s="21" t="n">
        <f aca="false">2_Matriz_decision!L93/L$5</f>
        <v>0.0226110133272408</v>
      </c>
      <c r="M94" s="21" t="n">
        <f aca="false">2_Matriz_decision!M93/M$5</f>
        <v>0.0441878007760322</v>
      </c>
      <c r="N94" s="21" t="n">
        <f aca="false">2_Matriz_decision!N93/N$5</f>
        <v>0.0112098043469034</v>
      </c>
      <c r="O94" s="21" t="n">
        <f aca="false">2_Matriz_decision!O93/O$5</f>
        <v>0.0304431282773992</v>
      </c>
      <c r="P94" s="21" t="n">
        <f aca="false">2_Matriz_decision!P93/P$5</f>
        <v>0.0264720767589686</v>
      </c>
      <c r="Q94" s="21" t="n">
        <f aca="false">2_Matriz_decision!Q93/Q$5</f>
        <v>0.0133893885620924</v>
      </c>
    </row>
    <row r="95" customFormat="false" ht="15" hidden="false" customHeight="false" outlineLevel="0" collapsed="false">
      <c r="A95" s="15" t="n">
        <f aca="false">2_Matriz_decision!A94</f>
        <v>90</v>
      </c>
      <c r="B95" s="16" t="n">
        <f aca="false">2_Matriz_decision!B94</f>
        <v>9.222</v>
      </c>
      <c r="C95" s="21" t="n">
        <f aca="false">2_Matriz_decision!C94/C$5</f>
        <v>0.0351757961231539</v>
      </c>
      <c r="D95" s="21" t="n">
        <f aca="false">2_Matriz_decision!D94/D$5</f>
        <v>0.0418648306977948</v>
      </c>
      <c r="E95" s="21" t="n">
        <f aca="false">2_Matriz_decision!E94/E$5</f>
        <v>0.0200360974925215</v>
      </c>
      <c r="F95" s="21" t="n">
        <f aca="false">2_Matriz_decision!F94/F$5</f>
        <v>0.0395246111152501</v>
      </c>
      <c r="G95" s="21" t="n">
        <f aca="false">2_Matriz_decision!G94/G$5</f>
        <v>0.0308362065165227</v>
      </c>
      <c r="H95" s="21" t="n">
        <f aca="false">2_Matriz_decision!H94/H$5</f>
        <v>0.0640446931723768</v>
      </c>
      <c r="I95" s="21" t="n">
        <f aca="false">2_Matriz_decision!I94/I$5</f>
        <v>0.0148184741491462</v>
      </c>
      <c r="J95" s="21" t="n">
        <f aca="false">2_Matriz_decision!J94/J$5</f>
        <v>0.0469323254463932</v>
      </c>
      <c r="K95" s="21" t="n">
        <f aca="false">2_Matriz_decision!K94/K$5</f>
        <v>0.039014903418414</v>
      </c>
      <c r="L95" s="21" t="n">
        <f aca="false">2_Matriz_decision!L94/L$5</f>
        <v>0.022049415125145</v>
      </c>
      <c r="M95" s="21" t="n">
        <f aca="false">2_Matriz_decision!M94/M$5</f>
        <v>0.0441878007760322</v>
      </c>
      <c r="N95" s="21" t="n">
        <f aca="false">2_Matriz_decision!N94/N$5</f>
        <v>0.0112098043469034</v>
      </c>
      <c r="O95" s="21" t="n">
        <f aca="false">2_Matriz_decision!O94/O$5</f>
        <v>0.0304431282773992</v>
      </c>
      <c r="P95" s="21" t="n">
        <f aca="false">2_Matriz_decision!P94/P$5</f>
        <v>0.0264720767589686</v>
      </c>
      <c r="Q95" s="21" t="n">
        <f aca="false">2_Matriz_decision!Q94/Q$5</f>
        <v>0.0133893885620924</v>
      </c>
    </row>
    <row r="96" customFormat="false" ht="15" hidden="false" customHeight="false" outlineLevel="0" collapsed="false">
      <c r="A96" s="15" t="n">
        <f aca="false">2_Matriz_decision!A95</f>
        <v>91</v>
      </c>
      <c r="B96" s="16" t="n">
        <f aca="false">2_Matriz_decision!B95</f>
        <v>9.326</v>
      </c>
      <c r="C96" s="21" t="n">
        <f aca="false">2_Matriz_decision!C95/C$5</f>
        <v>0.0439697451539424</v>
      </c>
      <c r="D96" s="21" t="n">
        <f aca="false">2_Matriz_decision!D95/D$5</f>
        <v>0.0418648306977948</v>
      </c>
      <c r="E96" s="21" t="n">
        <f aca="false">2_Matriz_decision!E95/E$5</f>
        <v>0.0200360974925215</v>
      </c>
      <c r="F96" s="21" t="n">
        <f aca="false">2_Matriz_decision!F95/F$5</f>
        <v>0.0296434583364376</v>
      </c>
      <c r="G96" s="21" t="n">
        <f aca="false">2_Matriz_decision!G95/G$5</f>
        <v>0.0308362065165227</v>
      </c>
      <c r="H96" s="21" t="n">
        <f aca="false">2_Matriz_decision!H95/H$5</f>
        <v>0.0640446931723768</v>
      </c>
      <c r="I96" s="21" t="n">
        <f aca="false">2_Matriz_decision!I95/I$5</f>
        <v>0.0148184741491462</v>
      </c>
      <c r="J96" s="21" t="n">
        <f aca="false">2_Matriz_decision!J95/J$5</f>
        <v>0.0469323254463932</v>
      </c>
      <c r="K96" s="21" t="n">
        <f aca="false">2_Matriz_decision!K95/K$5</f>
        <v>0.039014903418414</v>
      </c>
      <c r="L96" s="21" t="n">
        <f aca="false">2_Matriz_decision!L95/L$5</f>
        <v>0.0256864320530039</v>
      </c>
      <c r="M96" s="21" t="n">
        <f aca="false">2_Matriz_decision!M95/M$5</f>
        <v>0.0409179035186059</v>
      </c>
      <c r="N96" s="21" t="n">
        <f aca="false">2_Matriz_decision!N95/N$5</f>
        <v>0.0112098043469034</v>
      </c>
      <c r="O96" s="21" t="n">
        <f aca="false">2_Matriz_decision!O95/O$5</f>
        <v>0.0304431282773992</v>
      </c>
      <c r="P96" s="21" t="n">
        <f aca="false">2_Matriz_decision!P95/P$5</f>
        <v>0.0264720767589686</v>
      </c>
      <c r="Q96" s="21" t="n">
        <f aca="false">2_Matriz_decision!Q95/Q$5</f>
        <v>0.0535575542483696</v>
      </c>
    </row>
    <row r="97" customFormat="false" ht="15" hidden="false" customHeight="false" outlineLevel="0" collapsed="false">
      <c r="A97" s="15" t="n">
        <f aca="false">2_Matriz_decision!A96</f>
        <v>92</v>
      </c>
      <c r="B97" s="16" t="n">
        <f aca="false">2_Matriz_decision!B96</f>
        <v>9.429</v>
      </c>
      <c r="C97" s="21" t="n">
        <f aca="false">2_Matriz_decision!C96/C$5</f>
        <v>0.0439697451539424</v>
      </c>
      <c r="D97" s="21" t="n">
        <f aca="false">2_Matriz_decision!D96/D$5</f>
        <v>0.0334918645582358</v>
      </c>
      <c r="E97" s="21" t="n">
        <f aca="false">2_Matriz_decision!E96/E$5</f>
        <v>0.0200360974925215</v>
      </c>
      <c r="F97" s="21" t="n">
        <f aca="false">2_Matriz_decision!F96/F$5</f>
        <v>0.0296434583364376</v>
      </c>
      <c r="G97" s="21" t="n">
        <f aca="false">2_Matriz_decision!G96/G$5</f>
        <v>0.0308362065165227</v>
      </c>
      <c r="H97" s="21" t="n">
        <f aca="false">2_Matriz_decision!H96/H$5</f>
        <v>0.0640446931723768</v>
      </c>
      <c r="I97" s="21" t="n">
        <f aca="false">2_Matriz_decision!I96/I$5</f>
        <v>0.0148184741491462</v>
      </c>
      <c r="J97" s="21" t="n">
        <f aca="false">2_Matriz_decision!J96/J$5</f>
        <v>0.0469323254463932</v>
      </c>
      <c r="K97" s="21" t="n">
        <f aca="false">2_Matriz_decision!K96/K$5</f>
        <v>0.039014903418414</v>
      </c>
      <c r="L97" s="21" t="n">
        <f aca="false">2_Matriz_decision!L96/L$5</f>
        <v>0.0336290351969312</v>
      </c>
      <c r="M97" s="21" t="n">
        <f aca="false">2_Matriz_decision!M96/M$5</f>
        <v>0.0352950058698558</v>
      </c>
      <c r="N97" s="21" t="n">
        <f aca="false">2_Matriz_decision!N96/N$5</f>
        <v>0.0112098043469034</v>
      </c>
      <c r="O97" s="21" t="n">
        <f aca="false">2_Matriz_decision!O96/O$5</f>
        <v>0.0304431282773992</v>
      </c>
      <c r="P97" s="21" t="n">
        <f aca="false">2_Matriz_decision!P96/P$5</f>
        <v>0.0264720767589686</v>
      </c>
      <c r="Q97" s="21" t="n">
        <f aca="false">2_Matriz_decision!Q96/Q$5</f>
        <v>0.066946942810462</v>
      </c>
    </row>
    <row r="98" customFormat="false" ht="15" hidden="false" customHeight="false" outlineLevel="0" collapsed="false">
      <c r="A98" s="15" t="n">
        <f aca="false">2_Matriz_decision!A97</f>
        <v>93</v>
      </c>
      <c r="B98" s="16" t="n">
        <f aca="false">2_Matriz_decision!B97</f>
        <v>9.531</v>
      </c>
      <c r="C98" s="21" t="n">
        <f aca="false">2_Matriz_decision!C97/C$5</f>
        <v>0.0439697451539424</v>
      </c>
      <c r="D98" s="21" t="n">
        <f aca="false">2_Matriz_decision!D97/D$5</f>
        <v>0.0334918645582358</v>
      </c>
      <c r="E98" s="21" t="n">
        <f aca="false">2_Matriz_decision!E97/E$5</f>
        <v>0.0200360974925215</v>
      </c>
      <c r="F98" s="21" t="n">
        <f aca="false">2_Matriz_decision!F97/F$5</f>
        <v>0.0296434583364376</v>
      </c>
      <c r="G98" s="21" t="n">
        <f aca="false">2_Matriz_decision!G97/G$5</f>
        <v>0.0308362065165227</v>
      </c>
      <c r="H98" s="21" t="n">
        <f aca="false">2_Matriz_decision!H97/H$5</f>
        <v>0.0640446931723768</v>
      </c>
      <c r="I98" s="21" t="n">
        <f aca="false">2_Matriz_decision!I97/I$5</f>
        <v>0.0148184741491462</v>
      </c>
      <c r="J98" s="21" t="n">
        <f aca="false">2_Matriz_decision!J97/J$5</f>
        <v>0.0469323254463932</v>
      </c>
      <c r="K98" s="21" t="n">
        <f aca="false">2_Matriz_decision!K97/K$5</f>
        <v>0.039014903418414</v>
      </c>
      <c r="L98" s="21" t="n">
        <f aca="false">2_Matriz_decision!L97/L$5</f>
        <v>0.036182969877891</v>
      </c>
      <c r="M98" s="21" t="n">
        <f aca="false">2_Matriz_decision!M97/M$5</f>
        <v>0.0341129821990969</v>
      </c>
      <c r="N98" s="21" t="n">
        <f aca="false">2_Matriz_decision!N97/N$5</f>
        <v>0.0112098043469034</v>
      </c>
      <c r="O98" s="21" t="n">
        <f aca="false">2_Matriz_decision!O97/O$5</f>
        <v>0.0304431282773992</v>
      </c>
      <c r="P98" s="21" t="n">
        <f aca="false">2_Matriz_decision!P97/P$5</f>
        <v>0.0264720767589686</v>
      </c>
      <c r="Q98" s="21" t="n">
        <f aca="false">2_Matriz_decision!Q97/Q$5</f>
        <v>0.0535575542483696</v>
      </c>
    </row>
    <row r="99" customFormat="false" ht="15" hidden="false" customHeight="false" outlineLevel="0" collapsed="false">
      <c r="A99" s="15" t="n">
        <f aca="false">2_Matriz_decision!A98</f>
        <v>94</v>
      </c>
      <c r="B99" s="16" t="n">
        <f aca="false">2_Matriz_decision!B98</f>
        <v>9.632</v>
      </c>
      <c r="C99" s="21" t="n">
        <f aca="false">2_Matriz_decision!C98/C$5</f>
        <v>0.0439697451539424</v>
      </c>
      <c r="D99" s="21" t="n">
        <f aca="false">2_Matriz_decision!D98/D$5</f>
        <v>0.0334918645582358</v>
      </c>
      <c r="E99" s="21" t="n">
        <f aca="false">2_Matriz_decision!E98/E$5</f>
        <v>0.0200360974925215</v>
      </c>
      <c r="F99" s="21" t="n">
        <f aca="false">2_Matriz_decision!F98/F$5</f>
        <v>0.0296434583364376</v>
      </c>
      <c r="G99" s="21" t="n">
        <f aca="false">2_Matriz_decision!G98/G$5</f>
        <v>0.0308362065165227</v>
      </c>
      <c r="H99" s="21" t="n">
        <f aca="false">2_Matriz_decision!H98/H$5</f>
        <v>0.0640446931723768</v>
      </c>
      <c r="I99" s="21" t="n">
        <f aca="false">2_Matriz_decision!I98/I$5</f>
        <v>0.0148184741491462</v>
      </c>
      <c r="J99" s="21" t="n">
        <f aca="false">2_Matriz_decision!J98/J$5</f>
        <v>0.0469323254463932</v>
      </c>
      <c r="K99" s="21" t="n">
        <f aca="false">2_Matriz_decision!K98/K$5</f>
        <v>0.039014903418414</v>
      </c>
      <c r="L99" s="21" t="n">
        <f aca="false">2_Matriz_decision!L98/L$5</f>
        <v>0.0373061662820827</v>
      </c>
      <c r="M99" s="21" t="n">
        <f aca="false">2_Matriz_decision!M98/M$5</f>
        <v>0.0345880010574392</v>
      </c>
      <c r="N99" s="21" t="n">
        <f aca="false">2_Matriz_decision!N98/N$5</f>
        <v>0.0112098043469034</v>
      </c>
      <c r="O99" s="21" t="n">
        <f aca="false">2_Matriz_decision!O98/O$5</f>
        <v>0.0304431282773992</v>
      </c>
      <c r="P99" s="21" t="n">
        <f aca="false">2_Matriz_decision!P98/P$5</f>
        <v>0.0264720767589686</v>
      </c>
      <c r="Q99" s="21" t="n">
        <f aca="false">2_Matriz_decision!Q98/Q$5</f>
        <v>0.0267787771241848</v>
      </c>
    </row>
    <row r="100" customFormat="false" ht="15" hidden="false" customHeight="false" outlineLevel="0" collapsed="false">
      <c r="A100" s="15" t="n">
        <f aca="false">2_Matriz_decision!A99</f>
        <v>95</v>
      </c>
      <c r="B100" s="16" t="n">
        <f aca="false">2_Matriz_decision!B99</f>
        <v>9.733</v>
      </c>
      <c r="C100" s="21" t="n">
        <f aca="false">2_Matriz_decision!C99/C$5</f>
        <v>0.0439697451539424</v>
      </c>
      <c r="D100" s="21" t="n">
        <f aca="false">2_Matriz_decision!D99/D$5</f>
        <v>0.0418648306977948</v>
      </c>
      <c r="E100" s="21" t="n">
        <f aca="false">2_Matriz_decision!E99/E$5</f>
        <v>0.0200360974925215</v>
      </c>
      <c r="F100" s="21" t="n">
        <f aca="false">2_Matriz_decision!F99/F$5</f>
        <v>0.0296434583364376</v>
      </c>
      <c r="G100" s="21" t="n">
        <f aca="false">2_Matriz_decision!G99/G$5</f>
        <v>0.0308362065165227</v>
      </c>
      <c r="H100" s="21" t="n">
        <f aca="false">2_Matriz_decision!H99/H$5</f>
        <v>0.0640446931723768</v>
      </c>
      <c r="I100" s="21" t="n">
        <f aca="false">2_Matriz_decision!I99/I$5</f>
        <v>0.0148184741491462</v>
      </c>
      <c r="J100" s="21" t="n">
        <f aca="false">2_Matriz_decision!J99/J$5</f>
        <v>0.0469323254463932</v>
      </c>
      <c r="K100" s="21" t="n">
        <f aca="false">2_Matriz_decision!K99/K$5</f>
        <v>0.039014903418414</v>
      </c>
      <c r="L100" s="21" t="n">
        <f aca="false">2_Matriz_decision!L99/L$5</f>
        <v>0.0296309908534392</v>
      </c>
      <c r="M100" s="21" t="n">
        <f aca="false">2_Matriz_decision!M99/M$5</f>
        <v>0.0380677903685518</v>
      </c>
      <c r="N100" s="21" t="n">
        <f aca="false">2_Matriz_decision!N99/N$5</f>
        <v>0.0112098043469034</v>
      </c>
      <c r="O100" s="21" t="n">
        <f aca="false">2_Matriz_decision!O99/O$5</f>
        <v>0.0304431282773992</v>
      </c>
      <c r="P100" s="21" t="n">
        <f aca="false">2_Matriz_decision!P99/P$5</f>
        <v>0.0264720767589686</v>
      </c>
      <c r="Q100" s="21" t="n">
        <f aca="false">2_Matriz_decision!Q99/Q$5</f>
        <v>0.0133893885620924</v>
      </c>
    </row>
    <row r="101" customFormat="false" ht="15" hidden="false" customHeight="false" outlineLevel="0" collapsed="false">
      <c r="A101" s="15" t="n">
        <f aca="false">2_Matriz_decision!A100</f>
        <v>96</v>
      </c>
      <c r="B101" s="16" t="n">
        <f aca="false">2_Matriz_decision!B100</f>
        <v>9.834</v>
      </c>
      <c r="C101" s="21" t="n">
        <f aca="false">2_Matriz_decision!C100/C$5</f>
        <v>0.0439697451539424</v>
      </c>
      <c r="D101" s="21" t="n">
        <f aca="false">2_Matriz_decision!D100/D$5</f>
        <v>0.0418648306977948</v>
      </c>
      <c r="E101" s="21" t="n">
        <f aca="false">2_Matriz_decision!E100/E$5</f>
        <v>0.0200360974925215</v>
      </c>
      <c r="F101" s="21" t="n">
        <f aca="false">2_Matriz_decision!F100/F$5</f>
        <v>0.0395246111152501</v>
      </c>
      <c r="G101" s="21" t="n">
        <f aca="false">2_Matriz_decision!G100/G$5</f>
        <v>0.0308362065165227</v>
      </c>
      <c r="H101" s="21" t="n">
        <f aca="false">2_Matriz_decision!H100/H$5</f>
        <v>0.0640446931723768</v>
      </c>
      <c r="I101" s="21" t="n">
        <f aca="false">2_Matriz_decision!I100/I$5</f>
        <v>0.0148184741491462</v>
      </c>
      <c r="J101" s="21" t="n">
        <f aca="false">2_Matriz_decision!J100/J$5</f>
        <v>0.0469323254463932</v>
      </c>
      <c r="K101" s="21" t="n">
        <f aca="false">2_Matriz_decision!K100/K$5</f>
        <v>0.039014903418414</v>
      </c>
      <c r="L101" s="21" t="n">
        <f aca="false">2_Matriz_decision!L100/L$5</f>
        <v>0.0174630298080287</v>
      </c>
      <c r="M101" s="21" t="n">
        <f aca="false">2_Matriz_decision!M100/M$5</f>
        <v>0.0437017349674959</v>
      </c>
      <c r="N101" s="21" t="n">
        <f aca="false">2_Matriz_decision!N100/N$5</f>
        <v>0.0112098043469034</v>
      </c>
      <c r="O101" s="21" t="n">
        <f aca="false">2_Matriz_decision!O100/O$5</f>
        <v>0.0304431282773992</v>
      </c>
      <c r="P101" s="21" t="n">
        <f aca="false">2_Matriz_decision!P100/P$5</f>
        <v>0.0264720767589686</v>
      </c>
      <c r="Q101" s="21" t="n">
        <f aca="false">2_Matriz_decision!Q100/Q$5</f>
        <v>0.0133893885620924</v>
      </c>
    </row>
    <row r="102" customFormat="false" ht="15" hidden="false" customHeight="false" outlineLevel="0" collapsed="false">
      <c r="A102" s="15" t="n">
        <f aca="false">2_Matriz_decision!A101</f>
        <v>97</v>
      </c>
      <c r="B102" s="16" t="n">
        <f aca="false">2_Matriz_decision!B101</f>
        <v>9.936</v>
      </c>
      <c r="C102" s="21" t="n">
        <f aca="false">2_Matriz_decision!C101/C$5</f>
        <v>0.0439697451539424</v>
      </c>
      <c r="D102" s="21" t="n">
        <f aca="false">2_Matriz_decision!D101/D$5</f>
        <v>0.0418648306977948</v>
      </c>
      <c r="E102" s="21" t="n">
        <f aca="false">2_Matriz_decision!E101/E$5</f>
        <v>0.0100180487462608</v>
      </c>
      <c r="F102" s="21" t="n">
        <f aca="false">2_Matriz_decision!F101/F$5</f>
        <v>0.0395246111152501</v>
      </c>
      <c r="G102" s="21" t="n">
        <f aca="false">2_Matriz_decision!G101/G$5</f>
        <v>0.0308362065165227</v>
      </c>
      <c r="H102" s="21" t="n">
        <f aca="false">2_Matriz_decision!H101/H$5</f>
        <v>0.0640446931723768</v>
      </c>
      <c r="I102" s="21" t="n">
        <f aca="false">2_Matriz_decision!I101/I$5</f>
        <v>0.0148184741491462</v>
      </c>
      <c r="J102" s="21" t="n">
        <f aca="false">2_Matriz_decision!J101/J$5</f>
        <v>0.0469323254463932</v>
      </c>
      <c r="K102" s="21" t="n">
        <f aca="false">2_Matriz_decision!K101/K$5</f>
        <v>0.0312119227347312</v>
      </c>
      <c r="L102" s="21" t="n">
        <f aca="false">2_Matriz_decision!L101/L$5</f>
        <v>0.0183455412684651</v>
      </c>
      <c r="M102" s="21" t="n">
        <f aca="false">2_Matriz_decision!M101/M$5</f>
        <v>0.039780067648623</v>
      </c>
      <c r="N102" s="21" t="n">
        <f aca="false">2_Matriz_decision!N101/N$5</f>
        <v>0.0112098043469034</v>
      </c>
      <c r="O102" s="21" t="n">
        <f aca="false">2_Matriz_decision!O101/O$5</f>
        <v>0.0304431282773992</v>
      </c>
      <c r="P102" s="21" t="n">
        <f aca="false">2_Matriz_decision!P101/P$5</f>
        <v>0.0264720767589686</v>
      </c>
      <c r="Q102" s="21" t="n">
        <f aca="false">2_Matriz_decision!Q101/Q$5</f>
        <v>0.0133893885620924</v>
      </c>
    </row>
    <row r="103" customFormat="false" ht="15" hidden="false" customHeight="false" outlineLevel="0" collapsed="false">
      <c r="A103" s="15" t="n">
        <f aca="false">2_Matriz_decision!A102</f>
        <v>98</v>
      </c>
      <c r="B103" s="16" t="n">
        <f aca="false">2_Matriz_decision!B102</f>
        <v>10.038</v>
      </c>
      <c r="C103" s="21" t="n">
        <f aca="false">2_Matriz_decision!C102/C$5</f>
        <v>0.0439697451539424</v>
      </c>
      <c r="D103" s="21" t="n">
        <f aca="false">2_Matriz_decision!D102/D$5</f>
        <v>0.0418648306977948</v>
      </c>
      <c r="E103" s="21" t="n">
        <f aca="false">2_Matriz_decision!E102/E$5</f>
        <v>0.0100180487462608</v>
      </c>
      <c r="F103" s="21" t="n">
        <f aca="false">2_Matriz_decision!F102/F$5</f>
        <v>0.0395246111152501</v>
      </c>
      <c r="G103" s="21" t="n">
        <f aca="false">2_Matriz_decision!G102/G$5</f>
        <v>0.0308362065165227</v>
      </c>
      <c r="H103" s="21" t="n">
        <f aca="false">2_Matriz_decision!H102/H$5</f>
        <v>0.0640446931723768</v>
      </c>
      <c r="I103" s="21" t="n">
        <f aca="false">2_Matriz_decision!I102/I$5</f>
        <v>0.0148184741491462</v>
      </c>
      <c r="J103" s="21" t="n">
        <f aca="false">2_Matriz_decision!J102/J$5</f>
        <v>0.0469323254463932</v>
      </c>
      <c r="K103" s="21" t="n">
        <f aca="false">2_Matriz_decision!K102/K$5</f>
        <v>0.0312119227347312</v>
      </c>
      <c r="L103" s="21" t="n">
        <f aca="false">2_Matriz_decision!L102/L$5</f>
        <v>0.0201506783466304</v>
      </c>
      <c r="M103" s="21" t="n">
        <f aca="false">2_Matriz_decision!M102/M$5</f>
        <v>0.0409952321699639</v>
      </c>
      <c r="N103" s="21" t="n">
        <f aca="false">2_Matriz_decision!N102/N$5</f>
        <v>0.0112098043469034</v>
      </c>
      <c r="O103" s="21" t="n">
        <f aca="false">2_Matriz_decision!O102/O$5</f>
        <v>0.0304431282773992</v>
      </c>
      <c r="P103" s="21" t="n">
        <f aca="false">2_Matriz_decision!P102/P$5</f>
        <v>0.0264720767589686</v>
      </c>
      <c r="Q103" s="21" t="n">
        <f aca="false">2_Matriz_decision!Q102/Q$5</f>
        <v>0.0133893885620924</v>
      </c>
    </row>
    <row r="104" customFormat="false" ht="15" hidden="false" customHeight="false" outlineLevel="0" collapsed="false">
      <c r="A104" s="15" t="n">
        <f aca="false">2_Matriz_decision!A103</f>
        <v>99</v>
      </c>
      <c r="B104" s="16" t="n">
        <f aca="false">2_Matriz_decision!B103</f>
        <v>10.141</v>
      </c>
      <c r="C104" s="21" t="n">
        <f aca="false">2_Matriz_decision!C103/C$5</f>
        <v>0.0439697451539424</v>
      </c>
      <c r="D104" s="21" t="n">
        <f aca="false">2_Matriz_decision!D103/D$5</f>
        <v>0.0334918645582358</v>
      </c>
      <c r="E104" s="21" t="n">
        <f aca="false">2_Matriz_decision!E103/E$5</f>
        <v>0.0200360974925215</v>
      </c>
      <c r="F104" s="21" t="n">
        <f aca="false">2_Matriz_decision!F103/F$5</f>
        <v>0.0296434583364376</v>
      </c>
      <c r="G104" s="21" t="n">
        <f aca="false">2_Matriz_decision!G103/G$5</f>
        <v>0.0308362065165227</v>
      </c>
      <c r="H104" s="21" t="n">
        <f aca="false">2_Matriz_decision!H103/H$5</f>
        <v>0.0640446931723768</v>
      </c>
      <c r="I104" s="21" t="n">
        <f aca="false">2_Matriz_decision!I103/I$5</f>
        <v>0.0148184741491462</v>
      </c>
      <c r="J104" s="21" t="n">
        <f aca="false">2_Matriz_decision!J103/J$5</f>
        <v>0.0469323254463932</v>
      </c>
      <c r="K104" s="21" t="n">
        <f aca="false">2_Matriz_decision!K103/K$5</f>
        <v>0.039014903418414</v>
      </c>
      <c r="L104" s="21" t="n">
        <f aca="false">2_Matriz_decision!L103/L$5</f>
        <v>0.0201907925039229</v>
      </c>
      <c r="M104" s="21" t="n">
        <f aca="false">2_Matriz_decision!M103/M$5</f>
        <v>0.0429947301550794</v>
      </c>
      <c r="N104" s="21" t="n">
        <f aca="false">2_Matriz_decision!N103/N$5</f>
        <v>0.0112098043469034</v>
      </c>
      <c r="O104" s="21" t="n">
        <f aca="false">2_Matriz_decision!O103/O$5</f>
        <v>0.0304431282773992</v>
      </c>
      <c r="P104" s="21" t="n">
        <f aca="false">2_Matriz_decision!P103/P$5</f>
        <v>0.0264720767589686</v>
      </c>
      <c r="Q104" s="21" t="n">
        <f aca="false">2_Matriz_decision!Q103/Q$5</f>
        <v>0.0133893885620924</v>
      </c>
    </row>
    <row r="105" customFormat="false" ht="15" hidden="false" customHeight="false" outlineLevel="0" collapsed="false">
      <c r="A105" s="15" t="n">
        <f aca="false">2_Matriz_decision!A104</f>
        <v>100</v>
      </c>
      <c r="B105" s="16" t="n">
        <f aca="false">2_Matriz_decision!B104</f>
        <v>10.243</v>
      </c>
      <c r="C105" s="21" t="n">
        <f aca="false">2_Matriz_decision!C104/C$5</f>
        <v>0.0439697451539424</v>
      </c>
      <c r="D105" s="21" t="n">
        <f aca="false">2_Matriz_decision!D104/D$5</f>
        <v>0.0334918645582358</v>
      </c>
      <c r="E105" s="21" t="n">
        <f aca="false">2_Matriz_decision!E104/E$5</f>
        <v>0.0100180487462608</v>
      </c>
      <c r="F105" s="21" t="n">
        <f aca="false">2_Matriz_decision!F104/F$5</f>
        <v>0.0296434583364376</v>
      </c>
      <c r="G105" s="21" t="n">
        <f aca="false">2_Matriz_decision!G104/G$5</f>
        <v>0.0308362065165227</v>
      </c>
      <c r="H105" s="21" t="n">
        <f aca="false">2_Matriz_decision!H104/H$5</f>
        <v>0.0640446931723768</v>
      </c>
      <c r="I105" s="21" t="n">
        <f aca="false">2_Matriz_decision!I104/I$5</f>
        <v>0.0148184741491462</v>
      </c>
      <c r="J105" s="21" t="n">
        <f aca="false">2_Matriz_decision!J104/J$5</f>
        <v>0.0469323254463932</v>
      </c>
      <c r="K105" s="21" t="n">
        <f aca="false">2_Matriz_decision!K104/K$5</f>
        <v>0.039014903418414</v>
      </c>
      <c r="L105" s="21" t="n">
        <f aca="false">2_Matriz_decision!L104/L$5</f>
        <v>0.0229452979713455</v>
      </c>
      <c r="M105" s="21" t="n">
        <f aca="false">2_Matriz_decision!M104/M$5</f>
        <v>0.0403213682081294</v>
      </c>
      <c r="N105" s="21" t="n">
        <f aca="false">2_Matriz_decision!N104/N$5</f>
        <v>0.0112098043469034</v>
      </c>
      <c r="O105" s="21" t="n">
        <f aca="false">2_Matriz_decision!O104/O$5</f>
        <v>0.0304431282773992</v>
      </c>
      <c r="P105" s="21" t="n">
        <f aca="false">2_Matriz_decision!P104/P$5</f>
        <v>0.0264720767589686</v>
      </c>
      <c r="Q105" s="21" t="n">
        <f aca="false">2_Matriz_decision!Q104/Q$5</f>
        <v>0.0133893885620924</v>
      </c>
    </row>
    <row r="106" customFormat="false" ht="15" hidden="false" customHeight="false" outlineLevel="0" collapsed="false">
      <c r="A106" s="15" t="n">
        <f aca="false">2_Matriz_decision!A105</f>
        <v>101</v>
      </c>
      <c r="B106" s="16" t="n">
        <f aca="false">2_Matriz_decision!B105</f>
        <v>10.346</v>
      </c>
      <c r="C106" s="21" t="n">
        <f aca="false">2_Matriz_decision!C105/C$5</f>
        <v>0.0439697451539424</v>
      </c>
      <c r="D106" s="21" t="n">
        <f aca="false">2_Matriz_decision!D105/D$5</f>
        <v>0.0334918645582358</v>
      </c>
      <c r="E106" s="21" t="n">
        <f aca="false">2_Matriz_decision!E105/E$5</f>
        <v>0.0100180487462608</v>
      </c>
      <c r="F106" s="21" t="n">
        <f aca="false">2_Matriz_decision!F105/F$5</f>
        <v>0.0296434583364376</v>
      </c>
      <c r="G106" s="21" t="n">
        <f aca="false">2_Matriz_decision!G105/G$5</f>
        <v>0.0308362065165227</v>
      </c>
      <c r="H106" s="21" t="n">
        <f aca="false">2_Matriz_decision!H105/H$5</f>
        <v>0.0640446931723768</v>
      </c>
      <c r="I106" s="21" t="n">
        <f aca="false">2_Matriz_decision!I105/I$5</f>
        <v>0.0148184741491462</v>
      </c>
      <c r="J106" s="21" t="n">
        <f aca="false">2_Matriz_decision!J105/J$5</f>
        <v>0.0469323254463932</v>
      </c>
      <c r="K106" s="21" t="n">
        <f aca="false">2_Matriz_decision!K105/K$5</f>
        <v>0.039014903418414</v>
      </c>
      <c r="L106" s="21" t="n">
        <f aca="false">2_Matriz_decision!L105/L$5</f>
        <v>0.0248440347498601</v>
      </c>
      <c r="M106" s="21" t="n">
        <f aca="false">2_Matriz_decision!M105/M$5</f>
        <v>0.0416359552812164</v>
      </c>
      <c r="N106" s="21" t="n">
        <f aca="false">2_Matriz_decision!N105/N$5</f>
        <v>0.0112098043469034</v>
      </c>
      <c r="O106" s="21" t="n">
        <f aca="false">2_Matriz_decision!O105/O$5</f>
        <v>0.0304431282773992</v>
      </c>
      <c r="P106" s="21" t="n">
        <f aca="false">2_Matriz_decision!P105/P$5</f>
        <v>0.0264720767589686</v>
      </c>
      <c r="Q106" s="21" t="n">
        <f aca="false">2_Matriz_decision!Q105/Q$5</f>
        <v>0.0133893885620924</v>
      </c>
    </row>
    <row r="107" customFormat="false" ht="15" hidden="false" customHeight="false" outlineLevel="0" collapsed="false">
      <c r="A107" s="15" t="n">
        <f aca="false">2_Matriz_decision!A106</f>
        <v>102</v>
      </c>
      <c r="B107" s="16" t="n">
        <f aca="false">2_Matriz_decision!B106</f>
        <v>10.447</v>
      </c>
      <c r="C107" s="21" t="n">
        <f aca="false">2_Matriz_decision!C106/C$5</f>
        <v>0.0439697451539424</v>
      </c>
      <c r="D107" s="21" t="n">
        <f aca="false">2_Matriz_decision!D106/D$5</f>
        <v>0.0334918645582358</v>
      </c>
      <c r="E107" s="21" t="n">
        <f aca="false">2_Matriz_decision!E106/E$5</f>
        <v>0.0200360974925215</v>
      </c>
      <c r="F107" s="21" t="n">
        <f aca="false">2_Matriz_decision!F106/F$5</f>
        <v>0.0395246111152501</v>
      </c>
      <c r="G107" s="21" t="n">
        <f aca="false">2_Matriz_decision!G106/G$5</f>
        <v>0.0308362065165227</v>
      </c>
      <c r="H107" s="21" t="n">
        <f aca="false">2_Matriz_decision!H106/H$5</f>
        <v>0.0640446931723768</v>
      </c>
      <c r="I107" s="21" t="n">
        <f aca="false">2_Matriz_decision!I106/I$5</f>
        <v>0.0148184741491462</v>
      </c>
      <c r="J107" s="21" t="n">
        <f aca="false">2_Matriz_decision!J106/J$5</f>
        <v>0.0469323254463932</v>
      </c>
      <c r="K107" s="21" t="n">
        <f aca="false">2_Matriz_decision!K106/K$5</f>
        <v>0.039014903418414</v>
      </c>
      <c r="L107" s="21" t="n">
        <f aca="false">2_Matriz_decision!L106/L$5</f>
        <v>0.0269567137006017</v>
      </c>
      <c r="M107" s="21" t="n">
        <f aca="false">2_Matriz_decision!M106/M$5</f>
        <v>0.0420667863387827</v>
      </c>
      <c r="N107" s="21" t="n">
        <f aca="false">2_Matriz_decision!N106/N$5</f>
        <v>0.0112098043469034</v>
      </c>
      <c r="O107" s="21" t="n">
        <f aca="false">2_Matriz_decision!O106/O$5</f>
        <v>0.0304431282773992</v>
      </c>
      <c r="P107" s="21" t="n">
        <f aca="false">2_Matriz_decision!P106/P$5</f>
        <v>0.0264720767589686</v>
      </c>
      <c r="Q107" s="21" t="n">
        <f aca="false">2_Matriz_decision!Q106/Q$5</f>
        <v>0.0133893885620924</v>
      </c>
    </row>
    <row r="108" customFormat="false" ht="15" hidden="false" customHeight="false" outlineLevel="0" collapsed="false">
      <c r="A108" s="15" t="n">
        <f aca="false">2_Matriz_decision!A107</f>
        <v>103</v>
      </c>
      <c r="B108" s="16" t="n">
        <f aca="false">2_Matriz_decision!B107</f>
        <v>10.548</v>
      </c>
      <c r="C108" s="21" t="n">
        <f aca="false">2_Matriz_decision!C107/C$5</f>
        <v>0.0439697451539424</v>
      </c>
      <c r="D108" s="21" t="n">
        <f aca="false">2_Matriz_decision!D107/D$5</f>
        <v>0.0334918645582358</v>
      </c>
      <c r="E108" s="21" t="n">
        <f aca="false">2_Matriz_decision!E107/E$5</f>
        <v>0.0200360974925215</v>
      </c>
      <c r="F108" s="21" t="n">
        <f aca="false">2_Matriz_decision!F107/F$5</f>
        <v>0.0395246111152501</v>
      </c>
      <c r="G108" s="21" t="n">
        <f aca="false">2_Matriz_decision!G107/G$5</f>
        <v>0.0308362065165227</v>
      </c>
      <c r="H108" s="21" t="n">
        <f aca="false">2_Matriz_decision!H107/H$5</f>
        <v>0.0640446931723768</v>
      </c>
      <c r="I108" s="21" t="n">
        <f aca="false">2_Matriz_decision!I107/I$5</f>
        <v>0.0148184741491462</v>
      </c>
      <c r="J108" s="21" t="n">
        <f aca="false">2_Matriz_decision!J107/J$5</f>
        <v>0.0469323254463932</v>
      </c>
      <c r="K108" s="21" t="n">
        <f aca="false">2_Matriz_decision!K107/K$5</f>
        <v>0.039014903418414</v>
      </c>
      <c r="L108" s="21" t="n">
        <f aca="false">2_Matriz_decision!L107/L$5</f>
        <v>0.0293769345239196</v>
      </c>
      <c r="M108" s="21" t="n">
        <f aca="false">2_Matriz_decision!M107/M$5</f>
        <v>0.0412824528750081</v>
      </c>
      <c r="N108" s="21" t="n">
        <f aca="false">2_Matriz_decision!N107/N$5</f>
        <v>0.0112098043469034</v>
      </c>
      <c r="O108" s="21" t="n">
        <f aca="false">2_Matriz_decision!O107/O$5</f>
        <v>0.0304431282773992</v>
      </c>
      <c r="P108" s="21" t="n">
        <f aca="false">2_Matriz_decision!P107/P$5</f>
        <v>0.0264720767589686</v>
      </c>
      <c r="Q108" s="21" t="n">
        <f aca="false">2_Matriz_decision!Q107/Q$5</f>
        <v>0.0133893885620924</v>
      </c>
    </row>
    <row r="109" customFormat="false" ht="15" hidden="false" customHeight="false" outlineLevel="0" collapsed="false">
      <c r="A109" s="15" t="n">
        <f aca="false">2_Matriz_decision!A108</f>
        <v>104</v>
      </c>
      <c r="B109" s="16" t="n">
        <f aca="false">2_Matriz_decision!B108</f>
        <v>10.648</v>
      </c>
      <c r="C109" s="21" t="n">
        <f aca="false">2_Matriz_decision!C108/C$5</f>
        <v>0.0439697451539424</v>
      </c>
      <c r="D109" s="21" t="n">
        <f aca="false">2_Matriz_decision!D108/D$5</f>
        <v>0.0334918645582358</v>
      </c>
      <c r="E109" s="21" t="n">
        <f aca="false">2_Matriz_decision!E108/E$5</f>
        <v>0.0400721949850431</v>
      </c>
      <c r="F109" s="21" t="n">
        <f aca="false">2_Matriz_decision!F108/F$5</f>
        <v>0.0296434583364376</v>
      </c>
      <c r="G109" s="21" t="n">
        <f aca="false">2_Matriz_decision!G108/G$5</f>
        <v>0.0308362065165227</v>
      </c>
      <c r="H109" s="21" t="n">
        <f aca="false">2_Matriz_decision!H108/H$5</f>
        <v>0.0640446931723768</v>
      </c>
      <c r="I109" s="21" t="n">
        <f aca="false">2_Matriz_decision!I108/I$5</f>
        <v>0.0148184741491462</v>
      </c>
      <c r="J109" s="21" t="n">
        <f aca="false">2_Matriz_decision!J108/J$5</f>
        <v>0.0469323254463932</v>
      </c>
      <c r="K109" s="21" t="n">
        <f aca="false">2_Matriz_decision!K108/K$5</f>
        <v>0.039014903418414</v>
      </c>
      <c r="L109" s="21" t="n">
        <f aca="false">2_Matriz_decision!L108/L$5</f>
        <v>0.0331476653094205</v>
      </c>
      <c r="M109" s="21" t="n">
        <f aca="false">2_Matriz_decision!M108/M$5</f>
        <v>0.0374160203071053</v>
      </c>
      <c r="N109" s="21" t="n">
        <f aca="false">2_Matriz_decision!N108/N$5</f>
        <v>0.0112098043469034</v>
      </c>
      <c r="O109" s="21" t="n">
        <f aca="false">2_Matriz_decision!O108/O$5</f>
        <v>0.0304431282773992</v>
      </c>
      <c r="P109" s="21" t="n">
        <f aca="false">2_Matriz_decision!P108/P$5</f>
        <v>0.0264720767589686</v>
      </c>
      <c r="Q109" s="21" t="n">
        <f aca="false">2_Matriz_decision!Q108/Q$5</f>
        <v>0.0133893885620924</v>
      </c>
    </row>
    <row r="110" customFormat="false" ht="15" hidden="false" customHeight="false" outlineLevel="0" collapsed="false">
      <c r="A110" s="15" t="n">
        <f aca="false">2_Matriz_decision!A109</f>
        <v>105</v>
      </c>
      <c r="B110" s="16" t="n">
        <f aca="false">2_Matriz_decision!B109</f>
        <v>10.748</v>
      </c>
      <c r="C110" s="21" t="n">
        <f aca="false">2_Matriz_decision!C109/C$5</f>
        <v>0.0439697451539424</v>
      </c>
      <c r="D110" s="21" t="n">
        <f aca="false">2_Matriz_decision!D109/D$5</f>
        <v>0.0334918645582358</v>
      </c>
      <c r="E110" s="21" t="n">
        <f aca="false">2_Matriz_decision!E109/E$5</f>
        <v>0.0300541462387823</v>
      </c>
      <c r="F110" s="21" t="n">
        <f aca="false">2_Matriz_decision!F109/F$5</f>
        <v>0.0296434583364376</v>
      </c>
      <c r="G110" s="21" t="n">
        <f aca="false">2_Matriz_decision!G109/G$5</f>
        <v>0.0308362065165227</v>
      </c>
      <c r="H110" s="21" t="n">
        <f aca="false">2_Matriz_decision!H109/H$5</f>
        <v>0.0640446931723768</v>
      </c>
      <c r="I110" s="21" t="n">
        <f aca="false">2_Matriz_decision!I109/I$5</f>
        <v>0.0148184741491462</v>
      </c>
      <c r="J110" s="21" t="n">
        <f aca="false">2_Matriz_decision!J109/J$5</f>
        <v>0.0469323254463932</v>
      </c>
      <c r="K110" s="21" t="n">
        <f aca="false">2_Matriz_decision!K109/K$5</f>
        <v>0.039014903418414</v>
      </c>
      <c r="L110" s="21" t="n">
        <f aca="false">2_Matriz_decision!L109/L$5</f>
        <v>0.0394322166185885</v>
      </c>
      <c r="M110" s="21" t="n">
        <f aca="false">2_Matriz_decision!M109/M$5</f>
        <v>0.0326437378232938</v>
      </c>
      <c r="N110" s="21" t="n">
        <f aca="false">2_Matriz_decision!N109/N$5</f>
        <v>0.0112098043469034</v>
      </c>
      <c r="O110" s="21" t="n">
        <f aca="false">2_Matriz_decision!O109/O$5</f>
        <v>0.0304431282773992</v>
      </c>
      <c r="P110" s="21" t="n">
        <f aca="false">2_Matriz_decision!P109/P$5</f>
        <v>0.0264720767589686</v>
      </c>
      <c r="Q110" s="21" t="n">
        <f aca="false">2_Matriz_decision!Q109/Q$5</f>
        <v>0.0267787771241848</v>
      </c>
    </row>
    <row r="111" customFormat="false" ht="15" hidden="false" customHeight="false" outlineLevel="0" collapsed="false">
      <c r="A111" s="15" t="n">
        <f aca="false">2_Matriz_decision!A110</f>
        <v>106</v>
      </c>
      <c r="B111" s="16" t="n">
        <f aca="false">2_Matriz_decision!B110</f>
        <v>10.848</v>
      </c>
      <c r="C111" s="21" t="n">
        <f aca="false">2_Matriz_decision!C110/C$5</f>
        <v>0.0439697451539424</v>
      </c>
      <c r="D111" s="21" t="n">
        <f aca="false">2_Matriz_decision!D110/D$5</f>
        <v>0.0334918645582358</v>
      </c>
      <c r="E111" s="21" t="n">
        <f aca="false">2_Matriz_decision!E110/E$5</f>
        <v>0.0300541462387823</v>
      </c>
      <c r="F111" s="21" t="n">
        <f aca="false">2_Matriz_decision!F110/F$5</f>
        <v>0.0395246111152501</v>
      </c>
      <c r="G111" s="21" t="n">
        <f aca="false">2_Matriz_decision!G110/G$5</f>
        <v>0.0308362065165227</v>
      </c>
      <c r="H111" s="21" t="n">
        <f aca="false">2_Matriz_decision!H110/H$5</f>
        <v>0.0640446931723768</v>
      </c>
      <c r="I111" s="21" t="n">
        <f aca="false">2_Matriz_decision!I110/I$5</f>
        <v>0.0148184741491462</v>
      </c>
      <c r="J111" s="21" t="n">
        <f aca="false">2_Matriz_decision!J110/J$5</f>
        <v>0.0469323254463932</v>
      </c>
      <c r="K111" s="21" t="n">
        <f aca="false">2_Matriz_decision!K110/K$5</f>
        <v>0.039014903418414</v>
      </c>
      <c r="L111" s="21" t="n">
        <f aca="false">2_Matriz_decision!L110/L$5</f>
        <v>0.0442191727221676</v>
      </c>
      <c r="M111" s="21" t="n">
        <f aca="false">2_Matriz_decision!M110/M$5</f>
        <v>0.0302686435315821</v>
      </c>
      <c r="N111" s="21" t="n">
        <f aca="false">2_Matriz_decision!N110/N$5</f>
        <v>0.0112098043469034</v>
      </c>
      <c r="O111" s="21" t="n">
        <f aca="false">2_Matriz_decision!O110/O$5</f>
        <v>0.0304431282773992</v>
      </c>
      <c r="P111" s="21" t="n">
        <f aca="false">2_Matriz_decision!P110/P$5</f>
        <v>0.0264720767589686</v>
      </c>
      <c r="Q111" s="21" t="n">
        <f aca="false">2_Matriz_decision!Q110/Q$5</f>
        <v>0.0401681656862772</v>
      </c>
    </row>
    <row r="112" customFormat="false" ht="15" hidden="false" customHeight="false" outlineLevel="0" collapsed="false">
      <c r="A112" s="15" t="n">
        <f aca="false">2_Matriz_decision!A111</f>
        <v>107</v>
      </c>
      <c r="B112" s="16" t="n">
        <f aca="false">2_Matriz_decision!B111</f>
        <v>10.948</v>
      </c>
      <c r="C112" s="21" t="n">
        <f aca="false">2_Matriz_decision!C111/C$5</f>
        <v>0.0439697451539424</v>
      </c>
      <c r="D112" s="21" t="n">
        <f aca="false">2_Matriz_decision!D111/D$5</f>
        <v>0.0334918645582358</v>
      </c>
      <c r="E112" s="21" t="n">
        <f aca="false">2_Matriz_decision!E111/E$5</f>
        <v>0.0300541462387823</v>
      </c>
      <c r="F112" s="21" t="n">
        <f aca="false">2_Matriz_decision!F111/F$5</f>
        <v>0.0296434583364376</v>
      </c>
      <c r="G112" s="21" t="n">
        <f aca="false">2_Matriz_decision!G111/G$5</f>
        <v>0.0308362065165227</v>
      </c>
      <c r="H112" s="21" t="n">
        <f aca="false">2_Matriz_decision!H111/H$5</f>
        <v>0.0640446931723768</v>
      </c>
      <c r="I112" s="21" t="n">
        <f aca="false">2_Matriz_decision!I111/I$5</f>
        <v>0.0148184741491462</v>
      </c>
      <c r="J112" s="21" t="n">
        <f aca="false">2_Matriz_decision!J111/J$5</f>
        <v>0.0469323254463932</v>
      </c>
      <c r="K112" s="21" t="n">
        <f aca="false">2_Matriz_decision!K111/K$5</f>
        <v>0.039014903418414</v>
      </c>
      <c r="L112" s="21" t="n">
        <f aca="false">2_Matriz_decision!L111/L$5</f>
        <v>0.0413710675543957</v>
      </c>
      <c r="M112" s="21" t="n">
        <f aca="false">2_Matriz_decision!M111/M$5</f>
        <v>0.0303901599837162</v>
      </c>
      <c r="N112" s="21" t="n">
        <f aca="false">2_Matriz_decision!N111/N$5</f>
        <v>0.0112098043469034</v>
      </c>
      <c r="O112" s="21" t="n">
        <f aca="false">2_Matriz_decision!O111/O$5</f>
        <v>0.0304431282773992</v>
      </c>
      <c r="P112" s="21" t="n">
        <f aca="false">2_Matriz_decision!P111/P$5</f>
        <v>0.0264720767589686</v>
      </c>
      <c r="Q112" s="21" t="n">
        <f aca="false">2_Matriz_decision!Q111/Q$5</f>
        <v>0.0267787771241848</v>
      </c>
    </row>
    <row r="113" customFormat="false" ht="15" hidden="false" customHeight="false" outlineLevel="0" collapsed="false">
      <c r="A113" s="15" t="n">
        <f aca="false">2_Matriz_decision!A112</f>
        <v>108</v>
      </c>
      <c r="B113" s="16" t="n">
        <f aca="false">2_Matriz_decision!B112</f>
        <v>11.049</v>
      </c>
      <c r="C113" s="21" t="n">
        <f aca="false">2_Matriz_decision!C112/C$5</f>
        <v>0.0439697451539424</v>
      </c>
      <c r="D113" s="21" t="n">
        <f aca="false">2_Matriz_decision!D112/D$5</f>
        <v>0.0334918645582358</v>
      </c>
      <c r="E113" s="21" t="n">
        <f aca="false">2_Matriz_decision!E112/E$5</f>
        <v>0.0300541462387823</v>
      </c>
      <c r="F113" s="21" t="n">
        <f aca="false">2_Matriz_decision!F112/F$5</f>
        <v>0.0395246111152501</v>
      </c>
      <c r="G113" s="21" t="n">
        <f aca="false">2_Matriz_decision!G112/G$5</f>
        <v>0.0308362065165227</v>
      </c>
      <c r="H113" s="21" t="n">
        <f aca="false">2_Matriz_decision!H112/H$5</f>
        <v>0.0640446931723768</v>
      </c>
      <c r="I113" s="21" t="n">
        <f aca="false">2_Matriz_decision!I112/I$5</f>
        <v>0.0148184741491462</v>
      </c>
      <c r="J113" s="21" t="n">
        <f aca="false">2_Matriz_decision!J112/J$5</f>
        <v>0.0469323254463932</v>
      </c>
      <c r="K113" s="21" t="n">
        <f aca="false">2_Matriz_decision!K112/K$5</f>
        <v>0.039014903418414</v>
      </c>
      <c r="L113" s="21" t="n">
        <f aca="false">2_Matriz_decision!L112/L$5</f>
        <v>0.0288153363218238</v>
      </c>
      <c r="M113" s="21" t="n">
        <f aca="false">2_Matriz_decision!M112/M$5</f>
        <v>0.0422324905916928</v>
      </c>
      <c r="N113" s="21" t="n">
        <f aca="false">2_Matriz_decision!N112/N$5</f>
        <v>0.0112098043469034</v>
      </c>
      <c r="O113" s="21" t="n">
        <f aca="false">2_Matriz_decision!O112/O$5</f>
        <v>0.0304431282773992</v>
      </c>
      <c r="P113" s="21" t="n">
        <f aca="false">2_Matriz_decision!P112/P$5</f>
        <v>0.0264720767589686</v>
      </c>
      <c r="Q113" s="21" t="n">
        <f aca="false">2_Matriz_decision!Q112/Q$5</f>
        <v>0.0133893885620924</v>
      </c>
    </row>
    <row r="114" customFormat="false" ht="15" hidden="false" customHeight="false" outlineLevel="0" collapsed="false">
      <c r="A114" s="15" t="n">
        <f aca="false">2_Matriz_decision!A113</f>
        <v>109</v>
      </c>
      <c r="B114" s="16" t="n">
        <f aca="false">2_Matriz_decision!B113</f>
        <v>11.15</v>
      </c>
      <c r="C114" s="21" t="n">
        <f aca="false">2_Matriz_decision!C113/C$5</f>
        <v>0.0439697451539424</v>
      </c>
      <c r="D114" s="21" t="n">
        <f aca="false">2_Matriz_decision!D113/D$5</f>
        <v>0.0334918645582358</v>
      </c>
      <c r="E114" s="21" t="n">
        <f aca="false">2_Matriz_decision!E113/E$5</f>
        <v>0.0300541462387823</v>
      </c>
      <c r="F114" s="21" t="n">
        <f aca="false">2_Matriz_decision!F113/F$5</f>
        <v>0.0494057638940627</v>
      </c>
      <c r="G114" s="21" t="n">
        <f aca="false">2_Matriz_decision!G113/G$5</f>
        <v>0.0308362065165227</v>
      </c>
      <c r="H114" s="21" t="n">
        <f aca="false">2_Matriz_decision!H113/H$5</f>
        <v>0.0640446931723768</v>
      </c>
      <c r="I114" s="21" t="n">
        <f aca="false">2_Matriz_decision!I113/I$5</f>
        <v>0.0148184741491462</v>
      </c>
      <c r="J114" s="21" t="n">
        <f aca="false">2_Matriz_decision!J113/J$5</f>
        <v>0.0469323254463932</v>
      </c>
      <c r="K114" s="21" t="n">
        <f aca="false">2_Matriz_decision!K113/K$5</f>
        <v>0.039014903418414</v>
      </c>
      <c r="L114" s="21" t="n">
        <f aca="false">2_Matriz_decision!L113/L$5</f>
        <v>0.0285880227638326</v>
      </c>
      <c r="M114" s="21" t="n">
        <f aca="false">2_Matriz_decision!M113/M$5</f>
        <v>0.0441878007760322</v>
      </c>
      <c r="N114" s="21" t="n">
        <f aca="false">2_Matriz_decision!N113/N$5</f>
        <v>0.0112098043469034</v>
      </c>
      <c r="O114" s="21" t="n">
        <f aca="false">2_Matriz_decision!O113/O$5</f>
        <v>0.0304431282773992</v>
      </c>
      <c r="P114" s="21" t="n">
        <f aca="false">2_Matriz_decision!P113/P$5</f>
        <v>0.0264720767589686</v>
      </c>
      <c r="Q114" s="21" t="n">
        <f aca="false">2_Matriz_decision!Q113/Q$5</f>
        <v>0.0133893885620924</v>
      </c>
    </row>
    <row r="115" customFormat="false" ht="15" hidden="false" customHeight="false" outlineLevel="0" collapsed="false">
      <c r="A115" s="15" t="n">
        <f aca="false">2_Matriz_decision!A114</f>
        <v>110</v>
      </c>
      <c r="B115" s="16" t="n">
        <f aca="false">2_Matriz_decision!B114</f>
        <v>11.253</v>
      </c>
      <c r="C115" s="21" t="n">
        <f aca="false">2_Matriz_decision!C114/C$5</f>
        <v>0.0439697451539424</v>
      </c>
      <c r="D115" s="21" t="n">
        <f aca="false">2_Matriz_decision!D114/D$5</f>
        <v>0.0334918645582358</v>
      </c>
      <c r="E115" s="21" t="n">
        <f aca="false">2_Matriz_decision!E114/E$5</f>
        <v>0.0300541462387823</v>
      </c>
      <c r="F115" s="21" t="n">
        <f aca="false">2_Matriz_decision!F114/F$5</f>
        <v>0.0395246111152501</v>
      </c>
      <c r="G115" s="21" t="n">
        <f aca="false">2_Matriz_decision!G114/G$5</f>
        <v>0.0308362065165227</v>
      </c>
      <c r="H115" s="21" t="n">
        <f aca="false">2_Matriz_decision!H114/H$5</f>
        <v>0.0512357545379014</v>
      </c>
      <c r="I115" s="21" t="n">
        <f aca="false">2_Matriz_decision!I114/I$5</f>
        <v>0.0148184741491462</v>
      </c>
      <c r="J115" s="21" t="n">
        <f aca="false">2_Matriz_decision!J114/J$5</f>
        <v>0.0469323254463932</v>
      </c>
      <c r="K115" s="21" t="n">
        <f aca="false">2_Matriz_decision!K114/K$5</f>
        <v>0.039014903418414</v>
      </c>
      <c r="L115" s="21" t="n">
        <f aca="false">2_Matriz_decision!L114/L$5</f>
        <v>0.0286281369211251</v>
      </c>
      <c r="M115" s="21" t="n">
        <f aca="false">2_Matriz_decision!M114/M$5</f>
        <v>0.0441878007760322</v>
      </c>
      <c r="N115" s="21" t="n">
        <f aca="false">2_Matriz_decision!N114/N$5</f>
        <v>0.0112098043469034</v>
      </c>
      <c r="O115" s="21" t="n">
        <f aca="false">2_Matriz_decision!O114/O$5</f>
        <v>0.0304431282773992</v>
      </c>
      <c r="P115" s="21" t="n">
        <f aca="false">2_Matriz_decision!P114/P$5</f>
        <v>0.0264720767589686</v>
      </c>
      <c r="Q115" s="21" t="n">
        <f aca="false">2_Matriz_decision!Q114/Q$5</f>
        <v>0.0133893885620924</v>
      </c>
    </row>
    <row r="116" customFormat="false" ht="15" hidden="false" customHeight="false" outlineLevel="0" collapsed="false">
      <c r="A116" s="15" t="n">
        <f aca="false">2_Matriz_decision!A115</f>
        <v>111</v>
      </c>
      <c r="B116" s="16" t="n">
        <f aca="false">2_Matriz_decision!B115</f>
        <v>11.356</v>
      </c>
      <c r="C116" s="21" t="n">
        <f aca="false">2_Matriz_decision!C115/C$5</f>
        <v>0.0439697451539424</v>
      </c>
      <c r="D116" s="21" t="n">
        <f aca="false">2_Matriz_decision!D115/D$5</f>
        <v>0.0334918645582358</v>
      </c>
      <c r="E116" s="21" t="n">
        <f aca="false">2_Matriz_decision!E115/E$5</f>
        <v>0.0300541462387823</v>
      </c>
      <c r="F116" s="21" t="n">
        <f aca="false">2_Matriz_decision!F115/F$5</f>
        <v>0.0395246111152501</v>
      </c>
      <c r="G116" s="21" t="n">
        <f aca="false">2_Matriz_decision!G115/G$5</f>
        <v>0.0308362065165227</v>
      </c>
      <c r="H116" s="21" t="n">
        <f aca="false">2_Matriz_decision!H115/H$5</f>
        <v>0.0512357545379014</v>
      </c>
      <c r="I116" s="21" t="n">
        <f aca="false">2_Matriz_decision!I115/I$5</f>
        <v>0.0148184741491462</v>
      </c>
      <c r="J116" s="21" t="n">
        <f aca="false">2_Matriz_decision!J115/J$5</f>
        <v>0.0469323254463932</v>
      </c>
      <c r="K116" s="21" t="n">
        <f aca="false">2_Matriz_decision!K115/K$5</f>
        <v>0.039014903418414</v>
      </c>
      <c r="L116" s="21" t="n">
        <f aca="false">2_Matriz_decision!L115/L$5</f>
        <v>0.0303129315274127</v>
      </c>
      <c r="M116" s="21" t="n">
        <f aca="false">2_Matriz_decision!M115/M$5</f>
        <v>0.0441878007760322</v>
      </c>
      <c r="N116" s="21" t="n">
        <f aca="false">2_Matriz_decision!N115/N$5</f>
        <v>0.0112098043469034</v>
      </c>
      <c r="O116" s="21" t="n">
        <f aca="false">2_Matriz_decision!O115/O$5</f>
        <v>0.0304431282773992</v>
      </c>
      <c r="P116" s="21" t="n">
        <f aca="false">2_Matriz_decision!P115/P$5</f>
        <v>0.0264720767589686</v>
      </c>
      <c r="Q116" s="21" t="n">
        <f aca="false">2_Matriz_decision!Q115/Q$5</f>
        <v>0.0133893885620924</v>
      </c>
    </row>
    <row r="117" customFormat="false" ht="15" hidden="false" customHeight="false" outlineLevel="0" collapsed="false">
      <c r="A117" s="15" t="n">
        <f aca="false">2_Matriz_decision!A116</f>
        <v>112</v>
      </c>
      <c r="B117" s="16" t="n">
        <f aca="false">2_Matriz_decision!B116</f>
        <v>11.459</v>
      </c>
      <c r="C117" s="21" t="n">
        <f aca="false">2_Matriz_decision!C116/C$5</f>
        <v>0.0439697451539424</v>
      </c>
      <c r="D117" s="21" t="n">
        <f aca="false">2_Matriz_decision!D116/D$5</f>
        <v>0.0334918645582358</v>
      </c>
      <c r="E117" s="21" t="n">
        <f aca="false">2_Matriz_decision!E116/E$5</f>
        <v>0.0300541462387823</v>
      </c>
      <c r="F117" s="21" t="n">
        <f aca="false">2_Matriz_decision!F116/F$5</f>
        <v>0.0395246111152501</v>
      </c>
      <c r="G117" s="21" t="n">
        <f aca="false">2_Matriz_decision!G116/G$5</f>
        <v>0.0308362065165227</v>
      </c>
      <c r="H117" s="21" t="n">
        <f aca="false">2_Matriz_decision!H116/H$5</f>
        <v>0.0512357545379014</v>
      </c>
      <c r="I117" s="21" t="n">
        <f aca="false">2_Matriz_decision!I116/I$5</f>
        <v>0.0148184741491462</v>
      </c>
      <c r="J117" s="21" t="n">
        <f aca="false">2_Matriz_decision!J116/J$5</f>
        <v>0.0469323254463932</v>
      </c>
      <c r="K117" s="21" t="n">
        <f aca="false">2_Matriz_decision!K116/K$5</f>
        <v>0.039014903418414</v>
      </c>
      <c r="L117" s="21" t="n">
        <f aca="false">2_Matriz_decision!L116/L$5</f>
        <v>0.0309280152725654</v>
      </c>
      <c r="M117" s="21" t="n">
        <f aca="false">2_Matriz_decision!M116/M$5</f>
        <v>0.0431051996570195</v>
      </c>
      <c r="N117" s="21" t="n">
        <f aca="false">2_Matriz_decision!N116/N$5</f>
        <v>0.0112098043469034</v>
      </c>
      <c r="O117" s="21" t="n">
        <f aca="false">2_Matriz_decision!O116/O$5</f>
        <v>0.0304431282773992</v>
      </c>
      <c r="P117" s="21" t="n">
        <f aca="false">2_Matriz_decision!P116/P$5</f>
        <v>0.0264720767589686</v>
      </c>
      <c r="Q117" s="21" t="n">
        <f aca="false">2_Matriz_decision!Q116/Q$5</f>
        <v>0.0133893885620924</v>
      </c>
    </row>
    <row r="118" customFormat="false" ht="15" hidden="false" customHeight="false" outlineLevel="0" collapsed="false">
      <c r="A118" s="15" t="n">
        <f aca="false">2_Matriz_decision!A117</f>
        <v>113</v>
      </c>
      <c r="B118" s="16" t="n">
        <f aca="false">2_Matriz_decision!B117</f>
        <v>11.562</v>
      </c>
      <c r="C118" s="21" t="n">
        <f aca="false">2_Matriz_decision!C117/C$5</f>
        <v>0.0439697451539424</v>
      </c>
      <c r="D118" s="21" t="n">
        <f aca="false">2_Matriz_decision!D117/D$5</f>
        <v>0.0334918645582358</v>
      </c>
      <c r="E118" s="21" t="n">
        <f aca="false">2_Matriz_decision!E117/E$5</f>
        <v>0.0300541462387823</v>
      </c>
      <c r="F118" s="21" t="n">
        <f aca="false">2_Matriz_decision!F117/F$5</f>
        <v>0.0395246111152501</v>
      </c>
      <c r="G118" s="21" t="n">
        <f aca="false">2_Matriz_decision!G117/G$5</f>
        <v>0.0308362065165227</v>
      </c>
      <c r="H118" s="21" t="n">
        <f aca="false">2_Matriz_decision!H117/H$5</f>
        <v>0.0512357545379014</v>
      </c>
      <c r="I118" s="21" t="n">
        <f aca="false">2_Matriz_decision!I117/I$5</f>
        <v>0.0148184741491462</v>
      </c>
      <c r="J118" s="21" t="n">
        <f aca="false">2_Matriz_decision!J117/J$5</f>
        <v>0.0469323254463932</v>
      </c>
      <c r="K118" s="21" t="n">
        <f aca="false">2_Matriz_decision!K117/K$5</f>
        <v>0.039014903418414</v>
      </c>
      <c r="L118" s="21" t="n">
        <f aca="false">2_Matriz_decision!L117/L$5</f>
        <v>0.0270235706294227</v>
      </c>
      <c r="M118" s="21" t="n">
        <f aca="false">2_Matriz_decision!M117/M$5</f>
        <v>0.0417795656337385</v>
      </c>
      <c r="N118" s="21" t="n">
        <f aca="false">2_Matriz_decision!N117/N$5</f>
        <v>0.0112098043469034</v>
      </c>
      <c r="O118" s="21" t="n">
        <f aca="false">2_Matriz_decision!O117/O$5</f>
        <v>0.0304431282773992</v>
      </c>
      <c r="P118" s="21" t="n">
        <f aca="false">2_Matriz_decision!P117/P$5</f>
        <v>0.0264720767589686</v>
      </c>
      <c r="Q118" s="21" t="n">
        <f aca="false">2_Matriz_decision!Q117/Q$5</f>
        <v>0.0133893885620924</v>
      </c>
    </row>
    <row r="119" customFormat="false" ht="15" hidden="false" customHeight="false" outlineLevel="0" collapsed="false">
      <c r="A119" s="15" t="n">
        <f aca="false">2_Matriz_decision!A118</f>
        <v>114</v>
      </c>
      <c r="B119" s="16" t="n">
        <f aca="false">2_Matriz_decision!B118</f>
        <v>11.665</v>
      </c>
      <c r="C119" s="21" t="n">
        <f aca="false">2_Matriz_decision!C118/C$5</f>
        <v>0.0439697451539424</v>
      </c>
      <c r="D119" s="21" t="n">
        <f aca="false">2_Matriz_decision!D118/D$5</f>
        <v>0.0418648306977948</v>
      </c>
      <c r="E119" s="21" t="n">
        <f aca="false">2_Matriz_decision!E118/E$5</f>
        <v>0.0200360974925215</v>
      </c>
      <c r="F119" s="21" t="n">
        <f aca="false">2_Matriz_decision!F118/F$5</f>
        <v>0.0395246111152501</v>
      </c>
      <c r="G119" s="21" t="n">
        <f aca="false">2_Matriz_decision!G118/G$5</f>
        <v>0.0308362065165227</v>
      </c>
      <c r="H119" s="21" t="n">
        <f aca="false">2_Matriz_decision!H118/H$5</f>
        <v>0.0512357545379014</v>
      </c>
      <c r="I119" s="21" t="n">
        <f aca="false">2_Matriz_decision!I118/I$5</f>
        <v>0.0148184741491462</v>
      </c>
      <c r="J119" s="21" t="n">
        <f aca="false">2_Matriz_decision!J118/J$5</f>
        <v>0.0469323254463932</v>
      </c>
      <c r="K119" s="21" t="n">
        <f aca="false">2_Matriz_decision!K118/K$5</f>
        <v>0.039014903418414</v>
      </c>
      <c r="L119" s="21" t="n">
        <f aca="false">2_Matriz_decision!L118/L$5</f>
        <v>0.0260340880828728</v>
      </c>
      <c r="M119" s="21" t="n">
        <f aca="false">2_Matriz_decision!M118/M$5</f>
        <v>0.0422103966913048</v>
      </c>
      <c r="N119" s="21" t="n">
        <f aca="false">2_Matriz_decision!N118/N$5</f>
        <v>0.0112098043469034</v>
      </c>
      <c r="O119" s="21" t="n">
        <f aca="false">2_Matriz_decision!O118/O$5</f>
        <v>0.0304431282773992</v>
      </c>
      <c r="P119" s="21" t="n">
        <f aca="false">2_Matriz_decision!P118/P$5</f>
        <v>0.0264720767589686</v>
      </c>
      <c r="Q119" s="21" t="n">
        <f aca="false">2_Matriz_decision!Q118/Q$5</f>
        <v>0.0133893885620924</v>
      </c>
    </row>
    <row r="120" customFormat="false" ht="15" hidden="false" customHeight="false" outlineLevel="0" collapsed="false">
      <c r="A120" s="15" t="n">
        <f aca="false">2_Matriz_decision!A119</f>
        <v>115</v>
      </c>
      <c r="B120" s="16" t="n">
        <f aca="false">2_Matriz_decision!B119</f>
        <v>11.767</v>
      </c>
      <c r="C120" s="21" t="n">
        <f aca="false">2_Matriz_decision!C119/C$5</f>
        <v>0.0439697451539424</v>
      </c>
      <c r="D120" s="21" t="n">
        <f aca="false">2_Matriz_decision!D119/D$5</f>
        <v>0.0334918645582358</v>
      </c>
      <c r="E120" s="21" t="n">
        <f aca="false">2_Matriz_decision!E119/E$5</f>
        <v>0.0200360974925215</v>
      </c>
      <c r="F120" s="21" t="n">
        <f aca="false">2_Matriz_decision!F119/F$5</f>
        <v>0.0395246111152501</v>
      </c>
      <c r="G120" s="21" t="n">
        <f aca="false">2_Matriz_decision!G119/G$5</f>
        <v>0.0308362065165227</v>
      </c>
      <c r="H120" s="21" t="n">
        <f aca="false">2_Matriz_decision!H119/H$5</f>
        <v>0.0512357545379014</v>
      </c>
      <c r="I120" s="21" t="n">
        <f aca="false">2_Matriz_decision!I119/I$5</f>
        <v>0.0148184741491462</v>
      </c>
      <c r="J120" s="21" t="n">
        <f aca="false">2_Matriz_decision!J119/J$5</f>
        <v>0.0469323254463932</v>
      </c>
      <c r="K120" s="21" t="n">
        <f aca="false">2_Matriz_decision!K119/K$5</f>
        <v>0.039014903418414</v>
      </c>
      <c r="L120" s="21" t="n">
        <f aca="false">2_Matriz_decision!L119/L$5</f>
        <v>0.026194544712043</v>
      </c>
      <c r="M120" s="21" t="n">
        <f aca="false">2_Matriz_decision!M119/M$5</f>
        <v>0.0441878007760322</v>
      </c>
      <c r="N120" s="21" t="n">
        <f aca="false">2_Matriz_decision!N119/N$5</f>
        <v>0.0112098043469034</v>
      </c>
      <c r="O120" s="21" t="n">
        <f aca="false">2_Matriz_decision!O119/O$5</f>
        <v>0.0304431282773992</v>
      </c>
      <c r="P120" s="21" t="n">
        <f aca="false">2_Matriz_decision!P119/P$5</f>
        <v>0.0264720767589686</v>
      </c>
      <c r="Q120" s="21" t="n">
        <f aca="false">2_Matriz_decision!Q119/Q$5</f>
        <v>0.0133893885620924</v>
      </c>
    </row>
    <row r="121" customFormat="false" ht="15" hidden="false" customHeight="false" outlineLevel="0" collapsed="false">
      <c r="A121" s="15" t="n">
        <f aca="false">2_Matriz_decision!A120</f>
        <v>116</v>
      </c>
      <c r="B121" s="16" t="n">
        <f aca="false">2_Matriz_decision!B120</f>
        <v>11.868</v>
      </c>
      <c r="C121" s="21" t="n">
        <f aca="false">2_Matriz_decision!C120/C$5</f>
        <v>0.0439697451539424</v>
      </c>
      <c r="D121" s="21" t="n">
        <f aca="false">2_Matriz_decision!D120/D$5</f>
        <v>0.0334918645582358</v>
      </c>
      <c r="E121" s="21" t="n">
        <f aca="false">2_Matriz_decision!E120/E$5</f>
        <v>0.0200360974925215</v>
      </c>
      <c r="F121" s="21" t="n">
        <f aca="false">2_Matriz_decision!F120/F$5</f>
        <v>0.0395246111152501</v>
      </c>
      <c r="G121" s="21" t="n">
        <f aca="false">2_Matriz_decision!G120/G$5</f>
        <v>0.0308362065165227</v>
      </c>
      <c r="H121" s="21" t="n">
        <f aca="false">2_Matriz_decision!H120/H$5</f>
        <v>0.0512357545379014</v>
      </c>
      <c r="I121" s="21" t="n">
        <f aca="false">2_Matriz_decision!I120/I$5</f>
        <v>0.0148184741491462</v>
      </c>
      <c r="J121" s="21" t="n">
        <f aca="false">2_Matriz_decision!J120/J$5</f>
        <v>0.0469323254463932</v>
      </c>
      <c r="K121" s="21" t="n">
        <f aca="false">2_Matriz_decision!K120/K$5</f>
        <v>0.039014903418414</v>
      </c>
      <c r="L121" s="21" t="n">
        <f aca="false">2_Matriz_decision!L120/L$5</f>
        <v>0.0300722465836574</v>
      </c>
      <c r="M121" s="21" t="n">
        <f aca="false">2_Matriz_decision!M120/M$5</f>
        <v>0.043801157519242</v>
      </c>
      <c r="N121" s="21" t="n">
        <f aca="false">2_Matriz_decision!N120/N$5</f>
        <v>0.0112098043469034</v>
      </c>
      <c r="O121" s="21" t="n">
        <f aca="false">2_Matriz_decision!O120/O$5</f>
        <v>0.0304431282773992</v>
      </c>
      <c r="P121" s="21" t="n">
        <f aca="false">2_Matriz_decision!P120/P$5</f>
        <v>0.0264720767589686</v>
      </c>
      <c r="Q121" s="21" t="n">
        <f aca="false">2_Matriz_decision!Q120/Q$5</f>
        <v>0.0133893885620924</v>
      </c>
    </row>
    <row r="122" customFormat="false" ht="15" hidden="false" customHeight="false" outlineLevel="0" collapsed="false">
      <c r="A122" s="15" t="n">
        <f aca="false">2_Matriz_decision!A121</f>
        <v>117</v>
      </c>
      <c r="B122" s="16" t="n">
        <f aca="false">2_Matriz_decision!B121</f>
        <v>11.968</v>
      </c>
      <c r="C122" s="21" t="n">
        <f aca="false">2_Matriz_decision!C121/C$5</f>
        <v>0.0439697451539424</v>
      </c>
      <c r="D122" s="21" t="n">
        <f aca="false">2_Matriz_decision!D121/D$5</f>
        <v>0.0334918645582358</v>
      </c>
      <c r="E122" s="21" t="n">
        <f aca="false">2_Matriz_decision!E121/E$5</f>
        <v>0.0300541462387823</v>
      </c>
      <c r="F122" s="21" t="n">
        <f aca="false">2_Matriz_decision!F121/F$5</f>
        <v>0.0296434583364376</v>
      </c>
      <c r="G122" s="21" t="n">
        <f aca="false">2_Matriz_decision!G121/G$5</f>
        <v>0.0308362065165227</v>
      </c>
      <c r="H122" s="21" t="n">
        <f aca="false">2_Matriz_decision!H121/H$5</f>
        <v>0.0512357545379014</v>
      </c>
      <c r="I122" s="21" t="n">
        <f aca="false">2_Matriz_decision!I121/I$5</f>
        <v>0.0148184741491462</v>
      </c>
      <c r="J122" s="21" t="n">
        <f aca="false">2_Matriz_decision!J121/J$5</f>
        <v>0.0469323254463932</v>
      </c>
      <c r="K122" s="21" t="n">
        <f aca="false">2_Matriz_decision!K121/K$5</f>
        <v>0.039014903418414</v>
      </c>
      <c r="L122" s="21" t="n">
        <f aca="false">2_Matriz_decision!L121/L$5</f>
        <v>0.0352469728743979</v>
      </c>
      <c r="M122" s="21" t="n">
        <f aca="false">2_Matriz_decision!M121/M$5</f>
        <v>0.0347757992107374</v>
      </c>
      <c r="N122" s="21" t="n">
        <f aca="false">2_Matriz_decision!N121/N$5</f>
        <v>0.0112098043469034</v>
      </c>
      <c r="O122" s="21" t="n">
        <f aca="false">2_Matriz_decision!O121/O$5</f>
        <v>0.0304431282773992</v>
      </c>
      <c r="P122" s="21" t="n">
        <f aca="false">2_Matriz_decision!P121/P$5</f>
        <v>0.0264720767589686</v>
      </c>
      <c r="Q122" s="21" t="n">
        <f aca="false">2_Matriz_decision!Q121/Q$5</f>
        <v>0.0267787771241848</v>
      </c>
    </row>
    <row r="123" customFormat="false" ht="15" hidden="false" customHeight="false" outlineLevel="0" collapsed="false">
      <c r="A123" s="15" t="n">
        <f aca="false">2_Matriz_decision!A122</f>
        <v>118</v>
      </c>
      <c r="B123" s="16" t="n">
        <f aca="false">2_Matriz_decision!B122</f>
        <v>12.067</v>
      </c>
      <c r="C123" s="21" t="n">
        <f aca="false">2_Matriz_decision!C122/C$5</f>
        <v>0.0439697451539424</v>
      </c>
      <c r="D123" s="21" t="n">
        <f aca="false">2_Matriz_decision!D122/D$5</f>
        <v>0.0334918645582358</v>
      </c>
      <c r="E123" s="21" t="n">
        <f aca="false">2_Matriz_decision!E122/E$5</f>
        <v>0.0300541462387823</v>
      </c>
      <c r="F123" s="21" t="n">
        <f aca="false">2_Matriz_decision!F122/F$5</f>
        <v>0.0296434583364376</v>
      </c>
      <c r="G123" s="21" t="n">
        <f aca="false">2_Matriz_decision!G122/G$5</f>
        <v>0.0308362065165227</v>
      </c>
      <c r="H123" s="21" t="n">
        <f aca="false">2_Matriz_decision!H122/H$5</f>
        <v>0.0512357545379014</v>
      </c>
      <c r="I123" s="21" t="n">
        <f aca="false">2_Matriz_decision!I122/I$5</f>
        <v>0.0148184741491462</v>
      </c>
      <c r="J123" s="21" t="n">
        <f aca="false">2_Matriz_decision!J122/J$5</f>
        <v>0.0469323254463932</v>
      </c>
      <c r="K123" s="21" t="n">
        <f aca="false">2_Matriz_decision!K122/K$5</f>
        <v>0.039014903418414</v>
      </c>
      <c r="L123" s="21" t="n">
        <f aca="false">2_Matriz_decision!L122/L$5</f>
        <v>0.0457167679277566</v>
      </c>
      <c r="M123" s="21" t="n">
        <f aca="false">2_Matriz_decision!M122/M$5</f>
        <v>0.0282691455464666</v>
      </c>
      <c r="N123" s="21" t="n">
        <f aca="false">2_Matriz_decision!N122/N$5</f>
        <v>0.0112098043469034</v>
      </c>
      <c r="O123" s="21" t="n">
        <f aca="false">2_Matriz_decision!O122/O$5</f>
        <v>0.0304431282773992</v>
      </c>
      <c r="P123" s="21" t="n">
        <f aca="false">2_Matriz_decision!P122/P$5</f>
        <v>0.0264720767589686</v>
      </c>
      <c r="Q123" s="21" t="n">
        <f aca="false">2_Matriz_decision!Q122/Q$5</f>
        <v>0.0401681656862772</v>
      </c>
    </row>
    <row r="124" customFormat="false" ht="15" hidden="false" customHeight="false" outlineLevel="0" collapsed="false">
      <c r="A124" s="15" t="n">
        <f aca="false">2_Matriz_decision!A123</f>
        <v>119</v>
      </c>
      <c r="B124" s="16" t="n">
        <f aca="false">2_Matriz_decision!B123</f>
        <v>12.164</v>
      </c>
      <c r="C124" s="21" t="n">
        <f aca="false">2_Matriz_decision!C123/C$5</f>
        <v>0.0439697451539424</v>
      </c>
      <c r="D124" s="21" t="n">
        <f aca="false">2_Matriz_decision!D123/D$5</f>
        <v>0.0334918645582358</v>
      </c>
      <c r="E124" s="21" t="n">
        <f aca="false">2_Matriz_decision!E123/E$5</f>
        <v>0.0200360974925215</v>
      </c>
      <c r="F124" s="21" t="n">
        <f aca="false">2_Matriz_decision!F123/F$5</f>
        <v>0.0395246111152501</v>
      </c>
      <c r="G124" s="21" t="n">
        <f aca="false">2_Matriz_decision!G123/G$5</f>
        <v>0.0308362065165227</v>
      </c>
      <c r="H124" s="21" t="n">
        <f aca="false">2_Matriz_decision!H123/H$5</f>
        <v>0.0512357545379014</v>
      </c>
      <c r="I124" s="21" t="n">
        <f aca="false">2_Matriz_decision!I123/I$5</f>
        <v>0.0148184741491462</v>
      </c>
      <c r="J124" s="21" t="n">
        <f aca="false">2_Matriz_decision!J123/J$5</f>
        <v>0.0469323254463932</v>
      </c>
      <c r="K124" s="21" t="n">
        <f aca="false">2_Matriz_decision!K123/K$5</f>
        <v>0.039014903418414</v>
      </c>
      <c r="L124" s="21" t="n">
        <f aca="false">2_Matriz_decision!L123/L$5</f>
        <v>0.0481102459795461</v>
      </c>
      <c r="M124" s="21" t="n">
        <f aca="false">2_Matriz_decision!M123/M$5</f>
        <v>0.0266673377683355</v>
      </c>
      <c r="N124" s="21" t="n">
        <f aca="false">2_Matriz_decision!N123/N$5</f>
        <v>0.0112098043469034</v>
      </c>
      <c r="O124" s="21" t="n">
        <f aca="false">2_Matriz_decision!O123/O$5</f>
        <v>0.0304431282773992</v>
      </c>
      <c r="P124" s="21" t="n">
        <f aca="false">2_Matriz_decision!P123/P$5</f>
        <v>0.0264720767589686</v>
      </c>
      <c r="Q124" s="21" t="n">
        <f aca="false">2_Matriz_decision!Q123/Q$5</f>
        <v>0.0401681656862772</v>
      </c>
    </row>
    <row r="125" customFormat="false" ht="15" hidden="false" customHeight="false" outlineLevel="0" collapsed="false">
      <c r="A125" s="15" t="n">
        <f aca="false">2_Matriz_decision!A124</f>
        <v>120</v>
      </c>
      <c r="B125" s="16" t="n">
        <f aca="false">2_Matriz_decision!B124</f>
        <v>12.261</v>
      </c>
      <c r="C125" s="21" t="n">
        <f aca="false">2_Matriz_decision!C124/C$5</f>
        <v>0.0439697451539424</v>
      </c>
      <c r="D125" s="21" t="n">
        <f aca="false">2_Matriz_decision!D124/D$5</f>
        <v>0.0334918645582358</v>
      </c>
      <c r="E125" s="21" t="n">
        <f aca="false">2_Matriz_decision!E124/E$5</f>
        <v>0.0200360974925215</v>
      </c>
      <c r="F125" s="21" t="n">
        <f aca="false">2_Matriz_decision!F124/F$5</f>
        <v>0.0395246111152501</v>
      </c>
      <c r="G125" s="21" t="n">
        <f aca="false">2_Matriz_decision!G124/G$5</f>
        <v>0.0308362065165227</v>
      </c>
      <c r="H125" s="21" t="n">
        <f aca="false">2_Matriz_decision!H124/H$5</f>
        <v>0.0512357545379014</v>
      </c>
      <c r="I125" s="21" t="n">
        <f aca="false">2_Matriz_decision!I124/I$5</f>
        <v>0.0148184741491462</v>
      </c>
      <c r="J125" s="21" t="n">
        <f aca="false">2_Matriz_decision!J124/J$5</f>
        <v>0.0469323254463932</v>
      </c>
      <c r="K125" s="21" t="n">
        <f aca="false">2_Matriz_decision!K124/K$5</f>
        <v>0.039014903418414</v>
      </c>
      <c r="L125" s="21" t="n">
        <f aca="false">2_Matriz_decision!L124/L$5</f>
        <v>0.0502897818591087</v>
      </c>
      <c r="M125" s="21" t="n">
        <f aca="false">2_Matriz_decision!M124/M$5</f>
        <v>0.0244358538291458</v>
      </c>
      <c r="N125" s="21" t="n">
        <f aca="false">2_Matriz_decision!N124/N$5</f>
        <v>0.0112098043469034</v>
      </c>
      <c r="O125" s="21" t="n">
        <f aca="false">2_Matriz_decision!O124/O$5</f>
        <v>0.0304431282773992</v>
      </c>
      <c r="P125" s="21" t="n">
        <f aca="false">2_Matriz_decision!P124/P$5</f>
        <v>0.0264720767589686</v>
      </c>
      <c r="Q125" s="21" t="n">
        <f aca="false">2_Matriz_decision!Q124/Q$5</f>
        <v>0.0535575542483696</v>
      </c>
    </row>
    <row r="126" customFormat="false" ht="15" hidden="false" customHeight="false" outlineLevel="0" collapsed="false">
      <c r="A126" s="15" t="n">
        <f aca="false">2_Matriz_decision!A125</f>
        <v>121</v>
      </c>
      <c r="B126" s="16" t="n">
        <f aca="false">2_Matriz_decision!B125</f>
        <v>12.357</v>
      </c>
      <c r="C126" s="21" t="n">
        <f aca="false">2_Matriz_decision!C125/C$5</f>
        <v>0.0439697451539424</v>
      </c>
      <c r="D126" s="21" t="n">
        <f aca="false">2_Matriz_decision!D125/D$5</f>
        <v>0.0334918645582358</v>
      </c>
      <c r="E126" s="21" t="n">
        <f aca="false">2_Matriz_decision!E125/E$5</f>
        <v>0.0200360974925215</v>
      </c>
      <c r="F126" s="21" t="n">
        <f aca="false">2_Matriz_decision!F125/F$5</f>
        <v>0.0395246111152501</v>
      </c>
      <c r="G126" s="21" t="n">
        <f aca="false">2_Matriz_decision!G125/G$5</f>
        <v>0.0308362065165227</v>
      </c>
      <c r="H126" s="21" t="n">
        <f aca="false">2_Matriz_decision!H125/H$5</f>
        <v>0.0512357545379014</v>
      </c>
      <c r="I126" s="21" t="n">
        <f aca="false">2_Matriz_decision!I125/I$5</f>
        <v>0.0148184741491462</v>
      </c>
      <c r="J126" s="21" t="n">
        <f aca="false">2_Matriz_decision!J125/J$5</f>
        <v>0.0469323254463932</v>
      </c>
      <c r="K126" s="21" t="n">
        <f aca="false">2_Matriz_decision!K125/K$5</f>
        <v>0.039014903418414</v>
      </c>
      <c r="L126" s="21" t="n">
        <f aca="false">2_Matriz_decision!L125/L$5</f>
        <v>0.0515868062782348</v>
      </c>
      <c r="M126" s="21" t="n">
        <f aca="false">2_Matriz_decision!M125/M$5</f>
        <v>0.0223148393918963</v>
      </c>
      <c r="N126" s="21" t="n">
        <f aca="false">2_Matriz_decision!N125/N$5</f>
        <v>0.0112098043469034</v>
      </c>
      <c r="O126" s="21" t="n">
        <f aca="false">2_Matriz_decision!O125/O$5</f>
        <v>0.0304431282773992</v>
      </c>
      <c r="P126" s="21" t="n">
        <f aca="false">2_Matriz_decision!P125/P$5</f>
        <v>0.0264720767589686</v>
      </c>
      <c r="Q126" s="21" t="n">
        <f aca="false">2_Matriz_decision!Q125/Q$5</f>
        <v>0.066946942810462</v>
      </c>
    </row>
    <row r="127" customFormat="false" ht="15" hidden="false" customHeight="false" outlineLevel="0" collapsed="false">
      <c r="A127" s="15" t="n">
        <f aca="false">2_Matriz_decision!A126</f>
        <v>122</v>
      </c>
      <c r="B127" s="16" t="n">
        <f aca="false">2_Matriz_decision!B126</f>
        <v>12.451</v>
      </c>
      <c r="C127" s="21" t="n">
        <f aca="false">2_Matriz_decision!C126/C$5</f>
        <v>0.0439697451539424</v>
      </c>
      <c r="D127" s="21" t="n">
        <f aca="false">2_Matriz_decision!D126/D$5</f>
        <v>0.0334918645582358</v>
      </c>
      <c r="E127" s="21" t="n">
        <f aca="false">2_Matriz_decision!E126/E$5</f>
        <v>0.0200360974925215</v>
      </c>
      <c r="F127" s="21" t="n">
        <f aca="false">2_Matriz_decision!F126/F$5</f>
        <v>0.0395246111152501</v>
      </c>
      <c r="G127" s="21" t="n">
        <f aca="false">2_Matriz_decision!G126/G$5</f>
        <v>0.0308362065165227</v>
      </c>
      <c r="H127" s="21" t="n">
        <f aca="false">2_Matriz_decision!H126/H$5</f>
        <v>0.0512357545379014</v>
      </c>
      <c r="I127" s="21" t="n">
        <f aca="false">2_Matriz_decision!I126/I$5</f>
        <v>0.0148184741491462</v>
      </c>
      <c r="J127" s="21" t="n">
        <f aca="false">2_Matriz_decision!J126/J$5</f>
        <v>0.0469323254463932</v>
      </c>
      <c r="K127" s="21" t="n">
        <f aca="false">2_Matriz_decision!K126/K$5</f>
        <v>0.039014903418414</v>
      </c>
      <c r="L127" s="21" t="n">
        <f aca="false">2_Matriz_decision!L126/L$5</f>
        <v>0.0468265929461841</v>
      </c>
      <c r="M127" s="21" t="n">
        <f aca="false">2_Matriz_decision!M126/M$5</f>
        <v>0.0249219196376822</v>
      </c>
      <c r="N127" s="21" t="n">
        <f aca="false">2_Matriz_decision!N126/N$5</f>
        <v>0.0112098043469034</v>
      </c>
      <c r="O127" s="21" t="n">
        <f aca="false">2_Matriz_decision!O126/O$5</f>
        <v>0.0304431282773992</v>
      </c>
      <c r="P127" s="21" t="n">
        <f aca="false">2_Matriz_decision!P126/P$5</f>
        <v>0.0264720767589686</v>
      </c>
      <c r="Q127" s="21" t="n">
        <f aca="false">2_Matriz_decision!Q126/Q$5</f>
        <v>0.0535575542483696</v>
      </c>
    </row>
    <row r="128" customFormat="false" ht="15" hidden="false" customHeight="false" outlineLevel="0" collapsed="false">
      <c r="A128" s="15" t="n">
        <f aca="false">2_Matriz_decision!A127</f>
        <v>123</v>
      </c>
      <c r="B128" s="16" t="n">
        <f aca="false">2_Matriz_decision!B127</f>
        <v>12.546</v>
      </c>
      <c r="C128" s="21" t="n">
        <f aca="false">2_Matriz_decision!C127/C$5</f>
        <v>0.0439697451539424</v>
      </c>
      <c r="D128" s="21" t="n">
        <f aca="false">2_Matriz_decision!D127/D$5</f>
        <v>0.0334918645582358</v>
      </c>
      <c r="E128" s="21" t="n">
        <f aca="false">2_Matriz_decision!E127/E$5</f>
        <v>0.0300541462387823</v>
      </c>
      <c r="F128" s="21" t="n">
        <f aca="false">2_Matriz_decision!F127/F$5</f>
        <v>0.0395246111152501</v>
      </c>
      <c r="G128" s="21" t="n">
        <f aca="false">2_Matriz_decision!G127/G$5</f>
        <v>0.0308362065165227</v>
      </c>
      <c r="H128" s="21" t="n">
        <f aca="false">2_Matriz_decision!H127/H$5</f>
        <v>0.0512357545379014</v>
      </c>
      <c r="I128" s="21" t="n">
        <f aca="false">2_Matriz_decision!I127/I$5</f>
        <v>0.0148184741491462</v>
      </c>
      <c r="J128" s="21" t="n">
        <f aca="false">2_Matriz_decision!J127/J$5</f>
        <v>0.0469323254463932</v>
      </c>
      <c r="K128" s="21" t="n">
        <f aca="false">2_Matriz_decision!K127/K$5</f>
        <v>0.039014903418414</v>
      </c>
      <c r="L128" s="21" t="n">
        <f aca="false">2_Matriz_decision!L127/L$5</f>
        <v>0.0397932440342216</v>
      </c>
      <c r="M128" s="21" t="n">
        <f aca="false">2_Matriz_decision!M127/M$5</f>
        <v>0.0311192586965207</v>
      </c>
      <c r="N128" s="21" t="n">
        <f aca="false">2_Matriz_decision!N127/N$5</f>
        <v>0.0112098043469034</v>
      </c>
      <c r="O128" s="21" t="n">
        <f aca="false">2_Matriz_decision!O127/O$5</f>
        <v>0.0304431282773992</v>
      </c>
      <c r="P128" s="21" t="n">
        <f aca="false">2_Matriz_decision!P127/P$5</f>
        <v>0.0264720767589686</v>
      </c>
      <c r="Q128" s="21" t="n">
        <f aca="false">2_Matriz_decision!Q127/Q$5</f>
        <v>0.066946942810462</v>
      </c>
    </row>
    <row r="129" customFormat="false" ht="15" hidden="false" customHeight="false" outlineLevel="0" collapsed="false">
      <c r="A129" s="15" t="n">
        <f aca="false">2_Matriz_decision!A128</f>
        <v>124</v>
      </c>
      <c r="B129" s="16" t="n">
        <f aca="false">2_Matriz_decision!B128</f>
        <v>12.64</v>
      </c>
      <c r="C129" s="21" t="n">
        <f aca="false">2_Matriz_decision!C128/C$5</f>
        <v>0.0439697451539424</v>
      </c>
      <c r="D129" s="21" t="n">
        <f aca="false">2_Matriz_decision!D128/D$5</f>
        <v>0.0334918645582358</v>
      </c>
      <c r="E129" s="21" t="n">
        <f aca="false">2_Matriz_decision!E128/E$5</f>
        <v>0.0300541462387823</v>
      </c>
      <c r="F129" s="21" t="n">
        <f aca="false">2_Matriz_decision!F128/F$5</f>
        <v>0.0395246111152501</v>
      </c>
      <c r="G129" s="21" t="n">
        <f aca="false">2_Matriz_decision!G128/G$5</f>
        <v>0.0308362065165227</v>
      </c>
      <c r="H129" s="21" t="n">
        <f aca="false">2_Matriz_decision!H128/H$5</f>
        <v>0.0512357545379014</v>
      </c>
      <c r="I129" s="21" t="n">
        <f aca="false">2_Matriz_decision!I128/I$5</f>
        <v>0.0148184741491462</v>
      </c>
      <c r="J129" s="21" t="n">
        <f aca="false">2_Matriz_decision!J128/J$5</f>
        <v>0.0469323254463932</v>
      </c>
      <c r="K129" s="21" t="n">
        <f aca="false">2_Matriz_decision!K128/K$5</f>
        <v>0.039014903418414</v>
      </c>
      <c r="L129" s="21" t="n">
        <f aca="false">2_Matriz_decision!L128/L$5</f>
        <v>0.0235470103307339</v>
      </c>
      <c r="M129" s="21" t="n">
        <f aca="false">2_Matriz_decision!M128/M$5</f>
        <v>0.0395812225451309</v>
      </c>
      <c r="N129" s="21" t="n">
        <f aca="false">2_Matriz_decision!N128/N$5</f>
        <v>0.0112098043469034</v>
      </c>
      <c r="O129" s="21" t="n">
        <f aca="false">2_Matriz_decision!O128/O$5</f>
        <v>0.0304431282773992</v>
      </c>
      <c r="P129" s="21" t="n">
        <f aca="false">2_Matriz_decision!P128/P$5</f>
        <v>0.0264720767589686</v>
      </c>
      <c r="Q129" s="21" t="n">
        <f aca="false">2_Matriz_decision!Q128/Q$5</f>
        <v>0.0133893885620924</v>
      </c>
    </row>
    <row r="130" customFormat="false" ht="15" hidden="false" customHeight="false" outlineLevel="0" collapsed="false">
      <c r="A130" s="15" t="n">
        <f aca="false">2_Matriz_decision!A129</f>
        <v>125</v>
      </c>
      <c r="B130" s="16" t="n">
        <f aca="false">2_Matriz_decision!B129</f>
        <v>12.736</v>
      </c>
      <c r="C130" s="21" t="n">
        <f aca="false">2_Matriz_decision!C129/C$5</f>
        <v>0.0439697451539424</v>
      </c>
      <c r="D130" s="21" t="n">
        <f aca="false">2_Matriz_decision!D129/D$5</f>
        <v>0.0334918645582358</v>
      </c>
      <c r="E130" s="21" t="n">
        <f aca="false">2_Matriz_decision!E129/E$5</f>
        <v>0.0400721949850431</v>
      </c>
      <c r="F130" s="21" t="n">
        <f aca="false">2_Matriz_decision!F129/F$5</f>
        <v>0.0395246111152501</v>
      </c>
      <c r="G130" s="21" t="n">
        <f aca="false">2_Matriz_decision!G129/G$5</f>
        <v>0.0308362065165227</v>
      </c>
      <c r="H130" s="21" t="n">
        <f aca="false">2_Matriz_decision!H129/H$5</f>
        <v>0.0512357545379014</v>
      </c>
      <c r="I130" s="21" t="n">
        <f aca="false">2_Matriz_decision!I129/I$5</f>
        <v>0.0148184741491462</v>
      </c>
      <c r="J130" s="21" t="n">
        <f aca="false">2_Matriz_decision!J129/J$5</f>
        <v>0.0469323254463932</v>
      </c>
      <c r="K130" s="21" t="n">
        <f aca="false">2_Matriz_decision!K129/K$5</f>
        <v>0.039014903418414</v>
      </c>
      <c r="L130" s="21" t="n">
        <f aca="false">2_Matriz_decision!L129/L$5</f>
        <v>0.0147085243406061</v>
      </c>
      <c r="M130" s="21" t="n">
        <f aca="false">2_Matriz_decision!M129/M$5</f>
        <v>0.0441878007760322</v>
      </c>
      <c r="N130" s="21" t="n">
        <f aca="false">2_Matriz_decision!N129/N$5</f>
        <v>0.0112098043469034</v>
      </c>
      <c r="O130" s="21" t="n">
        <f aca="false">2_Matriz_decision!O129/O$5</f>
        <v>0.0304431282773992</v>
      </c>
      <c r="P130" s="21" t="n">
        <f aca="false">2_Matriz_decision!P129/P$5</f>
        <v>0.0264720767589686</v>
      </c>
      <c r="Q130" s="21" t="n">
        <f aca="false">2_Matriz_decision!Q129/Q$5</f>
        <v>0.0133893885620924</v>
      </c>
    </row>
    <row r="131" customFormat="false" ht="15" hidden="false" customHeight="false" outlineLevel="0" collapsed="false">
      <c r="A131" s="15" t="n">
        <f aca="false">2_Matriz_decision!A130</f>
        <v>126</v>
      </c>
      <c r="B131" s="16" t="n">
        <f aca="false">2_Matriz_decision!B130</f>
        <v>12.832</v>
      </c>
      <c r="C131" s="21" t="n">
        <f aca="false">2_Matriz_decision!C130/C$5</f>
        <v>0.0439697451539424</v>
      </c>
      <c r="D131" s="21" t="n">
        <f aca="false">2_Matriz_decision!D130/D$5</f>
        <v>0.0334918645582358</v>
      </c>
      <c r="E131" s="21" t="n">
        <f aca="false">2_Matriz_decision!E130/E$5</f>
        <v>0.0400721949850431</v>
      </c>
      <c r="F131" s="21" t="n">
        <f aca="false">2_Matriz_decision!F130/F$5</f>
        <v>0.0296434583364376</v>
      </c>
      <c r="G131" s="21" t="n">
        <f aca="false">2_Matriz_decision!G130/G$5</f>
        <v>0.0308362065165227</v>
      </c>
      <c r="H131" s="21" t="n">
        <f aca="false">2_Matriz_decision!H130/H$5</f>
        <v>0.0512357545379014</v>
      </c>
      <c r="I131" s="21" t="n">
        <f aca="false">2_Matriz_decision!I130/I$5</f>
        <v>0.0148184741491462</v>
      </c>
      <c r="J131" s="21" t="n">
        <f aca="false">2_Matriz_decision!J130/J$5</f>
        <v>0.0469323254463932</v>
      </c>
      <c r="K131" s="21" t="n">
        <f aca="false">2_Matriz_decision!K130/K$5</f>
        <v>0.039014903418414</v>
      </c>
      <c r="L131" s="21" t="n">
        <f aca="false">2_Matriz_decision!L130/L$5</f>
        <v>0.0139062411947549</v>
      </c>
      <c r="M131" s="21" t="n">
        <f aca="false">2_Matriz_decision!M130/M$5</f>
        <v>0.0441878007760322</v>
      </c>
      <c r="N131" s="21" t="n">
        <f aca="false">2_Matriz_decision!N130/N$5</f>
        <v>0.0112098043469034</v>
      </c>
      <c r="O131" s="21" t="n">
        <f aca="false">2_Matriz_decision!O130/O$5</f>
        <v>0.0304431282773992</v>
      </c>
      <c r="P131" s="21" t="n">
        <f aca="false">2_Matriz_decision!P130/P$5</f>
        <v>0.0264720767589686</v>
      </c>
      <c r="Q131" s="21" t="n">
        <f aca="false">2_Matriz_decision!Q130/Q$5</f>
        <v>0.0133893885620924</v>
      </c>
    </row>
    <row r="132" customFormat="false" ht="15" hidden="false" customHeight="false" outlineLevel="0" collapsed="false">
      <c r="A132" s="15" t="n">
        <f aca="false">2_Matriz_decision!A131</f>
        <v>127</v>
      </c>
      <c r="B132" s="16" t="n">
        <f aca="false">2_Matriz_decision!B131</f>
        <v>12.93</v>
      </c>
      <c r="C132" s="21" t="n">
        <f aca="false">2_Matriz_decision!C131/C$5</f>
        <v>0.0439697451539424</v>
      </c>
      <c r="D132" s="21" t="n">
        <f aca="false">2_Matriz_decision!D131/D$5</f>
        <v>0.0334918645582358</v>
      </c>
      <c r="E132" s="21" t="n">
        <f aca="false">2_Matriz_decision!E131/E$5</f>
        <v>0.0500902437313038</v>
      </c>
      <c r="F132" s="21" t="n">
        <f aca="false">2_Matriz_decision!F131/F$5</f>
        <v>0.0296434583364376</v>
      </c>
      <c r="G132" s="21" t="n">
        <f aca="false">2_Matriz_decision!G131/G$5</f>
        <v>0.0308362065165227</v>
      </c>
      <c r="H132" s="21" t="n">
        <f aca="false">2_Matriz_decision!H131/H$5</f>
        <v>0.0512357545379014</v>
      </c>
      <c r="I132" s="21" t="n">
        <f aca="false">2_Matriz_decision!I131/I$5</f>
        <v>0.0296369482982925</v>
      </c>
      <c r="J132" s="21" t="n">
        <f aca="false">2_Matriz_decision!J131/J$5</f>
        <v>0.0469323254463932</v>
      </c>
      <c r="K132" s="21" t="n">
        <f aca="false">2_Matriz_decision!K131/K$5</f>
        <v>0.039014903418414</v>
      </c>
      <c r="L132" s="21" t="n">
        <f aca="false">2_Matriz_decision!L131/L$5</f>
        <v>0.0136388134794711</v>
      </c>
      <c r="M132" s="21" t="n">
        <f aca="false">2_Matriz_decision!M131/M$5</f>
        <v>0.0441878007760322</v>
      </c>
      <c r="N132" s="21" t="n">
        <f aca="false">2_Matriz_decision!N131/N$5</f>
        <v>0.0112098043469034</v>
      </c>
      <c r="O132" s="21" t="n">
        <f aca="false">2_Matriz_decision!O131/O$5</f>
        <v>0.0304431282773992</v>
      </c>
      <c r="P132" s="21" t="n">
        <f aca="false">2_Matriz_decision!P131/P$5</f>
        <v>0.0264720767589686</v>
      </c>
      <c r="Q132" s="21" t="n">
        <f aca="false">2_Matriz_decision!Q131/Q$5</f>
        <v>0.0133893885620924</v>
      </c>
    </row>
    <row r="133" customFormat="false" ht="15" hidden="false" customHeight="false" outlineLevel="0" collapsed="false">
      <c r="A133" s="15" t="n">
        <f aca="false">2_Matriz_decision!A132</f>
        <v>128</v>
      </c>
      <c r="B133" s="16" t="n">
        <f aca="false">2_Matriz_decision!B132</f>
        <v>13.031</v>
      </c>
      <c r="C133" s="21" t="n">
        <f aca="false">2_Matriz_decision!C132/C$5</f>
        <v>0.0439697451539424</v>
      </c>
      <c r="D133" s="21" t="n">
        <f aca="false">2_Matriz_decision!D132/D$5</f>
        <v>0.0334918645582358</v>
      </c>
      <c r="E133" s="21" t="n">
        <f aca="false">2_Matriz_decision!E132/E$5</f>
        <v>0.0500902437313038</v>
      </c>
      <c r="F133" s="21" t="n">
        <f aca="false">2_Matriz_decision!F132/F$5</f>
        <v>0.0395246111152501</v>
      </c>
      <c r="G133" s="21" t="n">
        <f aca="false">2_Matriz_decision!G132/G$5</f>
        <v>0.0308362065165227</v>
      </c>
      <c r="H133" s="21" t="n">
        <f aca="false">2_Matriz_decision!H132/H$5</f>
        <v>0.0512357545379014</v>
      </c>
      <c r="I133" s="21" t="n">
        <f aca="false">2_Matriz_decision!I132/I$5</f>
        <v>0.0296369482982925</v>
      </c>
      <c r="J133" s="21" t="n">
        <f aca="false">2_Matriz_decision!J132/J$5</f>
        <v>0.0469323254463932</v>
      </c>
      <c r="K133" s="21" t="n">
        <f aca="false">2_Matriz_decision!K132/K$5</f>
        <v>0.039014903418414</v>
      </c>
      <c r="L133" s="21" t="n">
        <f aca="false">2_Matriz_decision!L132/L$5</f>
        <v>0.0134114999214799</v>
      </c>
      <c r="M133" s="21" t="n">
        <f aca="false">2_Matriz_decision!M132/M$5</f>
        <v>0.0429394954041093</v>
      </c>
      <c r="N133" s="21" t="n">
        <f aca="false">2_Matriz_decision!N132/N$5</f>
        <v>0.0112098043469034</v>
      </c>
      <c r="O133" s="21" t="n">
        <f aca="false">2_Matriz_decision!O132/O$5</f>
        <v>0.0304431282773992</v>
      </c>
      <c r="P133" s="21" t="n">
        <f aca="false">2_Matriz_decision!P132/P$5</f>
        <v>0.0264720767589686</v>
      </c>
      <c r="Q133" s="21" t="n">
        <f aca="false">2_Matriz_decision!Q132/Q$5</f>
        <v>0.0133893885620924</v>
      </c>
    </row>
    <row r="134" customFormat="false" ht="15" hidden="false" customHeight="false" outlineLevel="0" collapsed="false">
      <c r="A134" s="15" t="n">
        <f aca="false">2_Matriz_decision!A133</f>
        <v>129</v>
      </c>
      <c r="B134" s="16" t="n">
        <f aca="false">2_Matriz_decision!B133</f>
        <v>13.132</v>
      </c>
      <c r="C134" s="21" t="n">
        <f aca="false">2_Matriz_decision!C133/C$5</f>
        <v>0.0439697451539424</v>
      </c>
      <c r="D134" s="21" t="n">
        <f aca="false">2_Matriz_decision!D133/D$5</f>
        <v>0.0334918645582358</v>
      </c>
      <c r="E134" s="21" t="n">
        <f aca="false">2_Matriz_decision!E133/E$5</f>
        <v>0.0500902437313038</v>
      </c>
      <c r="F134" s="21" t="n">
        <f aca="false">2_Matriz_decision!F133/F$5</f>
        <v>0.0395246111152501</v>
      </c>
      <c r="G134" s="21" t="n">
        <f aca="false">2_Matriz_decision!G133/G$5</f>
        <v>0.0308362065165227</v>
      </c>
      <c r="H134" s="21" t="n">
        <f aca="false">2_Matriz_decision!H133/H$5</f>
        <v>0.0512357545379014</v>
      </c>
      <c r="I134" s="21" t="n">
        <f aca="false">2_Matriz_decision!I133/I$5</f>
        <v>0.0296369482982925</v>
      </c>
      <c r="J134" s="21" t="n">
        <f aca="false">2_Matriz_decision!J133/J$5</f>
        <v>0.0469323254463932</v>
      </c>
      <c r="K134" s="21" t="n">
        <f aca="false">2_Matriz_decision!K133/K$5</f>
        <v>0.039014903418414</v>
      </c>
      <c r="L134" s="21" t="n">
        <f aca="false">2_Matriz_decision!L133/L$5</f>
        <v>0.0133713857641874</v>
      </c>
      <c r="M134" s="21" t="n">
        <f aca="false">2_Matriz_decision!M133/M$5</f>
        <v>0.0327100195244579</v>
      </c>
      <c r="N134" s="21" t="n">
        <f aca="false">2_Matriz_decision!N133/N$5</f>
        <v>0.0112098043469034</v>
      </c>
      <c r="O134" s="21" t="n">
        <f aca="false">2_Matriz_decision!O133/O$5</f>
        <v>0.0304431282773992</v>
      </c>
      <c r="P134" s="21" t="n">
        <f aca="false">2_Matriz_decision!P133/P$5</f>
        <v>0.0264720767589686</v>
      </c>
      <c r="Q134" s="21" t="n">
        <f aca="false">2_Matriz_decision!Q133/Q$5</f>
        <v>0.0133893885620924</v>
      </c>
    </row>
    <row r="135" customFormat="false" ht="15" hidden="false" customHeight="false" outlineLevel="0" collapsed="false">
      <c r="A135" s="15" t="n">
        <f aca="false">2_Matriz_decision!A134</f>
        <v>130</v>
      </c>
      <c r="B135" s="16" t="n">
        <f aca="false">2_Matriz_decision!B134</f>
        <v>13.234</v>
      </c>
      <c r="C135" s="21" t="n">
        <f aca="false">2_Matriz_decision!C134/C$5</f>
        <v>0.0439697451539424</v>
      </c>
      <c r="D135" s="21" t="n">
        <f aca="false">2_Matriz_decision!D134/D$5</f>
        <v>0.0334918645582358</v>
      </c>
      <c r="E135" s="21" t="n">
        <f aca="false">2_Matriz_decision!E134/E$5</f>
        <v>0.0400721949850431</v>
      </c>
      <c r="F135" s="21" t="n">
        <f aca="false">2_Matriz_decision!F134/F$5</f>
        <v>0.0494057638940627</v>
      </c>
      <c r="G135" s="21" t="n">
        <f aca="false">2_Matriz_decision!G134/G$5</f>
        <v>0.0411149420220302</v>
      </c>
      <c r="H135" s="21" t="n">
        <f aca="false">2_Matriz_decision!H134/H$5</f>
        <v>0.0512357545379014</v>
      </c>
      <c r="I135" s="21" t="n">
        <f aca="false">2_Matriz_decision!I134/I$5</f>
        <v>0.0296369482982925</v>
      </c>
      <c r="J135" s="21" t="n">
        <f aca="false">2_Matriz_decision!J134/J$5</f>
        <v>0.0469323254463932</v>
      </c>
      <c r="K135" s="21" t="n">
        <f aca="false">2_Matriz_decision!K134/K$5</f>
        <v>0.039014903418414</v>
      </c>
      <c r="L135" s="21" t="n">
        <f aca="false">2_Matriz_decision!L134/L$5</f>
        <v>0.0147352671121345</v>
      </c>
      <c r="M135" s="21" t="n">
        <f aca="false">2_Matriz_decision!M134/M$5</f>
        <v>0.0361345740846004</v>
      </c>
      <c r="N135" s="21" t="n">
        <f aca="false">2_Matriz_decision!N134/N$5</f>
        <v>0.0112098043469034</v>
      </c>
      <c r="O135" s="21" t="n">
        <f aca="false">2_Matriz_decision!O134/O$5</f>
        <v>0.0304431282773992</v>
      </c>
      <c r="P135" s="21" t="n">
        <f aca="false">2_Matriz_decision!P134/P$5</f>
        <v>0.0264720767589686</v>
      </c>
      <c r="Q135" s="21" t="n">
        <f aca="false">2_Matriz_decision!Q134/Q$5</f>
        <v>0.0133893885620924</v>
      </c>
    </row>
    <row r="136" customFormat="false" ht="15" hidden="false" customHeight="false" outlineLevel="0" collapsed="false">
      <c r="A136" s="15" t="n">
        <f aca="false">2_Matriz_decision!A135</f>
        <v>131</v>
      </c>
      <c r="B136" s="16" t="n">
        <f aca="false">2_Matriz_decision!B135</f>
        <v>13.337</v>
      </c>
      <c r="C136" s="21" t="n">
        <f aca="false">2_Matriz_decision!C135/C$5</f>
        <v>0.0439697451539424</v>
      </c>
      <c r="D136" s="21" t="n">
        <f aca="false">2_Matriz_decision!D135/D$5</f>
        <v>0.0334918645582358</v>
      </c>
      <c r="E136" s="21" t="n">
        <f aca="false">2_Matriz_decision!E135/E$5</f>
        <v>0.0400721949850431</v>
      </c>
      <c r="F136" s="21" t="n">
        <f aca="false">2_Matriz_decision!F135/F$5</f>
        <v>0.0494057638940627</v>
      </c>
      <c r="G136" s="21" t="n">
        <f aca="false">2_Matriz_decision!G135/G$5</f>
        <v>0.0411149420220302</v>
      </c>
      <c r="H136" s="21" t="n">
        <f aca="false">2_Matriz_decision!H135/H$5</f>
        <v>0.0512357545379014</v>
      </c>
      <c r="I136" s="21" t="n">
        <f aca="false">2_Matriz_decision!I135/I$5</f>
        <v>0.0444554224474387</v>
      </c>
      <c r="J136" s="21" t="n">
        <f aca="false">2_Matriz_decision!J135/J$5</f>
        <v>0.0469323254463932</v>
      </c>
      <c r="K136" s="21" t="n">
        <f aca="false">2_Matriz_decision!K135/K$5</f>
        <v>0.039014903418414</v>
      </c>
      <c r="L136" s="21" t="n">
        <f aca="false">2_Matriz_decision!L135/L$5</f>
        <v>0.0231324973720441</v>
      </c>
      <c r="M136" s="21" t="n">
        <f aca="false">2_Matriz_decision!M135/M$5</f>
        <v>0.0375706776098214</v>
      </c>
      <c r="N136" s="21" t="n">
        <f aca="false">2_Matriz_decision!N135/N$5</f>
        <v>0.0112098043469034</v>
      </c>
      <c r="O136" s="21" t="n">
        <f aca="false">2_Matriz_decision!O135/O$5</f>
        <v>0.0304431282773992</v>
      </c>
      <c r="P136" s="21" t="n">
        <f aca="false">2_Matriz_decision!P135/P$5</f>
        <v>0.0264720767589686</v>
      </c>
      <c r="Q136" s="21" t="n">
        <f aca="false">2_Matriz_decision!Q135/Q$5</f>
        <v>0.0133893885620924</v>
      </c>
    </row>
    <row r="137" customFormat="false" ht="15" hidden="false" customHeight="false" outlineLevel="0" collapsed="false">
      <c r="A137" s="15" t="n">
        <f aca="false">2_Matriz_decision!A136</f>
        <v>132</v>
      </c>
      <c r="B137" s="16" t="n">
        <f aca="false">2_Matriz_decision!B136</f>
        <v>13.439</v>
      </c>
      <c r="C137" s="21" t="n">
        <f aca="false">2_Matriz_decision!C136/C$5</f>
        <v>0.0439697451539424</v>
      </c>
      <c r="D137" s="21" t="n">
        <f aca="false">2_Matriz_decision!D136/D$5</f>
        <v>0.0334918645582358</v>
      </c>
      <c r="E137" s="21" t="n">
        <f aca="false">2_Matriz_decision!E136/E$5</f>
        <v>0.0500902437313038</v>
      </c>
      <c r="F137" s="21" t="n">
        <f aca="false">2_Matriz_decision!F136/F$5</f>
        <v>0.0494057638940627</v>
      </c>
      <c r="G137" s="21" t="n">
        <f aca="false">2_Matriz_decision!G136/G$5</f>
        <v>0.0411149420220302</v>
      </c>
      <c r="H137" s="21" t="n">
        <f aca="false">2_Matriz_decision!H136/H$5</f>
        <v>0.0512357545379014</v>
      </c>
      <c r="I137" s="21" t="n">
        <f aca="false">2_Matriz_decision!I136/I$5</f>
        <v>0.0444554224474387</v>
      </c>
      <c r="J137" s="21" t="n">
        <f aca="false">2_Matriz_decision!J136/J$5</f>
        <v>0.0469323254463932</v>
      </c>
      <c r="K137" s="21" t="n">
        <f aca="false">2_Matriz_decision!K136/K$5</f>
        <v>0.039014903418414</v>
      </c>
      <c r="L137" s="21" t="n">
        <f aca="false">2_Matriz_decision!L136/L$5</f>
        <v>0.0361562271063626</v>
      </c>
      <c r="M137" s="21" t="n">
        <f aca="false">2_Matriz_decision!M136/M$5</f>
        <v>0.0318041696085492</v>
      </c>
      <c r="N137" s="21" t="n">
        <f aca="false">2_Matriz_decision!N136/N$5</f>
        <v>0.0112098043469034</v>
      </c>
      <c r="O137" s="21" t="n">
        <f aca="false">2_Matriz_decision!O136/O$5</f>
        <v>0.0304431282773992</v>
      </c>
      <c r="P137" s="21" t="n">
        <f aca="false">2_Matriz_decision!P136/P$5</f>
        <v>0.0264720767589686</v>
      </c>
      <c r="Q137" s="21" t="n">
        <f aca="false">2_Matriz_decision!Q136/Q$5</f>
        <v>0.066946942810462</v>
      </c>
    </row>
    <row r="138" customFormat="false" ht="15" hidden="false" customHeight="false" outlineLevel="0" collapsed="false">
      <c r="A138" s="15" t="n">
        <f aca="false">2_Matriz_decision!A137</f>
        <v>133</v>
      </c>
      <c r="B138" s="16" t="n">
        <f aca="false">2_Matriz_decision!B137</f>
        <v>13.542</v>
      </c>
      <c r="C138" s="21" t="n">
        <f aca="false">2_Matriz_decision!C137/C$5</f>
        <v>0.0439697451539424</v>
      </c>
      <c r="D138" s="21" t="n">
        <f aca="false">2_Matriz_decision!D137/D$5</f>
        <v>0.0334918645582358</v>
      </c>
      <c r="E138" s="21" t="n">
        <f aca="false">2_Matriz_decision!E137/E$5</f>
        <v>0.0500902437313038</v>
      </c>
      <c r="F138" s="21" t="n">
        <f aca="false">2_Matriz_decision!F137/F$5</f>
        <v>0.0494057638940627</v>
      </c>
      <c r="G138" s="21" t="n">
        <f aca="false">2_Matriz_decision!G137/G$5</f>
        <v>0.0411149420220302</v>
      </c>
      <c r="H138" s="21" t="n">
        <f aca="false">2_Matriz_decision!H137/H$5</f>
        <v>0.0512357545379014</v>
      </c>
      <c r="I138" s="21" t="n">
        <f aca="false">2_Matriz_decision!I137/I$5</f>
        <v>0.0592738965965849</v>
      </c>
      <c r="J138" s="21" t="n">
        <f aca="false">2_Matriz_decision!J137/J$5</f>
        <v>0.0469323254463932</v>
      </c>
      <c r="K138" s="21" t="n">
        <f aca="false">2_Matriz_decision!K137/K$5</f>
        <v>0.039014903418414</v>
      </c>
      <c r="L138" s="21" t="n">
        <f aca="false">2_Matriz_decision!L137/L$5</f>
        <v>0.0394990735474095</v>
      </c>
      <c r="M138" s="21" t="n">
        <f aca="false">2_Matriz_decision!M137/M$5</f>
        <v>0.0284900845503468</v>
      </c>
      <c r="N138" s="21" t="n">
        <f aca="false">2_Matriz_decision!N137/N$5</f>
        <v>0.0112098043469034</v>
      </c>
      <c r="O138" s="21" t="n">
        <f aca="false">2_Matriz_decision!O137/O$5</f>
        <v>0.0304431282773992</v>
      </c>
      <c r="P138" s="21" t="n">
        <f aca="false">2_Matriz_decision!P137/P$5</f>
        <v>0.0264720767589686</v>
      </c>
      <c r="Q138" s="21" t="n">
        <f aca="false">2_Matriz_decision!Q137/Q$5</f>
        <v>0.0535575542483696</v>
      </c>
    </row>
    <row r="139" customFormat="false" ht="15" hidden="false" customHeight="false" outlineLevel="0" collapsed="false">
      <c r="A139" s="15" t="n">
        <f aca="false">2_Matriz_decision!A138</f>
        <v>134</v>
      </c>
      <c r="B139" s="16" t="n">
        <f aca="false">2_Matriz_decision!B138</f>
        <v>13.645</v>
      </c>
      <c r="C139" s="21" t="n">
        <f aca="false">2_Matriz_decision!C138/C$5</f>
        <v>0.0439697451539424</v>
      </c>
      <c r="D139" s="21" t="n">
        <f aca="false">2_Matriz_decision!D138/D$5</f>
        <v>0.0334918645582358</v>
      </c>
      <c r="E139" s="21" t="n">
        <f aca="false">2_Matriz_decision!E138/E$5</f>
        <v>0.0500902437313038</v>
      </c>
      <c r="F139" s="21" t="n">
        <f aca="false">2_Matriz_decision!F138/F$5</f>
        <v>0.0494057638940627</v>
      </c>
      <c r="G139" s="21" t="n">
        <f aca="false">2_Matriz_decision!G138/G$5</f>
        <v>0.0411149420220302</v>
      </c>
      <c r="H139" s="21" t="n">
        <f aca="false">2_Matriz_decision!H138/H$5</f>
        <v>0.0512357545379014</v>
      </c>
      <c r="I139" s="21" t="n">
        <f aca="false">2_Matriz_decision!I138/I$5</f>
        <v>0.0592738965965849</v>
      </c>
      <c r="J139" s="21" t="n">
        <f aca="false">2_Matriz_decision!J138/J$5</f>
        <v>0.0469323254463932</v>
      </c>
      <c r="K139" s="21" t="n">
        <f aca="false">2_Matriz_decision!K138/K$5</f>
        <v>0.039014903418414</v>
      </c>
      <c r="L139" s="21" t="n">
        <f aca="false">2_Matriz_decision!L138/L$5</f>
        <v>0.0434837465051373</v>
      </c>
      <c r="M139" s="21" t="n">
        <f aca="false">2_Matriz_decision!M138/M$5</f>
        <v>0.0264132579138733</v>
      </c>
      <c r="N139" s="21" t="n">
        <f aca="false">2_Matriz_decision!N138/N$5</f>
        <v>0.0112098043469034</v>
      </c>
      <c r="O139" s="21" t="n">
        <f aca="false">2_Matriz_decision!O138/O$5</f>
        <v>0.0304431282773992</v>
      </c>
      <c r="P139" s="21" t="n">
        <f aca="false">2_Matriz_decision!P138/P$5</f>
        <v>0.0264720767589686</v>
      </c>
      <c r="Q139" s="21" t="n">
        <f aca="false">2_Matriz_decision!Q138/Q$5</f>
        <v>0.066946942810462</v>
      </c>
    </row>
    <row r="140" customFormat="false" ht="15" hidden="false" customHeight="false" outlineLevel="0" collapsed="false">
      <c r="A140" s="15" t="n">
        <f aca="false">2_Matriz_decision!A139</f>
        <v>135</v>
      </c>
      <c r="B140" s="16" t="n">
        <f aca="false">2_Matriz_decision!B139</f>
        <v>13.748</v>
      </c>
      <c r="C140" s="21" t="n">
        <f aca="false">2_Matriz_decision!C139/C$5</f>
        <v>0.0439697451539424</v>
      </c>
      <c r="D140" s="21" t="n">
        <f aca="false">2_Matriz_decision!D139/D$5</f>
        <v>0.0334918645582358</v>
      </c>
      <c r="E140" s="21" t="n">
        <f aca="false">2_Matriz_decision!E139/E$5</f>
        <v>0.0500902437313038</v>
      </c>
      <c r="F140" s="21" t="n">
        <f aca="false">2_Matriz_decision!F139/F$5</f>
        <v>0.0494057638940627</v>
      </c>
      <c r="G140" s="21" t="n">
        <f aca="false">2_Matriz_decision!G139/G$5</f>
        <v>0.0411149420220302</v>
      </c>
      <c r="H140" s="21" t="n">
        <f aca="false">2_Matriz_decision!H139/H$5</f>
        <v>0.0512357545379014</v>
      </c>
      <c r="I140" s="21" t="n">
        <f aca="false">2_Matriz_decision!I139/I$5</f>
        <v>0.0740923707457312</v>
      </c>
      <c r="J140" s="21" t="n">
        <f aca="false">2_Matriz_decision!J139/J$5</f>
        <v>0.0469323254463932</v>
      </c>
      <c r="K140" s="21" t="n">
        <f aca="false">2_Matriz_decision!K139/K$5</f>
        <v>0.039014903418414</v>
      </c>
      <c r="L140" s="21" t="n">
        <f aca="false">2_Matriz_decision!L139/L$5</f>
        <v>0.0448743706246128</v>
      </c>
      <c r="M140" s="21" t="n">
        <f aca="false">2_Matriz_decision!M139/M$5</f>
        <v>0.0247562153847721</v>
      </c>
      <c r="N140" s="21" t="n">
        <f aca="false">2_Matriz_decision!N139/N$5</f>
        <v>0.0112098043469034</v>
      </c>
      <c r="O140" s="21" t="n">
        <f aca="false">2_Matriz_decision!O139/O$5</f>
        <v>0.0304431282773992</v>
      </c>
      <c r="P140" s="21" t="n">
        <f aca="false">2_Matriz_decision!P139/P$5</f>
        <v>0.0264720767589686</v>
      </c>
      <c r="Q140" s="21" t="n">
        <f aca="false">2_Matriz_decision!Q139/Q$5</f>
        <v>0.066946942810462</v>
      </c>
    </row>
    <row r="141" customFormat="false" ht="15" hidden="false" customHeight="false" outlineLevel="0" collapsed="false">
      <c r="A141" s="15" t="n">
        <f aca="false">2_Matriz_decision!A140</f>
        <v>136</v>
      </c>
      <c r="B141" s="16" t="n">
        <f aca="false">2_Matriz_decision!B140</f>
        <v>13.852</v>
      </c>
      <c r="C141" s="21" t="n">
        <f aca="false">2_Matriz_decision!C140/C$5</f>
        <v>0.0439697451539424</v>
      </c>
      <c r="D141" s="21" t="n">
        <f aca="false">2_Matriz_decision!D140/D$5</f>
        <v>0.0334918645582358</v>
      </c>
      <c r="E141" s="21" t="n">
        <f aca="false">2_Matriz_decision!E140/E$5</f>
        <v>0.0500902437313038</v>
      </c>
      <c r="F141" s="21" t="n">
        <f aca="false">2_Matriz_decision!F140/F$5</f>
        <v>0.0494057638940627</v>
      </c>
      <c r="G141" s="21" t="n">
        <f aca="false">2_Matriz_decision!G140/G$5</f>
        <v>0.0411149420220302</v>
      </c>
      <c r="H141" s="21" t="n">
        <f aca="false">2_Matriz_decision!H140/H$5</f>
        <v>0.0512357545379014</v>
      </c>
      <c r="I141" s="21" t="n">
        <f aca="false">2_Matriz_decision!I140/I$5</f>
        <v>0.0740923707457312</v>
      </c>
      <c r="J141" s="21" t="n">
        <f aca="false">2_Matriz_decision!J140/J$5</f>
        <v>0.0469323254463932</v>
      </c>
      <c r="K141" s="21" t="n">
        <f aca="false">2_Matriz_decision!K140/K$5</f>
        <v>0.039014903418414</v>
      </c>
      <c r="L141" s="21" t="n">
        <f aca="false">2_Matriz_decision!L140/L$5</f>
        <v>0.0430023766176266</v>
      </c>
      <c r="M141" s="21" t="n">
        <f aca="false">2_Matriz_decision!M140/M$5</f>
        <v>0.0261591780594111</v>
      </c>
      <c r="N141" s="21" t="n">
        <f aca="false">2_Matriz_decision!N140/N$5</f>
        <v>0.0112098043469034</v>
      </c>
      <c r="O141" s="21" t="n">
        <f aca="false">2_Matriz_decision!O140/O$5</f>
        <v>0.0304431282773992</v>
      </c>
      <c r="P141" s="21" t="n">
        <f aca="false">2_Matriz_decision!P140/P$5</f>
        <v>0.0264720767589686</v>
      </c>
      <c r="Q141" s="21" t="n">
        <f aca="false">2_Matriz_decision!Q140/Q$5</f>
        <v>0.066946942810462</v>
      </c>
    </row>
    <row r="142" customFormat="false" ht="15" hidden="false" customHeight="false" outlineLevel="0" collapsed="false">
      <c r="A142" s="15" t="n">
        <f aca="false">2_Matriz_decision!A141</f>
        <v>137</v>
      </c>
      <c r="B142" s="16" t="n">
        <f aca="false">2_Matriz_decision!B141</f>
        <v>13.957</v>
      </c>
      <c r="C142" s="21" t="n">
        <f aca="false">2_Matriz_decision!C141/C$5</f>
        <v>0.0439697451539424</v>
      </c>
      <c r="D142" s="21" t="n">
        <f aca="false">2_Matriz_decision!D141/D$5</f>
        <v>0.0334918645582358</v>
      </c>
      <c r="E142" s="21" t="n">
        <f aca="false">2_Matriz_decision!E141/E$5</f>
        <v>0.0400721949850431</v>
      </c>
      <c r="F142" s="21" t="n">
        <f aca="false">2_Matriz_decision!F141/F$5</f>
        <v>0.0494057638940627</v>
      </c>
      <c r="G142" s="21" t="n">
        <f aca="false">2_Matriz_decision!G141/G$5</f>
        <v>0.0411149420220302</v>
      </c>
      <c r="H142" s="21" t="n">
        <f aca="false">2_Matriz_decision!H141/H$5</f>
        <v>0.0512357545379014</v>
      </c>
      <c r="I142" s="21" t="n">
        <f aca="false">2_Matriz_decision!I141/I$5</f>
        <v>0.0740923707457312</v>
      </c>
      <c r="J142" s="21" t="n">
        <f aca="false">2_Matriz_decision!J141/J$5</f>
        <v>0.0469323254463932</v>
      </c>
      <c r="K142" s="21" t="n">
        <f aca="false">2_Matriz_decision!K141/K$5</f>
        <v>0.039014903418414</v>
      </c>
      <c r="L142" s="21" t="n">
        <f aca="false">2_Matriz_decision!L141/L$5</f>
        <v>0.0442058013364034</v>
      </c>
      <c r="M142" s="21" t="n">
        <f aca="false">2_Matriz_decision!M141/M$5</f>
        <v>0.0267778072702755</v>
      </c>
      <c r="N142" s="21" t="n">
        <f aca="false">2_Matriz_decision!N141/N$5</f>
        <v>0.0112098043469034</v>
      </c>
      <c r="O142" s="21" t="n">
        <f aca="false">2_Matriz_decision!O141/O$5</f>
        <v>0.0304431282773992</v>
      </c>
      <c r="P142" s="21" t="n">
        <f aca="false">2_Matriz_decision!P141/P$5</f>
        <v>0.0264720767589686</v>
      </c>
      <c r="Q142" s="21" t="n">
        <f aca="false">2_Matriz_decision!Q141/Q$5</f>
        <v>0.066946942810462</v>
      </c>
    </row>
    <row r="143" customFormat="false" ht="15" hidden="false" customHeight="false" outlineLevel="0" collapsed="false">
      <c r="A143" s="15" t="n">
        <f aca="false">2_Matriz_decision!A142</f>
        <v>138</v>
      </c>
      <c r="B143" s="16" t="n">
        <f aca="false">2_Matriz_decision!B142</f>
        <v>14.062</v>
      </c>
      <c r="C143" s="21" t="n">
        <f aca="false">2_Matriz_decision!C142/C$5</f>
        <v>0.0439697451539424</v>
      </c>
      <c r="D143" s="21" t="n">
        <f aca="false">2_Matriz_decision!D142/D$5</f>
        <v>0.0334918645582358</v>
      </c>
      <c r="E143" s="21" t="n">
        <f aca="false">2_Matriz_decision!E142/E$5</f>
        <v>0.0400721949850431</v>
      </c>
      <c r="F143" s="21" t="n">
        <f aca="false">2_Matriz_decision!F142/F$5</f>
        <v>0.0494057638940627</v>
      </c>
      <c r="G143" s="21" t="n">
        <f aca="false">2_Matriz_decision!G142/G$5</f>
        <v>0.0411149420220302</v>
      </c>
      <c r="H143" s="21" t="n">
        <f aca="false">2_Matriz_decision!H142/H$5</f>
        <v>0.0512357545379014</v>
      </c>
      <c r="I143" s="21" t="n">
        <f aca="false">2_Matriz_decision!I142/I$5</f>
        <v>0.0740923707457312</v>
      </c>
      <c r="J143" s="21" t="n">
        <f aca="false">2_Matriz_decision!J142/J$5</f>
        <v>0.0469323254463932</v>
      </c>
      <c r="K143" s="21" t="n">
        <f aca="false">2_Matriz_decision!K142/K$5</f>
        <v>0.039014903418414</v>
      </c>
      <c r="L143" s="21" t="n">
        <f aca="false">2_Matriz_decision!L142/L$5</f>
        <v>0.0487119583389346</v>
      </c>
      <c r="M143" s="21" t="n">
        <f aca="false">2_Matriz_decision!M142/M$5</f>
        <v>0.0240160697217735</v>
      </c>
      <c r="N143" s="21" t="n">
        <f aca="false">2_Matriz_decision!N142/N$5</f>
        <v>0.0112098043469034</v>
      </c>
      <c r="O143" s="21" t="n">
        <f aca="false">2_Matriz_decision!O142/O$5</f>
        <v>0.0304431282773992</v>
      </c>
      <c r="P143" s="21" t="n">
        <f aca="false">2_Matriz_decision!P142/P$5</f>
        <v>0.0264720767589686</v>
      </c>
      <c r="Q143" s="21" t="n">
        <f aca="false">2_Matriz_decision!Q142/Q$5</f>
        <v>0.066946942810462</v>
      </c>
    </row>
    <row r="144" customFormat="false" ht="15" hidden="false" customHeight="false" outlineLevel="0" collapsed="false">
      <c r="A144" s="15" t="n">
        <f aca="false">2_Matriz_decision!A143</f>
        <v>139</v>
      </c>
      <c r="B144" s="16" t="n">
        <f aca="false">2_Matriz_decision!B143</f>
        <v>14.167</v>
      </c>
      <c r="C144" s="21" t="n">
        <f aca="false">2_Matriz_decision!C143/C$5</f>
        <v>0.0439697451539424</v>
      </c>
      <c r="D144" s="21" t="n">
        <f aca="false">2_Matriz_decision!D143/D$5</f>
        <v>0.0334918645582358</v>
      </c>
      <c r="E144" s="21" t="n">
        <f aca="false">2_Matriz_decision!E143/E$5</f>
        <v>0.0400721949850431</v>
      </c>
      <c r="F144" s="21" t="n">
        <f aca="false">2_Matriz_decision!F143/F$5</f>
        <v>0.0494057638940627</v>
      </c>
      <c r="G144" s="21" t="n">
        <f aca="false">2_Matriz_decision!G143/G$5</f>
        <v>0.0411149420220302</v>
      </c>
      <c r="H144" s="21" t="n">
        <f aca="false">2_Matriz_decision!H143/H$5</f>
        <v>0.0512357545379014</v>
      </c>
      <c r="I144" s="21" t="n">
        <f aca="false">2_Matriz_decision!I143/I$5</f>
        <v>0.0296369482982925</v>
      </c>
      <c r="J144" s="21" t="n">
        <f aca="false">2_Matriz_decision!J143/J$5</f>
        <v>0.0469323254463932</v>
      </c>
      <c r="K144" s="21" t="n">
        <f aca="false">2_Matriz_decision!K143/K$5</f>
        <v>0.039014903418414</v>
      </c>
      <c r="L144" s="21" t="n">
        <f aca="false">2_Matriz_decision!L143/L$5</f>
        <v>0.0446470570666216</v>
      </c>
      <c r="M144" s="21" t="n">
        <f aca="false">2_Matriz_decision!M143/M$5</f>
        <v>0.0255515957987406</v>
      </c>
      <c r="N144" s="21" t="n">
        <f aca="false">2_Matriz_decision!N143/N$5</f>
        <v>0.0112098043469034</v>
      </c>
      <c r="O144" s="21" t="n">
        <f aca="false">2_Matriz_decision!O143/O$5</f>
        <v>0.0304431282773992</v>
      </c>
      <c r="P144" s="21" t="n">
        <f aca="false">2_Matriz_decision!P143/P$5</f>
        <v>0.0264720767589686</v>
      </c>
      <c r="Q144" s="21" t="n">
        <f aca="false">2_Matriz_decision!Q143/Q$5</f>
        <v>0.066946942810462</v>
      </c>
    </row>
    <row r="145" customFormat="false" ht="15" hidden="false" customHeight="false" outlineLevel="0" collapsed="false">
      <c r="A145" s="15" t="n">
        <f aca="false">2_Matriz_decision!A144</f>
        <v>140</v>
      </c>
      <c r="B145" s="16" t="n">
        <f aca="false">2_Matriz_decision!B144</f>
        <v>14.27</v>
      </c>
      <c r="C145" s="21" t="n">
        <f aca="false">2_Matriz_decision!C144/C$5</f>
        <v>0.0439697451539424</v>
      </c>
      <c r="D145" s="21" t="n">
        <f aca="false">2_Matriz_decision!D144/D$5</f>
        <v>0.0418648306977948</v>
      </c>
      <c r="E145" s="21" t="n">
        <f aca="false">2_Matriz_decision!E144/E$5</f>
        <v>0.0400721949850431</v>
      </c>
      <c r="F145" s="21" t="n">
        <f aca="false">2_Matriz_decision!F144/F$5</f>
        <v>0.0494057638940627</v>
      </c>
      <c r="G145" s="21" t="n">
        <f aca="false">2_Matriz_decision!G144/G$5</f>
        <v>0.0411149420220302</v>
      </c>
      <c r="H145" s="21" t="n">
        <f aca="false">2_Matriz_decision!H144/H$5</f>
        <v>0.0512357545379014</v>
      </c>
      <c r="I145" s="21" t="n">
        <f aca="false">2_Matriz_decision!I144/I$5</f>
        <v>0.0296369482982925</v>
      </c>
      <c r="J145" s="21" t="n">
        <f aca="false">2_Matriz_decision!J144/J$5</f>
        <v>0.0469323254463932</v>
      </c>
      <c r="K145" s="21" t="n">
        <f aca="false">2_Matriz_decision!K144/K$5</f>
        <v>0.039014903418414</v>
      </c>
      <c r="L145" s="21" t="n">
        <f aca="false">2_Matriz_decision!L144/L$5</f>
        <v>0.0434302609620806</v>
      </c>
      <c r="M145" s="21" t="n">
        <f aca="false">2_Matriz_decision!M144/M$5</f>
        <v>0.0253858915458305</v>
      </c>
      <c r="N145" s="21" t="n">
        <f aca="false">2_Matriz_decision!N144/N$5</f>
        <v>0.0112098043469034</v>
      </c>
      <c r="O145" s="21" t="n">
        <f aca="false">2_Matriz_decision!O144/O$5</f>
        <v>0.0304431282773992</v>
      </c>
      <c r="P145" s="21" t="n">
        <f aca="false">2_Matriz_decision!P144/P$5</f>
        <v>0.0264720767589686</v>
      </c>
      <c r="Q145" s="21" t="n">
        <f aca="false">2_Matriz_decision!Q144/Q$5</f>
        <v>0.0535575542483696</v>
      </c>
    </row>
    <row r="146" customFormat="false" ht="15" hidden="false" customHeight="false" outlineLevel="0" collapsed="false">
      <c r="A146" s="15" t="n">
        <f aca="false">2_Matriz_decision!A145</f>
        <v>141</v>
      </c>
      <c r="B146" s="16" t="n">
        <f aca="false">2_Matriz_decision!B145</f>
        <v>14.371</v>
      </c>
      <c r="C146" s="21" t="n">
        <f aca="false">2_Matriz_decision!C145/C$5</f>
        <v>0.0439697451539424</v>
      </c>
      <c r="D146" s="21" t="n">
        <f aca="false">2_Matriz_decision!D145/D$5</f>
        <v>0.0334918645582358</v>
      </c>
      <c r="E146" s="21" t="n">
        <f aca="false">2_Matriz_decision!E145/E$5</f>
        <v>0.0400721949850431</v>
      </c>
      <c r="F146" s="21" t="n">
        <f aca="false">2_Matriz_decision!F145/F$5</f>
        <v>0.0494057638940627</v>
      </c>
      <c r="G146" s="21" t="n">
        <f aca="false">2_Matriz_decision!G145/G$5</f>
        <v>0.0411149420220302</v>
      </c>
      <c r="H146" s="21" t="n">
        <f aca="false">2_Matriz_decision!H145/H$5</f>
        <v>0.0512357545379014</v>
      </c>
      <c r="I146" s="21" t="n">
        <f aca="false">2_Matriz_decision!I145/I$5</f>
        <v>0.0148184741491462</v>
      </c>
      <c r="J146" s="21" t="n">
        <f aca="false">2_Matriz_decision!J145/J$5</f>
        <v>0.0469323254463932</v>
      </c>
      <c r="K146" s="21" t="n">
        <f aca="false">2_Matriz_decision!K145/K$5</f>
        <v>0.039014903418414</v>
      </c>
      <c r="L146" s="21" t="n">
        <f aca="false">2_Matriz_decision!L145/L$5</f>
        <v>0.0501293252299384</v>
      </c>
      <c r="M146" s="21" t="n">
        <f aca="false">2_Matriz_decision!M145/M$5</f>
        <v>0.0238945532696394</v>
      </c>
      <c r="N146" s="21" t="n">
        <f aca="false">2_Matriz_decision!N145/N$5</f>
        <v>0.0112098043469034</v>
      </c>
      <c r="O146" s="21" t="n">
        <f aca="false">2_Matriz_decision!O145/O$5</f>
        <v>0.0304431282773992</v>
      </c>
      <c r="P146" s="21" t="n">
        <f aca="false">2_Matriz_decision!P145/P$5</f>
        <v>0.0264720767589686</v>
      </c>
      <c r="Q146" s="21" t="n">
        <f aca="false">2_Matriz_decision!Q145/Q$5</f>
        <v>0.0535575542483696</v>
      </c>
    </row>
    <row r="147" customFormat="false" ht="15" hidden="false" customHeight="false" outlineLevel="0" collapsed="false">
      <c r="A147" s="15" t="n">
        <f aca="false">2_Matriz_decision!A146</f>
        <v>142</v>
      </c>
      <c r="B147" s="16" t="n">
        <f aca="false">2_Matriz_decision!B146</f>
        <v>14.47</v>
      </c>
      <c r="C147" s="21" t="n">
        <f aca="false">2_Matriz_decision!C146/C$5</f>
        <v>0.0439697451539424</v>
      </c>
      <c r="D147" s="21" t="n">
        <f aca="false">2_Matriz_decision!D146/D$5</f>
        <v>0.0334918645582358</v>
      </c>
      <c r="E147" s="21" t="n">
        <f aca="false">2_Matriz_decision!E146/E$5</f>
        <v>0.0400721949850431</v>
      </c>
      <c r="F147" s="21" t="n">
        <f aca="false">2_Matriz_decision!F146/F$5</f>
        <v>0.0494057638940627</v>
      </c>
      <c r="G147" s="21" t="n">
        <f aca="false">2_Matriz_decision!G146/G$5</f>
        <v>0.0411149420220302</v>
      </c>
      <c r="H147" s="21" t="n">
        <f aca="false">2_Matriz_decision!H146/H$5</f>
        <v>0.0512357545379014</v>
      </c>
      <c r="I147" s="21" t="n">
        <f aca="false">2_Matriz_decision!I146/I$5</f>
        <v>0.0148184741491462</v>
      </c>
      <c r="J147" s="21" t="n">
        <f aca="false">2_Matriz_decision!J146/J$5</f>
        <v>0.0469323254463932</v>
      </c>
      <c r="K147" s="21" t="n">
        <f aca="false">2_Matriz_decision!K146/K$5</f>
        <v>0.039014903418414</v>
      </c>
      <c r="L147" s="21" t="n">
        <f aca="false">2_Matriz_decision!L146/L$5</f>
        <v>0.051600177663999</v>
      </c>
      <c r="M147" s="21" t="n">
        <f aca="false">2_Matriz_decision!M146/M$5</f>
        <v>0.0237951307178934</v>
      </c>
      <c r="N147" s="21" t="n">
        <f aca="false">2_Matriz_decision!N146/N$5</f>
        <v>0.0112098043469034</v>
      </c>
      <c r="O147" s="21" t="n">
        <f aca="false">2_Matriz_decision!O146/O$5</f>
        <v>0.0304431282773992</v>
      </c>
      <c r="P147" s="21" t="n">
        <f aca="false">2_Matriz_decision!P146/P$5</f>
        <v>0.0264720767589686</v>
      </c>
      <c r="Q147" s="21" t="n">
        <f aca="false">2_Matriz_decision!Q146/Q$5</f>
        <v>0.0535575542483696</v>
      </c>
    </row>
    <row r="148" customFormat="false" ht="15" hidden="false" customHeight="false" outlineLevel="0" collapsed="false">
      <c r="A148" s="15" t="n">
        <f aca="false">2_Matriz_decision!A147</f>
        <v>143</v>
      </c>
      <c r="B148" s="16" t="n">
        <f aca="false">2_Matriz_decision!B147</f>
        <v>14.568</v>
      </c>
      <c r="C148" s="21" t="n">
        <f aca="false">2_Matriz_decision!C147/C$5</f>
        <v>0.0439697451539424</v>
      </c>
      <c r="D148" s="21" t="n">
        <f aca="false">2_Matriz_decision!D147/D$5</f>
        <v>0.0334918645582358</v>
      </c>
      <c r="E148" s="21" t="n">
        <f aca="false">2_Matriz_decision!E147/E$5</f>
        <v>0.0400721949850431</v>
      </c>
      <c r="F148" s="21" t="n">
        <f aca="false">2_Matriz_decision!F147/F$5</f>
        <v>0.0494057638940627</v>
      </c>
      <c r="G148" s="21" t="n">
        <f aca="false">2_Matriz_decision!G147/G$5</f>
        <v>0.0411149420220302</v>
      </c>
      <c r="H148" s="21" t="n">
        <f aca="false">2_Matriz_decision!H147/H$5</f>
        <v>0.0512357545379014</v>
      </c>
      <c r="I148" s="21" t="n">
        <f aca="false">2_Matriz_decision!I147/I$5</f>
        <v>0.0148184741491462</v>
      </c>
      <c r="J148" s="21" t="n">
        <f aca="false">2_Matriz_decision!J147/J$5</f>
        <v>0.0469323254463932</v>
      </c>
      <c r="K148" s="21" t="n">
        <f aca="false">2_Matriz_decision!K147/K$5</f>
        <v>0.039014903418414</v>
      </c>
      <c r="L148" s="21" t="n">
        <f aca="false">2_Matriz_decision!L147/L$5</f>
        <v>0.0482974453802448</v>
      </c>
      <c r="M148" s="21" t="n">
        <f aca="false">2_Matriz_decision!M147/M$5</f>
        <v>0.0227677643498506</v>
      </c>
      <c r="N148" s="21" t="n">
        <f aca="false">2_Matriz_decision!N147/N$5</f>
        <v>0.0112098043469034</v>
      </c>
      <c r="O148" s="21" t="n">
        <f aca="false">2_Matriz_decision!O147/O$5</f>
        <v>0.0304431282773992</v>
      </c>
      <c r="P148" s="21" t="n">
        <f aca="false">2_Matriz_decision!P147/P$5</f>
        <v>0.0264720767589686</v>
      </c>
      <c r="Q148" s="21" t="n">
        <f aca="false">2_Matriz_decision!Q147/Q$5</f>
        <v>0.066946942810462</v>
      </c>
    </row>
    <row r="149" customFormat="false" ht="15" hidden="false" customHeight="false" outlineLevel="0" collapsed="false">
      <c r="A149" s="15" t="n">
        <f aca="false">2_Matriz_decision!A148</f>
        <v>144</v>
      </c>
      <c r="B149" s="16" t="n">
        <f aca="false">2_Matriz_decision!B148</f>
        <v>14.665</v>
      </c>
      <c r="C149" s="21" t="n">
        <f aca="false">2_Matriz_decision!C148/C$5</f>
        <v>0.0439697451539424</v>
      </c>
      <c r="D149" s="21" t="n">
        <f aca="false">2_Matriz_decision!D148/D$5</f>
        <v>0.0334918645582358</v>
      </c>
      <c r="E149" s="21" t="n">
        <f aca="false">2_Matriz_decision!E148/E$5</f>
        <v>0.0400721949850431</v>
      </c>
      <c r="F149" s="21" t="n">
        <f aca="false">2_Matriz_decision!F148/F$5</f>
        <v>0.0494057638940627</v>
      </c>
      <c r="G149" s="21" t="n">
        <f aca="false">2_Matriz_decision!G148/G$5</f>
        <v>0.0411149420220302</v>
      </c>
      <c r="H149" s="21" t="n">
        <f aca="false">2_Matriz_decision!H148/H$5</f>
        <v>0.0512357545379014</v>
      </c>
      <c r="I149" s="21" t="n">
        <f aca="false">2_Matriz_decision!I148/I$5</f>
        <v>0.0148184741491462</v>
      </c>
      <c r="J149" s="21" t="n">
        <f aca="false">2_Matriz_decision!J148/J$5</f>
        <v>0.0469323254463932</v>
      </c>
      <c r="K149" s="21" t="n">
        <f aca="false">2_Matriz_decision!K148/K$5</f>
        <v>0.039014903418414</v>
      </c>
      <c r="L149" s="21" t="n">
        <f aca="false">2_Matriz_decision!L148/L$5</f>
        <v>0.0481904742941313</v>
      </c>
      <c r="M149" s="21" t="n">
        <f aca="false">2_Matriz_decision!M148/M$5</f>
        <v>0.0221380881887922</v>
      </c>
      <c r="N149" s="21" t="n">
        <f aca="false">2_Matriz_decision!N148/N$5</f>
        <v>0.0112098043469034</v>
      </c>
      <c r="O149" s="21" t="n">
        <f aca="false">2_Matriz_decision!O148/O$5</f>
        <v>0.0304431282773992</v>
      </c>
      <c r="P149" s="21" t="n">
        <f aca="false">2_Matriz_decision!P148/P$5</f>
        <v>0.0264720767589686</v>
      </c>
      <c r="Q149" s="21" t="n">
        <f aca="false">2_Matriz_decision!Q148/Q$5</f>
        <v>0.066946942810462</v>
      </c>
    </row>
    <row r="150" customFormat="false" ht="15" hidden="false" customHeight="false" outlineLevel="0" collapsed="false">
      <c r="A150" s="15" t="n">
        <f aca="false">2_Matriz_decision!A149</f>
        <v>145</v>
      </c>
      <c r="B150" s="16" t="n">
        <f aca="false">2_Matriz_decision!B149</f>
        <v>14.761</v>
      </c>
      <c r="C150" s="21" t="n">
        <f aca="false">2_Matriz_decision!C149/C$5</f>
        <v>0.0439697451539424</v>
      </c>
      <c r="D150" s="21" t="n">
        <f aca="false">2_Matriz_decision!D149/D$5</f>
        <v>0.0334918645582358</v>
      </c>
      <c r="E150" s="21" t="n">
        <f aca="false">2_Matriz_decision!E149/E$5</f>
        <v>0.0400721949850431</v>
      </c>
      <c r="F150" s="21" t="n">
        <f aca="false">2_Matriz_decision!F149/F$5</f>
        <v>0.0494057638940627</v>
      </c>
      <c r="G150" s="21" t="n">
        <f aca="false">2_Matriz_decision!G149/G$5</f>
        <v>0.0411149420220302</v>
      </c>
      <c r="H150" s="21" t="n">
        <f aca="false">2_Matriz_decision!H149/H$5</f>
        <v>0.0512357545379014</v>
      </c>
      <c r="I150" s="21" t="n">
        <f aca="false">2_Matriz_decision!I149/I$5</f>
        <v>0.0148184741491462</v>
      </c>
      <c r="J150" s="21" t="n">
        <f aca="false">2_Matriz_decision!J149/J$5</f>
        <v>0.0469323254463932</v>
      </c>
      <c r="K150" s="21" t="n">
        <f aca="false">2_Matriz_decision!K149/K$5</f>
        <v>0.039014903418414</v>
      </c>
      <c r="L150" s="21" t="n">
        <f aca="false">2_Matriz_decision!L149/L$5</f>
        <v>0.0508380086754403</v>
      </c>
      <c r="M150" s="21" t="n">
        <f aca="false">2_Matriz_decision!M149/M$5</f>
        <v>0.0234416283116851</v>
      </c>
      <c r="N150" s="21" t="n">
        <f aca="false">2_Matriz_decision!N149/N$5</f>
        <v>0.0112098043469034</v>
      </c>
      <c r="O150" s="21" t="n">
        <f aca="false">2_Matriz_decision!O149/O$5</f>
        <v>0.0304431282773992</v>
      </c>
      <c r="P150" s="21" t="n">
        <f aca="false">2_Matriz_decision!P149/P$5</f>
        <v>0.0264720767589686</v>
      </c>
      <c r="Q150" s="21" t="n">
        <f aca="false">2_Matriz_decision!Q149/Q$5</f>
        <v>0.0535575542483696</v>
      </c>
    </row>
    <row r="151" customFormat="false" ht="15" hidden="false" customHeight="false" outlineLevel="0" collapsed="false">
      <c r="A151" s="15" t="n">
        <f aca="false">2_Matriz_decision!A150</f>
        <v>146</v>
      </c>
      <c r="B151" s="16" t="n">
        <f aca="false">2_Matriz_decision!B150</f>
        <v>14.857</v>
      </c>
      <c r="C151" s="21" t="n">
        <f aca="false">2_Matriz_decision!C150/C$5</f>
        <v>0.0439697451539424</v>
      </c>
      <c r="D151" s="21" t="n">
        <f aca="false">2_Matriz_decision!D150/D$5</f>
        <v>0.0334918645582358</v>
      </c>
      <c r="E151" s="21" t="n">
        <f aca="false">2_Matriz_decision!E150/E$5</f>
        <v>0.0400721949850431</v>
      </c>
      <c r="F151" s="21" t="n">
        <f aca="false">2_Matriz_decision!F150/F$5</f>
        <v>0.0494057638940627</v>
      </c>
      <c r="G151" s="21" t="n">
        <f aca="false">2_Matriz_decision!G150/G$5</f>
        <v>0.0411149420220302</v>
      </c>
      <c r="H151" s="21" t="n">
        <f aca="false">2_Matriz_decision!H150/H$5</f>
        <v>0.0512357545379014</v>
      </c>
      <c r="I151" s="21" t="n">
        <f aca="false">2_Matriz_decision!I150/I$5</f>
        <v>0.0148184741491462</v>
      </c>
      <c r="J151" s="21" t="n">
        <f aca="false">2_Matriz_decision!J150/J$5</f>
        <v>0.0469323254463932</v>
      </c>
      <c r="K151" s="21" t="n">
        <f aca="false">2_Matriz_decision!K150/K$5</f>
        <v>0.039014903418414</v>
      </c>
      <c r="L151" s="21" t="n">
        <f aca="false">2_Matriz_decision!L150/L$5</f>
        <v>0.0522553755664442</v>
      </c>
      <c r="M151" s="21" t="n">
        <f aca="false">2_Matriz_decision!M150/M$5</f>
        <v>0.0222706515911202</v>
      </c>
      <c r="N151" s="21" t="n">
        <f aca="false">2_Matriz_decision!N150/N$5</f>
        <v>0.0112098043469034</v>
      </c>
      <c r="O151" s="21" t="n">
        <f aca="false">2_Matriz_decision!O150/O$5</f>
        <v>0.0304431282773992</v>
      </c>
      <c r="P151" s="21" t="n">
        <f aca="false">2_Matriz_decision!P150/P$5</f>
        <v>0.0264720767589686</v>
      </c>
      <c r="Q151" s="21" t="n">
        <f aca="false">2_Matriz_decision!Q150/Q$5</f>
        <v>0.066946942810462</v>
      </c>
    </row>
    <row r="152" customFormat="false" ht="15" hidden="false" customHeight="false" outlineLevel="0" collapsed="false">
      <c r="A152" s="15" t="n">
        <f aca="false">2_Matriz_decision!A151</f>
        <v>147</v>
      </c>
      <c r="B152" s="16" t="n">
        <f aca="false">2_Matriz_decision!B151</f>
        <v>14.954</v>
      </c>
      <c r="C152" s="21" t="n">
        <f aca="false">2_Matriz_decision!C151/C$5</f>
        <v>0.0439697451539424</v>
      </c>
      <c r="D152" s="21" t="n">
        <f aca="false">2_Matriz_decision!D151/D$5</f>
        <v>0.0334918645582358</v>
      </c>
      <c r="E152" s="21" t="n">
        <f aca="false">2_Matriz_decision!E151/E$5</f>
        <v>0.0400721949850431</v>
      </c>
      <c r="F152" s="21" t="n">
        <f aca="false">2_Matriz_decision!F151/F$5</f>
        <v>0.0494057638940627</v>
      </c>
      <c r="G152" s="21" t="n">
        <f aca="false">2_Matriz_decision!G151/G$5</f>
        <v>0.0411149420220302</v>
      </c>
      <c r="H152" s="21" t="n">
        <f aca="false">2_Matriz_decision!H151/H$5</f>
        <v>0.0512357545379014</v>
      </c>
      <c r="I152" s="21" t="n">
        <f aca="false">2_Matriz_decision!I151/I$5</f>
        <v>0.0148184741491462</v>
      </c>
      <c r="J152" s="21" t="n">
        <f aca="false">2_Matriz_decision!J151/J$5</f>
        <v>0.0469323254463932</v>
      </c>
      <c r="K152" s="21" t="n">
        <f aca="false">2_Matriz_decision!K151/K$5</f>
        <v>0.039014903418414</v>
      </c>
      <c r="L152" s="21" t="n">
        <f aca="false">2_Matriz_decision!L151/L$5</f>
        <v>0.0522821183379726</v>
      </c>
      <c r="M152" s="21" t="n">
        <f aca="false">2_Matriz_decision!M151/M$5</f>
        <v>0.0229776564035368</v>
      </c>
      <c r="N152" s="21" t="n">
        <f aca="false">2_Matriz_decision!N151/N$5</f>
        <v>0.0112098043469034</v>
      </c>
      <c r="O152" s="21" t="n">
        <f aca="false">2_Matriz_decision!O151/O$5</f>
        <v>0.0304431282773992</v>
      </c>
      <c r="P152" s="21" t="n">
        <f aca="false">2_Matriz_decision!P151/P$5</f>
        <v>0.0264720767589686</v>
      </c>
      <c r="Q152" s="21" t="n">
        <f aca="false">2_Matriz_decision!Q151/Q$5</f>
        <v>0.0535575542483696</v>
      </c>
    </row>
    <row r="153" customFormat="false" ht="15" hidden="false" customHeight="false" outlineLevel="0" collapsed="false">
      <c r="A153" s="15" t="n">
        <f aca="false">2_Matriz_decision!A152</f>
        <v>148</v>
      </c>
      <c r="B153" s="16" t="n">
        <f aca="false">2_Matriz_decision!B152</f>
        <v>15.052</v>
      </c>
      <c r="C153" s="21" t="n">
        <f aca="false">2_Matriz_decision!C152/C$5</f>
        <v>0.0439697451539424</v>
      </c>
      <c r="D153" s="21" t="n">
        <f aca="false">2_Matriz_decision!D152/D$5</f>
        <v>0.0418648306977948</v>
      </c>
      <c r="E153" s="21" t="n">
        <f aca="false">2_Matriz_decision!E152/E$5</f>
        <v>0.0400721949850431</v>
      </c>
      <c r="F153" s="21" t="n">
        <f aca="false">2_Matriz_decision!F152/F$5</f>
        <v>0.0494057638940627</v>
      </c>
      <c r="G153" s="21" t="n">
        <f aca="false">2_Matriz_decision!G152/G$5</f>
        <v>0.0411149420220302</v>
      </c>
      <c r="H153" s="21" t="n">
        <f aca="false">2_Matriz_decision!H152/H$5</f>
        <v>0.0512357545379014</v>
      </c>
      <c r="I153" s="21" t="n">
        <f aca="false">2_Matriz_decision!I152/I$5</f>
        <v>0.0148184741491462</v>
      </c>
      <c r="J153" s="21" t="n">
        <f aca="false">2_Matriz_decision!J152/J$5</f>
        <v>0.0469323254463932</v>
      </c>
      <c r="K153" s="21" t="n">
        <f aca="false">2_Matriz_decision!K152/K$5</f>
        <v>0.039014903418414</v>
      </c>
      <c r="L153" s="21" t="n">
        <f aca="false">2_Matriz_decision!L152/L$5</f>
        <v>0.0382822774428684</v>
      </c>
      <c r="M153" s="21" t="n">
        <f aca="false">2_Matriz_decision!M152/M$5</f>
        <v>0.0306000520374023</v>
      </c>
      <c r="N153" s="21" t="n">
        <f aca="false">2_Matriz_decision!N152/N$5</f>
        <v>0.0112098043469034</v>
      </c>
      <c r="O153" s="21" t="n">
        <f aca="false">2_Matriz_decision!O152/O$5</f>
        <v>0.0304431282773992</v>
      </c>
      <c r="P153" s="21" t="n">
        <f aca="false">2_Matriz_decision!P152/P$5</f>
        <v>0.0264720767589686</v>
      </c>
      <c r="Q153" s="21" t="n">
        <f aca="false">2_Matriz_decision!Q152/Q$5</f>
        <v>0.0535575542483696</v>
      </c>
    </row>
    <row r="154" customFormat="false" ht="15" hidden="false" customHeight="false" outlineLevel="0" collapsed="false">
      <c r="A154" s="15" t="n">
        <f aca="false">2_Matriz_decision!A153</f>
        <v>149</v>
      </c>
      <c r="B154" s="16" t="n">
        <f aca="false">2_Matriz_decision!B153</f>
        <v>15.151</v>
      </c>
      <c r="C154" s="21" t="n">
        <f aca="false">2_Matriz_decision!C153/C$5</f>
        <v>0.0439697451539424</v>
      </c>
      <c r="D154" s="21" t="n">
        <f aca="false">2_Matriz_decision!D153/D$5</f>
        <v>0.0334918645582358</v>
      </c>
      <c r="E154" s="21" t="n">
        <f aca="false">2_Matriz_decision!E153/E$5</f>
        <v>0.0400721949850431</v>
      </c>
      <c r="F154" s="21" t="n">
        <f aca="false">2_Matriz_decision!F153/F$5</f>
        <v>0.0494057638940627</v>
      </c>
      <c r="G154" s="21" t="n">
        <f aca="false">2_Matriz_decision!G153/G$5</f>
        <v>0.0411149420220302</v>
      </c>
      <c r="H154" s="21" t="n">
        <f aca="false">2_Matriz_decision!H153/H$5</f>
        <v>0.0512357545379014</v>
      </c>
      <c r="I154" s="21" t="n">
        <f aca="false">2_Matriz_decision!I153/I$5</f>
        <v>0.0148184741491462</v>
      </c>
      <c r="J154" s="21" t="n">
        <f aca="false">2_Matriz_decision!J153/J$5</f>
        <v>0.0469323254463932</v>
      </c>
      <c r="K154" s="21" t="n">
        <f aca="false">2_Matriz_decision!K153/K$5</f>
        <v>0.039014903418414</v>
      </c>
      <c r="L154" s="21" t="n">
        <f aca="false">2_Matriz_decision!L153/L$5</f>
        <v>0.0276386543745753</v>
      </c>
      <c r="M154" s="21" t="n">
        <f aca="false">2_Matriz_decision!M153/M$5</f>
        <v>0.0354165223219898</v>
      </c>
      <c r="N154" s="21" t="n">
        <f aca="false">2_Matriz_decision!N153/N$5</f>
        <v>0.0112098043469034</v>
      </c>
      <c r="O154" s="21" t="n">
        <f aca="false">2_Matriz_decision!O153/O$5</f>
        <v>0.0304431282773992</v>
      </c>
      <c r="P154" s="21" t="n">
        <f aca="false">2_Matriz_decision!P153/P$5</f>
        <v>0.0264720767589686</v>
      </c>
      <c r="Q154" s="21" t="n">
        <f aca="false">2_Matriz_decision!Q153/Q$5</f>
        <v>0.0133893885620924</v>
      </c>
    </row>
    <row r="155" customFormat="false" ht="15" hidden="false" customHeight="false" outlineLevel="0" collapsed="false">
      <c r="A155" s="15" t="n">
        <f aca="false">2_Matriz_decision!A154</f>
        <v>150</v>
      </c>
      <c r="B155" s="16" t="n">
        <f aca="false">2_Matriz_decision!B154</f>
        <v>15.251</v>
      </c>
      <c r="C155" s="21" t="n">
        <f aca="false">2_Matriz_decision!C154/C$5</f>
        <v>0.0439697451539424</v>
      </c>
      <c r="D155" s="21" t="n">
        <f aca="false">2_Matriz_decision!D154/D$5</f>
        <v>0.0334918645582358</v>
      </c>
      <c r="E155" s="21" t="n">
        <f aca="false">2_Matriz_decision!E154/E$5</f>
        <v>0.0400721949850431</v>
      </c>
      <c r="F155" s="21" t="n">
        <f aca="false">2_Matriz_decision!F154/F$5</f>
        <v>0.0494057638940627</v>
      </c>
      <c r="G155" s="21" t="n">
        <f aca="false">2_Matriz_decision!G154/G$5</f>
        <v>0.0411149420220302</v>
      </c>
      <c r="H155" s="21" t="n">
        <f aca="false">2_Matriz_decision!H154/H$5</f>
        <v>0.0512357545379014</v>
      </c>
      <c r="I155" s="21" t="n">
        <f aca="false">2_Matriz_decision!I154/I$5</f>
        <v>0.0148184741491462</v>
      </c>
      <c r="J155" s="21" t="n">
        <f aca="false">2_Matriz_decision!J154/J$5</f>
        <v>0.0469323254463932</v>
      </c>
      <c r="K155" s="21" t="n">
        <f aca="false">2_Matriz_decision!K154/K$5</f>
        <v>0.039014903418414</v>
      </c>
      <c r="L155" s="21" t="n">
        <f aca="false">2_Matriz_decision!L154/L$5</f>
        <v>0.0368782819376287</v>
      </c>
      <c r="M155" s="21" t="n">
        <f aca="false">2_Matriz_decision!M154/M$5</f>
        <v>0.0327100195244579</v>
      </c>
      <c r="N155" s="21" t="n">
        <f aca="false">2_Matriz_decision!N154/N$5</f>
        <v>0.0112098043469034</v>
      </c>
      <c r="O155" s="21" t="n">
        <f aca="false">2_Matriz_decision!O154/O$5</f>
        <v>0.0304431282773992</v>
      </c>
      <c r="P155" s="21" t="n">
        <f aca="false">2_Matriz_decision!P154/P$5</f>
        <v>0.0264720767589686</v>
      </c>
      <c r="Q155" s="21" t="n">
        <f aca="false">2_Matriz_decision!Q154/Q$5</f>
        <v>0.0401681656862772</v>
      </c>
    </row>
    <row r="156" customFormat="false" ht="15" hidden="false" customHeight="false" outlineLevel="0" collapsed="false">
      <c r="A156" s="15" t="n">
        <f aca="false">2_Matriz_decision!A155</f>
        <v>151</v>
      </c>
      <c r="B156" s="16" t="n">
        <f aca="false">2_Matriz_decision!B155</f>
        <v>15.352</v>
      </c>
      <c r="C156" s="21" t="n">
        <f aca="false">2_Matriz_decision!C155/C$5</f>
        <v>0.0439697451539424</v>
      </c>
      <c r="D156" s="21" t="n">
        <f aca="false">2_Matriz_decision!D155/D$5</f>
        <v>0.0334918645582358</v>
      </c>
      <c r="E156" s="21" t="n">
        <f aca="false">2_Matriz_decision!E155/E$5</f>
        <v>0.0400721949850431</v>
      </c>
      <c r="F156" s="21" t="n">
        <f aca="false">2_Matriz_decision!F155/F$5</f>
        <v>0.0494057638940627</v>
      </c>
      <c r="G156" s="21" t="n">
        <f aca="false">2_Matriz_decision!G155/G$5</f>
        <v>0.0411149420220302</v>
      </c>
      <c r="H156" s="21" t="n">
        <f aca="false">2_Matriz_decision!H155/H$5</f>
        <v>0.0512357545379014</v>
      </c>
      <c r="I156" s="21" t="n">
        <f aca="false">2_Matriz_decision!I155/I$5</f>
        <v>0.0148184741491462</v>
      </c>
      <c r="J156" s="21" t="n">
        <f aca="false">2_Matriz_decision!J155/J$5</f>
        <v>0.0469323254463932</v>
      </c>
      <c r="K156" s="21" t="n">
        <f aca="false">2_Matriz_decision!K155/K$5</f>
        <v>0.039014903418414</v>
      </c>
      <c r="L156" s="21" t="n">
        <f aca="false">2_Matriz_decision!L155/L$5</f>
        <v>0.0399804434349202</v>
      </c>
      <c r="M156" s="21" t="n">
        <f aca="false">2_Matriz_decision!M155/M$5</f>
        <v>0.0286116010024809</v>
      </c>
      <c r="N156" s="21" t="n">
        <f aca="false">2_Matriz_decision!N155/N$5</f>
        <v>0.0112098043469034</v>
      </c>
      <c r="O156" s="21" t="n">
        <f aca="false">2_Matriz_decision!O155/O$5</f>
        <v>0.0304431282773992</v>
      </c>
      <c r="P156" s="21" t="n">
        <f aca="false">2_Matriz_decision!P155/P$5</f>
        <v>0.0264720767589686</v>
      </c>
      <c r="Q156" s="21" t="n">
        <f aca="false">2_Matriz_decision!Q155/Q$5</f>
        <v>0.0401681656862772</v>
      </c>
    </row>
    <row r="157" customFormat="false" ht="15" hidden="false" customHeight="false" outlineLevel="0" collapsed="false">
      <c r="A157" s="15" t="n">
        <f aca="false">2_Matriz_decision!A156</f>
        <v>152</v>
      </c>
      <c r="B157" s="16" t="n">
        <f aca="false">2_Matriz_decision!B156</f>
        <v>15.454</v>
      </c>
      <c r="C157" s="21" t="n">
        <f aca="false">2_Matriz_decision!C156/C$5</f>
        <v>0.0439697451539424</v>
      </c>
      <c r="D157" s="21" t="n">
        <f aca="false">2_Matriz_decision!D156/D$5</f>
        <v>0.0334918645582358</v>
      </c>
      <c r="E157" s="21" t="n">
        <f aca="false">2_Matriz_decision!E156/E$5</f>
        <v>0.0400721949850431</v>
      </c>
      <c r="F157" s="21" t="n">
        <f aca="false">2_Matriz_decision!F156/F$5</f>
        <v>0.0494057638940627</v>
      </c>
      <c r="G157" s="21" t="n">
        <f aca="false">2_Matriz_decision!G156/G$5</f>
        <v>0.0411149420220302</v>
      </c>
      <c r="H157" s="21" t="n">
        <f aca="false">2_Matriz_decision!H156/H$5</f>
        <v>0.0512357545379014</v>
      </c>
      <c r="I157" s="21" t="n">
        <f aca="false">2_Matriz_decision!I156/I$5</f>
        <v>0.0148184741491462</v>
      </c>
      <c r="J157" s="21" t="n">
        <f aca="false">2_Matriz_decision!J156/J$5</f>
        <v>0.0469323254463932</v>
      </c>
      <c r="K157" s="21" t="n">
        <f aca="false">2_Matriz_decision!K156/K$5</f>
        <v>0.039014903418414</v>
      </c>
      <c r="L157" s="21" t="n">
        <f aca="false">2_Matriz_decision!L156/L$5</f>
        <v>0.0450481986395472</v>
      </c>
      <c r="M157" s="21" t="n">
        <f aca="false">2_Matriz_decision!M156/M$5</f>
        <v>0.0273191078297819</v>
      </c>
      <c r="N157" s="21" t="n">
        <f aca="false">2_Matriz_decision!N156/N$5</f>
        <v>0.0112098043469034</v>
      </c>
      <c r="O157" s="21" t="n">
        <f aca="false">2_Matriz_decision!O156/O$5</f>
        <v>0.0304431282773992</v>
      </c>
      <c r="P157" s="21" t="n">
        <f aca="false">2_Matriz_decision!P156/P$5</f>
        <v>0.0264720767589686</v>
      </c>
      <c r="Q157" s="21" t="n">
        <f aca="false">2_Matriz_decision!Q156/Q$5</f>
        <v>0.0535575542483696</v>
      </c>
    </row>
    <row r="158" customFormat="false" ht="15" hidden="false" customHeight="false" outlineLevel="0" collapsed="false">
      <c r="A158" s="15" t="n">
        <f aca="false">2_Matriz_decision!A157</f>
        <v>153</v>
      </c>
      <c r="B158" s="16" t="n">
        <f aca="false">2_Matriz_decision!B157</f>
        <v>15.555</v>
      </c>
      <c r="C158" s="21" t="n">
        <f aca="false">2_Matriz_decision!C157/C$5</f>
        <v>0.0439697451539424</v>
      </c>
      <c r="D158" s="21" t="n">
        <f aca="false">2_Matriz_decision!D157/D$5</f>
        <v>0.0334918645582358</v>
      </c>
      <c r="E158" s="21" t="n">
        <f aca="false">2_Matriz_decision!E157/E$5</f>
        <v>0.0400721949850431</v>
      </c>
      <c r="F158" s="21" t="n">
        <f aca="false">2_Matriz_decision!F157/F$5</f>
        <v>0.0494057638940627</v>
      </c>
      <c r="G158" s="21" t="n">
        <f aca="false">2_Matriz_decision!G157/G$5</f>
        <v>0.0411149420220302</v>
      </c>
      <c r="H158" s="21" t="n">
        <f aca="false">2_Matriz_decision!H157/H$5</f>
        <v>0.0512357545379014</v>
      </c>
      <c r="I158" s="21" t="n">
        <f aca="false">2_Matriz_decision!I157/I$5</f>
        <v>0.0148184741491462</v>
      </c>
      <c r="J158" s="21" t="n">
        <f aca="false">2_Matriz_decision!J157/J$5</f>
        <v>0.0469323254463932</v>
      </c>
      <c r="K158" s="21" t="n">
        <f aca="false">2_Matriz_decision!K157/K$5</f>
        <v>0.039014903418414</v>
      </c>
      <c r="L158" s="21" t="n">
        <f aca="false">2_Matriz_decision!L157/L$5</f>
        <v>0.0498084119715979</v>
      </c>
      <c r="M158" s="21" t="n">
        <f aca="false">2_Matriz_decision!M157/M$5</f>
        <v>0.0237288490167293</v>
      </c>
      <c r="N158" s="21" t="n">
        <f aca="false">2_Matriz_decision!N157/N$5</f>
        <v>0.0112098043469034</v>
      </c>
      <c r="O158" s="21" t="n">
        <f aca="false">2_Matriz_decision!O157/O$5</f>
        <v>0.0304431282773992</v>
      </c>
      <c r="P158" s="21" t="n">
        <f aca="false">2_Matriz_decision!P157/P$5</f>
        <v>0.0264720767589686</v>
      </c>
      <c r="Q158" s="21" t="n">
        <f aca="false">2_Matriz_decision!Q157/Q$5</f>
        <v>0.066946942810462</v>
      </c>
    </row>
    <row r="159" customFormat="false" ht="15" hidden="false" customHeight="false" outlineLevel="0" collapsed="false">
      <c r="A159" s="15" t="n">
        <f aca="false">2_Matriz_decision!A158</f>
        <v>154</v>
      </c>
      <c r="B159" s="16" t="n">
        <f aca="false">2_Matriz_decision!B158</f>
        <v>15.657</v>
      </c>
      <c r="C159" s="21" t="n">
        <f aca="false">2_Matriz_decision!C158/C$5</f>
        <v>0.0439697451539424</v>
      </c>
      <c r="D159" s="21" t="n">
        <f aca="false">2_Matriz_decision!D158/D$5</f>
        <v>0.0334918645582358</v>
      </c>
      <c r="E159" s="21" t="n">
        <f aca="false">2_Matriz_decision!E158/E$5</f>
        <v>0.0400721949850431</v>
      </c>
      <c r="F159" s="21" t="n">
        <f aca="false">2_Matriz_decision!F158/F$5</f>
        <v>0.0494057638940627</v>
      </c>
      <c r="G159" s="21" t="n">
        <f aca="false">2_Matriz_decision!G158/G$5</f>
        <v>0.0411149420220302</v>
      </c>
      <c r="H159" s="21" t="n">
        <f aca="false">2_Matriz_decision!H158/H$5</f>
        <v>0.0512357545379014</v>
      </c>
      <c r="I159" s="21" t="n">
        <f aca="false">2_Matriz_decision!I158/I$5</f>
        <v>0.0148184741491462</v>
      </c>
      <c r="J159" s="21" t="n">
        <f aca="false">2_Matriz_decision!J158/J$5</f>
        <v>0.0469323254463932</v>
      </c>
      <c r="K159" s="21" t="n">
        <f aca="false">2_Matriz_decision!K158/K$5</f>
        <v>0.039014903418414</v>
      </c>
      <c r="L159" s="21" t="n">
        <f aca="false">2_Matriz_decision!L158/L$5</f>
        <v>0.0491398426833886</v>
      </c>
      <c r="M159" s="21" t="n">
        <f aca="false">2_Matriz_decision!M158/M$5</f>
        <v>0.0231323137062529</v>
      </c>
      <c r="N159" s="21" t="n">
        <f aca="false">2_Matriz_decision!N158/N$5</f>
        <v>0.0112098043469034</v>
      </c>
      <c r="O159" s="21" t="n">
        <f aca="false">2_Matriz_decision!O158/O$5</f>
        <v>0.0304431282773992</v>
      </c>
      <c r="P159" s="21" t="n">
        <f aca="false">2_Matriz_decision!P158/P$5</f>
        <v>0.0264720767589686</v>
      </c>
      <c r="Q159" s="21" t="n">
        <f aca="false">2_Matriz_decision!Q158/Q$5</f>
        <v>0.0401681656862772</v>
      </c>
    </row>
    <row r="160" customFormat="false" ht="15" hidden="false" customHeight="false" outlineLevel="0" collapsed="false">
      <c r="A160" s="15" t="n">
        <f aca="false">2_Matriz_decision!A159</f>
        <v>155</v>
      </c>
      <c r="B160" s="16" t="n">
        <f aca="false">2_Matriz_decision!B159</f>
        <v>15.758</v>
      </c>
      <c r="C160" s="21" t="n">
        <f aca="false">2_Matriz_decision!C159/C$5</f>
        <v>0.0439697451539424</v>
      </c>
      <c r="D160" s="21" t="n">
        <f aca="false">2_Matriz_decision!D159/D$5</f>
        <v>0.0334918645582358</v>
      </c>
      <c r="E160" s="21" t="n">
        <f aca="false">2_Matriz_decision!E159/E$5</f>
        <v>0.0400721949850431</v>
      </c>
      <c r="F160" s="21" t="n">
        <f aca="false">2_Matriz_decision!F159/F$5</f>
        <v>0.0494057638940627</v>
      </c>
      <c r="G160" s="21" t="n">
        <f aca="false">2_Matriz_decision!G159/G$5</f>
        <v>0.0411149420220302</v>
      </c>
      <c r="H160" s="21" t="n">
        <f aca="false">2_Matriz_decision!H159/H$5</f>
        <v>0.0512357545379014</v>
      </c>
      <c r="I160" s="21" t="n">
        <f aca="false">2_Matriz_decision!I159/I$5</f>
        <v>0.0148184741491462</v>
      </c>
      <c r="J160" s="21" t="n">
        <f aca="false">2_Matriz_decision!J159/J$5</f>
        <v>0.0469323254463932</v>
      </c>
      <c r="K160" s="21" t="n">
        <f aca="false">2_Matriz_decision!K159/K$5</f>
        <v>0.039014903418414</v>
      </c>
      <c r="L160" s="21" t="n">
        <f aca="false">2_Matriz_decision!L159/L$5</f>
        <v>0.0400473003637412</v>
      </c>
      <c r="M160" s="21" t="n">
        <f aca="false">2_Matriz_decision!M159/M$5</f>
        <v>0.0282691455464666</v>
      </c>
      <c r="N160" s="21" t="n">
        <f aca="false">2_Matriz_decision!N159/N$5</f>
        <v>0.0112098043469034</v>
      </c>
      <c r="O160" s="21" t="n">
        <f aca="false">2_Matriz_decision!O159/O$5</f>
        <v>0.0304431282773992</v>
      </c>
      <c r="P160" s="21" t="n">
        <f aca="false">2_Matriz_decision!P159/P$5</f>
        <v>0.0264720767589686</v>
      </c>
      <c r="Q160" s="21" t="n">
        <f aca="false">2_Matriz_decision!Q159/Q$5</f>
        <v>0.0401681656862772</v>
      </c>
    </row>
    <row r="161" customFormat="false" ht="15" hidden="false" customHeight="false" outlineLevel="0" collapsed="false">
      <c r="A161" s="15" t="n">
        <f aca="false">2_Matriz_decision!A160</f>
        <v>156</v>
      </c>
      <c r="B161" s="16" t="n">
        <f aca="false">2_Matriz_decision!B160</f>
        <v>15.858</v>
      </c>
      <c r="C161" s="21" t="n">
        <f aca="false">2_Matriz_decision!C160/C$5</f>
        <v>0.0439697451539424</v>
      </c>
      <c r="D161" s="21" t="n">
        <f aca="false">2_Matriz_decision!D160/D$5</f>
        <v>0.0334918645582358</v>
      </c>
      <c r="E161" s="21" t="n">
        <f aca="false">2_Matriz_decision!E160/E$5</f>
        <v>0.0400721949850431</v>
      </c>
      <c r="F161" s="21" t="n">
        <f aca="false">2_Matriz_decision!F160/F$5</f>
        <v>0.0494057638940627</v>
      </c>
      <c r="G161" s="21" t="n">
        <f aca="false">2_Matriz_decision!G160/G$5</f>
        <v>0.0411149420220302</v>
      </c>
      <c r="H161" s="21" t="n">
        <f aca="false">2_Matriz_decision!H160/H$5</f>
        <v>0.0512357545379014</v>
      </c>
      <c r="I161" s="21" t="n">
        <f aca="false">2_Matriz_decision!I160/I$5</f>
        <v>0.0148184741491462</v>
      </c>
      <c r="J161" s="21" t="n">
        <f aca="false">2_Matriz_decision!J160/J$5</f>
        <v>0.0469323254463932</v>
      </c>
      <c r="K161" s="21" t="n">
        <f aca="false">2_Matriz_decision!K160/K$5</f>
        <v>0.039014903418414</v>
      </c>
      <c r="L161" s="21" t="n">
        <f aca="false">2_Matriz_decision!L160/L$5</f>
        <v>0.0440186019357048</v>
      </c>
      <c r="M161" s="21" t="n">
        <f aca="false">2_Matriz_decision!M160/M$5</f>
        <v>0.0277388919371542</v>
      </c>
      <c r="N161" s="21" t="n">
        <f aca="false">2_Matriz_decision!N160/N$5</f>
        <v>0.0112098043469034</v>
      </c>
      <c r="O161" s="21" t="n">
        <f aca="false">2_Matriz_decision!O160/O$5</f>
        <v>0.0304431282773992</v>
      </c>
      <c r="P161" s="21" t="n">
        <f aca="false">2_Matriz_decision!P160/P$5</f>
        <v>0.0264720767589686</v>
      </c>
      <c r="Q161" s="21" t="n">
        <f aca="false">2_Matriz_decision!Q160/Q$5</f>
        <v>0.0401681656862772</v>
      </c>
    </row>
    <row r="162" customFormat="false" ht="15" hidden="false" customHeight="false" outlineLevel="0" collapsed="false">
      <c r="A162" s="15" t="n">
        <f aca="false">2_Matriz_decision!A161</f>
        <v>157</v>
      </c>
      <c r="B162" s="16" t="n">
        <f aca="false">2_Matriz_decision!B161</f>
        <v>15.957</v>
      </c>
      <c r="C162" s="21" t="n">
        <f aca="false">2_Matriz_decision!C161/C$5</f>
        <v>0.0439697451539424</v>
      </c>
      <c r="D162" s="21" t="n">
        <f aca="false">2_Matriz_decision!D161/D$5</f>
        <v>0.0334918645582358</v>
      </c>
      <c r="E162" s="21" t="n">
        <f aca="false">2_Matriz_decision!E161/E$5</f>
        <v>0.0400721949850431</v>
      </c>
      <c r="F162" s="21" t="n">
        <f aca="false">2_Matriz_decision!F161/F$5</f>
        <v>0.0494057638940627</v>
      </c>
      <c r="G162" s="21" t="n">
        <f aca="false">2_Matriz_decision!G161/G$5</f>
        <v>0.0411149420220302</v>
      </c>
      <c r="H162" s="21" t="n">
        <f aca="false">2_Matriz_decision!H161/H$5</f>
        <v>0.0512357545379014</v>
      </c>
      <c r="I162" s="21" t="n">
        <f aca="false">2_Matriz_decision!I161/I$5</f>
        <v>0.0148184741491462</v>
      </c>
      <c r="J162" s="21" t="n">
        <f aca="false">2_Matriz_decision!J161/J$5</f>
        <v>0.0469323254463932</v>
      </c>
      <c r="K162" s="21" t="n">
        <f aca="false">2_Matriz_decision!K161/K$5</f>
        <v>0.039014903418414</v>
      </c>
      <c r="L162" s="21" t="n">
        <f aca="false">2_Matriz_decision!L161/L$5</f>
        <v>0.032973837294486</v>
      </c>
      <c r="M162" s="21" t="n">
        <f aca="false">2_Matriz_decision!M161/M$5</f>
        <v>0.0306442398381784</v>
      </c>
      <c r="N162" s="21" t="n">
        <f aca="false">2_Matriz_decision!N161/N$5</f>
        <v>0.0112098043469034</v>
      </c>
      <c r="O162" s="21" t="n">
        <f aca="false">2_Matriz_decision!O161/O$5</f>
        <v>0.0304431282773992</v>
      </c>
      <c r="P162" s="21" t="n">
        <f aca="false">2_Matriz_decision!P161/P$5</f>
        <v>0.0264720767589686</v>
      </c>
      <c r="Q162" s="21" t="n">
        <f aca="false">2_Matriz_decision!Q161/Q$5</f>
        <v>0.0535575542483696</v>
      </c>
    </row>
    <row r="163" customFormat="false" ht="15" hidden="false" customHeight="false" outlineLevel="0" collapsed="false">
      <c r="A163" s="15" t="n">
        <f aca="false">2_Matriz_decision!A162</f>
        <v>158</v>
      </c>
      <c r="B163" s="16" t="n">
        <f aca="false">2_Matriz_decision!B162</f>
        <v>16.056</v>
      </c>
      <c r="C163" s="21" t="n">
        <f aca="false">2_Matriz_decision!C162/C$5</f>
        <v>0.0439697451539424</v>
      </c>
      <c r="D163" s="21" t="n">
        <f aca="false">2_Matriz_decision!D162/D$5</f>
        <v>0.0334918645582358</v>
      </c>
      <c r="E163" s="21" t="n">
        <f aca="false">2_Matriz_decision!E162/E$5</f>
        <v>0.0400721949850431</v>
      </c>
      <c r="F163" s="21" t="n">
        <f aca="false">2_Matriz_decision!F162/F$5</f>
        <v>0.0494057638940627</v>
      </c>
      <c r="G163" s="21" t="n">
        <f aca="false">2_Matriz_decision!G162/G$5</f>
        <v>0.0411149420220302</v>
      </c>
      <c r="H163" s="21" t="n">
        <f aca="false">2_Matriz_decision!H162/H$5</f>
        <v>0.0512357545379014</v>
      </c>
      <c r="I163" s="21" t="n">
        <f aca="false">2_Matriz_decision!I162/I$5</f>
        <v>0.0148184741491462</v>
      </c>
      <c r="J163" s="21" t="n">
        <f aca="false">2_Matriz_decision!J162/J$5</f>
        <v>0.0469323254463932</v>
      </c>
      <c r="K163" s="21" t="n">
        <f aca="false">2_Matriz_decision!K162/K$5</f>
        <v>0.0312119227347312</v>
      </c>
      <c r="L163" s="21" t="n">
        <f aca="false">2_Matriz_decision!L162/L$5</f>
        <v>0.0274380835881125</v>
      </c>
      <c r="M163" s="21" t="n">
        <f aca="false">2_Matriz_decision!M162/M$5</f>
        <v>0.0385649031272821</v>
      </c>
      <c r="N163" s="21" t="n">
        <f aca="false">2_Matriz_decision!N162/N$5</f>
        <v>0.0112098043469034</v>
      </c>
      <c r="O163" s="21" t="n">
        <f aca="false">2_Matriz_decision!O162/O$5</f>
        <v>0.0304431282773992</v>
      </c>
      <c r="P163" s="21" t="n">
        <f aca="false">2_Matriz_decision!P162/P$5</f>
        <v>0.0264720767589686</v>
      </c>
      <c r="Q163" s="21" t="n">
        <f aca="false">2_Matriz_decision!Q162/Q$5</f>
        <v>0.066946942810462</v>
      </c>
    </row>
    <row r="164" customFormat="false" ht="15" hidden="false" customHeight="false" outlineLevel="0" collapsed="false">
      <c r="A164" s="15" t="n">
        <f aca="false">2_Matriz_decision!A163</f>
        <v>159</v>
      </c>
      <c r="B164" s="16" t="n">
        <f aca="false">2_Matriz_decision!B163</f>
        <v>16.153</v>
      </c>
      <c r="C164" s="21" t="n">
        <f aca="false">2_Matriz_decision!C163/C$5</f>
        <v>0.0439697451539424</v>
      </c>
      <c r="D164" s="21" t="n">
        <f aca="false">2_Matriz_decision!D163/D$5</f>
        <v>0.0418648306977948</v>
      </c>
      <c r="E164" s="21" t="n">
        <f aca="false">2_Matriz_decision!E163/E$5</f>
        <v>0.0400721949850431</v>
      </c>
      <c r="F164" s="21" t="n">
        <f aca="false">2_Matriz_decision!F163/F$5</f>
        <v>0.0494057638940627</v>
      </c>
      <c r="G164" s="21" t="n">
        <f aca="false">2_Matriz_decision!G163/G$5</f>
        <v>0.0411149420220302</v>
      </c>
      <c r="H164" s="21" t="n">
        <f aca="false">2_Matriz_decision!H163/H$5</f>
        <v>0.0512357545379014</v>
      </c>
      <c r="I164" s="21" t="n">
        <f aca="false">2_Matriz_decision!I163/I$5</f>
        <v>0.0148184741491462</v>
      </c>
      <c r="J164" s="21" t="n">
        <f aca="false">2_Matriz_decision!J163/J$5</f>
        <v>0.0469323254463932</v>
      </c>
      <c r="K164" s="21" t="n">
        <f aca="false">2_Matriz_decision!K163/K$5</f>
        <v>0.0312119227347312</v>
      </c>
      <c r="L164" s="21" t="n">
        <f aca="false">2_Matriz_decision!L163/L$5</f>
        <v>0.0247103208922182</v>
      </c>
      <c r="M164" s="21" t="n">
        <f aca="false">2_Matriz_decision!M163/M$5</f>
        <v>0.0385207153265061</v>
      </c>
      <c r="N164" s="21" t="n">
        <f aca="false">2_Matriz_decision!N163/N$5</f>
        <v>0.0112098043469034</v>
      </c>
      <c r="O164" s="21" t="n">
        <f aca="false">2_Matriz_decision!O163/O$5</f>
        <v>0.0304431282773992</v>
      </c>
      <c r="P164" s="21" t="n">
        <f aca="false">2_Matriz_decision!P163/P$5</f>
        <v>0.0264720767589686</v>
      </c>
      <c r="Q164" s="21" t="n">
        <f aca="false">2_Matriz_decision!Q163/Q$5</f>
        <v>0.0133893885620924</v>
      </c>
    </row>
    <row r="165" customFormat="false" ht="15" hidden="false" customHeight="false" outlineLevel="0" collapsed="false">
      <c r="A165" s="15" t="n">
        <f aca="false">2_Matriz_decision!A164</f>
        <v>160</v>
      </c>
      <c r="B165" s="16" t="n">
        <f aca="false">2_Matriz_decision!B164</f>
        <v>16.251</v>
      </c>
      <c r="C165" s="21" t="n">
        <f aca="false">2_Matriz_decision!C164/C$5</f>
        <v>0.0439697451539424</v>
      </c>
      <c r="D165" s="21" t="n">
        <f aca="false">2_Matriz_decision!D164/D$5</f>
        <v>0.0334918645582358</v>
      </c>
      <c r="E165" s="21" t="n">
        <f aca="false">2_Matriz_decision!E164/E$5</f>
        <v>0.0400721949850431</v>
      </c>
      <c r="F165" s="21" t="n">
        <f aca="false">2_Matriz_decision!F164/F$5</f>
        <v>0.0494057638940627</v>
      </c>
      <c r="G165" s="21" t="n">
        <f aca="false">2_Matriz_decision!G164/G$5</f>
        <v>0.0411149420220302</v>
      </c>
      <c r="H165" s="21" t="n">
        <f aca="false">2_Matriz_decision!H164/H$5</f>
        <v>0.0512357545379014</v>
      </c>
      <c r="I165" s="21" t="n">
        <f aca="false">2_Matriz_decision!I164/I$5</f>
        <v>0.0148184741491462</v>
      </c>
      <c r="J165" s="21" t="n">
        <f aca="false">2_Matriz_decision!J164/J$5</f>
        <v>0.0469323254463932</v>
      </c>
      <c r="K165" s="21" t="n">
        <f aca="false">2_Matriz_decision!K164/K$5</f>
        <v>0.039014903418414</v>
      </c>
      <c r="L165" s="21" t="n">
        <f aca="false">2_Matriz_decision!L164/L$5</f>
        <v>0.0407559838092431</v>
      </c>
      <c r="M165" s="21" t="n">
        <f aca="false">2_Matriz_decision!M164/M$5</f>
        <v>0.0233753466105211</v>
      </c>
      <c r="N165" s="21" t="n">
        <f aca="false">2_Matriz_decision!N164/N$5</f>
        <v>0.0112098043469034</v>
      </c>
      <c r="O165" s="21" t="n">
        <f aca="false">2_Matriz_decision!O164/O$5</f>
        <v>0.0304431282773992</v>
      </c>
      <c r="P165" s="21" t="n">
        <f aca="false">2_Matriz_decision!P164/P$5</f>
        <v>0.0264720767589686</v>
      </c>
      <c r="Q165" s="21" t="n">
        <f aca="false">2_Matriz_decision!Q164/Q$5</f>
        <v>0.0535575542483696</v>
      </c>
    </row>
    <row r="166" customFormat="false" ht="15" hidden="false" customHeight="false" outlineLevel="0" collapsed="false">
      <c r="A166" s="15" t="n">
        <f aca="false">2_Matriz_decision!A165</f>
        <v>161</v>
      </c>
      <c r="B166" s="16" t="n">
        <f aca="false">2_Matriz_decision!B165</f>
        <v>16.348</v>
      </c>
      <c r="C166" s="21" t="n">
        <f aca="false">2_Matriz_decision!C165/C$5</f>
        <v>0.0439697451539424</v>
      </c>
      <c r="D166" s="21" t="n">
        <f aca="false">2_Matriz_decision!D165/D$5</f>
        <v>0.0334918645582358</v>
      </c>
      <c r="E166" s="21" t="n">
        <f aca="false">2_Matriz_decision!E165/E$5</f>
        <v>0.0400721949850431</v>
      </c>
      <c r="F166" s="21" t="n">
        <f aca="false">2_Matriz_decision!F165/F$5</f>
        <v>0.0494057638940627</v>
      </c>
      <c r="G166" s="21" t="n">
        <f aca="false">2_Matriz_decision!G165/G$5</f>
        <v>0.0411149420220302</v>
      </c>
      <c r="H166" s="21" t="n">
        <f aca="false">2_Matriz_decision!H165/H$5</f>
        <v>0.0512357545379014</v>
      </c>
      <c r="I166" s="21" t="n">
        <f aca="false">2_Matriz_decision!I165/I$5</f>
        <v>0.0148184741491462</v>
      </c>
      <c r="J166" s="21" t="n">
        <f aca="false">2_Matriz_decision!J165/J$5</f>
        <v>0.0469323254463932</v>
      </c>
      <c r="K166" s="21" t="n">
        <f aca="false">2_Matriz_decision!K165/K$5</f>
        <v>0.039014903418414</v>
      </c>
      <c r="L166" s="21" t="n">
        <f aca="false">2_Matriz_decision!L165/L$5</f>
        <v>0.0457301393135208</v>
      </c>
      <c r="M166" s="21" t="n">
        <f aca="false">2_Matriz_decision!M165/M$5</f>
        <v>0.0220939003880161</v>
      </c>
      <c r="N166" s="21" t="n">
        <f aca="false">2_Matriz_decision!N165/N$5</f>
        <v>0.0112098043469034</v>
      </c>
      <c r="O166" s="21" t="n">
        <f aca="false">2_Matriz_decision!O165/O$5</f>
        <v>0.0304431282773992</v>
      </c>
      <c r="P166" s="21" t="n">
        <f aca="false">2_Matriz_decision!P165/P$5</f>
        <v>0.0264720767589686</v>
      </c>
      <c r="Q166" s="21" t="n">
        <f aca="false">2_Matriz_decision!Q165/Q$5</f>
        <v>0.0401681656862772</v>
      </c>
    </row>
    <row r="167" customFormat="false" ht="15" hidden="false" customHeight="false" outlineLevel="0" collapsed="false">
      <c r="A167" s="15" t="n">
        <f aca="false">2_Matriz_decision!A166</f>
        <v>162</v>
      </c>
      <c r="B167" s="16" t="n">
        <f aca="false">2_Matriz_decision!B166</f>
        <v>16.446</v>
      </c>
      <c r="C167" s="21" t="n">
        <f aca="false">2_Matriz_decision!C166/C$5</f>
        <v>0.0439697451539424</v>
      </c>
      <c r="D167" s="21" t="n">
        <f aca="false">2_Matriz_decision!D166/D$5</f>
        <v>0.0334918645582358</v>
      </c>
      <c r="E167" s="21" t="n">
        <f aca="false">2_Matriz_decision!E166/E$5</f>
        <v>0.0400721949850431</v>
      </c>
      <c r="F167" s="21" t="n">
        <f aca="false">2_Matriz_decision!F166/F$5</f>
        <v>0.0494057638940627</v>
      </c>
      <c r="G167" s="21" t="n">
        <f aca="false">2_Matriz_decision!G166/G$5</f>
        <v>0.0411149420220302</v>
      </c>
      <c r="H167" s="21" t="n">
        <f aca="false">2_Matriz_decision!H166/H$5</f>
        <v>0.0512357545379014</v>
      </c>
      <c r="I167" s="21" t="n">
        <f aca="false">2_Matriz_decision!I166/I$5</f>
        <v>0.0148184741491462</v>
      </c>
      <c r="J167" s="21" t="n">
        <f aca="false">2_Matriz_decision!J166/J$5</f>
        <v>0.0469323254463932</v>
      </c>
      <c r="K167" s="21" t="n">
        <f aca="false">2_Matriz_decision!K166/K$5</f>
        <v>0.039014903418414</v>
      </c>
      <c r="L167" s="21" t="n">
        <f aca="false">2_Matriz_decision!L166/L$5</f>
        <v>0.0482840739944806</v>
      </c>
      <c r="M167" s="21" t="n">
        <f aca="false">2_Matriz_decision!M166/M$5</f>
        <v>0.0220939003880161</v>
      </c>
      <c r="N167" s="21" t="n">
        <f aca="false">2_Matriz_decision!N166/N$5</f>
        <v>0.0112098043469034</v>
      </c>
      <c r="O167" s="21" t="n">
        <f aca="false">2_Matriz_decision!O166/O$5</f>
        <v>0.0304431282773992</v>
      </c>
      <c r="P167" s="21" t="n">
        <f aca="false">2_Matriz_decision!P166/P$5</f>
        <v>0.0264720767589686</v>
      </c>
      <c r="Q167" s="21" t="n">
        <f aca="false">2_Matriz_decision!Q166/Q$5</f>
        <v>0.066946942810462</v>
      </c>
    </row>
    <row r="168" customFormat="false" ht="15" hidden="false" customHeight="false" outlineLevel="0" collapsed="false">
      <c r="A168" s="15" t="n">
        <f aca="false">2_Matriz_decision!A167</f>
        <v>163</v>
      </c>
      <c r="B168" s="16" t="n">
        <f aca="false">2_Matriz_decision!B167</f>
        <v>16.544</v>
      </c>
      <c r="C168" s="21" t="n">
        <f aca="false">2_Matriz_decision!C167/C$5</f>
        <v>0.0439697451539424</v>
      </c>
      <c r="D168" s="21" t="n">
        <f aca="false">2_Matriz_decision!D167/D$5</f>
        <v>0.0334918645582358</v>
      </c>
      <c r="E168" s="21" t="n">
        <f aca="false">2_Matriz_decision!E167/E$5</f>
        <v>0.0400721949850431</v>
      </c>
      <c r="F168" s="21" t="n">
        <f aca="false">2_Matriz_decision!F167/F$5</f>
        <v>0.0494057638940627</v>
      </c>
      <c r="G168" s="21" t="n">
        <f aca="false">2_Matriz_decision!G167/G$5</f>
        <v>0.0411149420220302</v>
      </c>
      <c r="H168" s="21" t="n">
        <f aca="false">2_Matriz_decision!H167/H$5</f>
        <v>0.0512357545379014</v>
      </c>
      <c r="I168" s="21" t="n">
        <f aca="false">2_Matriz_decision!I167/I$5</f>
        <v>0.0148184741491462</v>
      </c>
      <c r="J168" s="21" t="n">
        <f aca="false">2_Matriz_decision!J167/J$5</f>
        <v>0.0469323254463932</v>
      </c>
      <c r="K168" s="21" t="n">
        <f aca="false">2_Matriz_decision!K167/K$5</f>
        <v>0.039014903418414</v>
      </c>
      <c r="L168" s="21" t="n">
        <f aca="false">2_Matriz_decision!L167/L$5</f>
        <v>0.0410100401387626</v>
      </c>
      <c r="M168" s="21" t="n">
        <f aca="false">2_Matriz_decision!M167/M$5</f>
        <v>0.0255184549481586</v>
      </c>
      <c r="N168" s="21" t="n">
        <f aca="false">2_Matriz_decision!N167/N$5</f>
        <v>0.0112098043469034</v>
      </c>
      <c r="O168" s="21" t="n">
        <f aca="false">2_Matriz_decision!O167/O$5</f>
        <v>0.0304431282773992</v>
      </c>
      <c r="P168" s="21" t="n">
        <f aca="false">2_Matriz_decision!P167/P$5</f>
        <v>0.0264720767589686</v>
      </c>
      <c r="Q168" s="21" t="n">
        <f aca="false">2_Matriz_decision!Q167/Q$5</f>
        <v>0.066946942810462</v>
      </c>
    </row>
    <row r="169" customFormat="false" ht="15" hidden="false" customHeight="false" outlineLevel="0" collapsed="false">
      <c r="A169" s="15" t="n">
        <f aca="false">2_Matriz_decision!A168</f>
        <v>164</v>
      </c>
      <c r="B169" s="16" t="n">
        <f aca="false">2_Matriz_decision!B168</f>
        <v>16.643</v>
      </c>
      <c r="C169" s="21" t="n">
        <f aca="false">2_Matriz_decision!C168/C$5</f>
        <v>0.0439697451539424</v>
      </c>
      <c r="D169" s="21" t="n">
        <f aca="false">2_Matriz_decision!D168/D$5</f>
        <v>0.0334918645582358</v>
      </c>
      <c r="E169" s="21" t="n">
        <f aca="false">2_Matriz_decision!E168/E$5</f>
        <v>0.0400721949850431</v>
      </c>
      <c r="F169" s="21" t="n">
        <f aca="false">2_Matriz_decision!F168/F$5</f>
        <v>0.0494057638940627</v>
      </c>
      <c r="G169" s="21" t="n">
        <f aca="false">2_Matriz_decision!G168/G$5</f>
        <v>0.0411149420220302</v>
      </c>
      <c r="H169" s="21" t="n">
        <f aca="false">2_Matriz_decision!H168/H$5</f>
        <v>0.0512357545379014</v>
      </c>
      <c r="I169" s="21" t="n">
        <f aca="false">2_Matriz_decision!I168/I$5</f>
        <v>0.0296369482982925</v>
      </c>
      <c r="J169" s="21" t="n">
        <f aca="false">2_Matriz_decision!J168/J$5</f>
        <v>0.0469323254463932</v>
      </c>
      <c r="K169" s="21" t="n">
        <f aca="false">2_Matriz_decision!K168/K$5</f>
        <v>0.039014903418414</v>
      </c>
      <c r="L169" s="21" t="n">
        <f aca="false">2_Matriz_decision!L168/L$5</f>
        <v>0.0196158229160629</v>
      </c>
      <c r="M169" s="21" t="n">
        <f aca="false">2_Matriz_decision!M168/M$5</f>
        <v>0.0378799922152536</v>
      </c>
      <c r="N169" s="21" t="n">
        <f aca="false">2_Matriz_decision!N168/N$5</f>
        <v>0.0112098043469034</v>
      </c>
      <c r="O169" s="21" t="n">
        <f aca="false">2_Matriz_decision!O168/O$5</f>
        <v>0.0304431282773992</v>
      </c>
      <c r="P169" s="21" t="n">
        <f aca="false">2_Matriz_decision!P168/P$5</f>
        <v>0.0264720767589686</v>
      </c>
      <c r="Q169" s="21" t="n">
        <f aca="false">2_Matriz_decision!Q168/Q$5</f>
        <v>0.0535575542483696</v>
      </c>
    </row>
    <row r="170" customFormat="false" ht="15" hidden="false" customHeight="false" outlineLevel="0" collapsed="false">
      <c r="A170" s="15" t="n">
        <f aca="false">2_Matriz_decision!A169</f>
        <v>165</v>
      </c>
      <c r="B170" s="16" t="n">
        <f aca="false">2_Matriz_decision!B169</f>
        <v>16.743</v>
      </c>
      <c r="C170" s="21" t="n">
        <f aca="false">2_Matriz_decision!C169/C$5</f>
        <v>0.0439697451539424</v>
      </c>
      <c r="D170" s="21" t="n">
        <f aca="false">2_Matriz_decision!D169/D$5</f>
        <v>0.0334918645582358</v>
      </c>
      <c r="E170" s="21" t="n">
        <f aca="false">2_Matriz_decision!E169/E$5</f>
        <v>0.0500902437313038</v>
      </c>
      <c r="F170" s="21" t="n">
        <f aca="false">2_Matriz_decision!F169/F$5</f>
        <v>0.0494057638940627</v>
      </c>
      <c r="G170" s="21" t="n">
        <f aca="false">2_Matriz_decision!G169/G$5</f>
        <v>0.0411149420220302</v>
      </c>
      <c r="H170" s="21" t="n">
        <f aca="false">2_Matriz_decision!H169/H$5</f>
        <v>0.0512357545379014</v>
      </c>
      <c r="I170" s="21" t="n">
        <f aca="false">2_Matriz_decision!I169/I$5</f>
        <v>0.0740923707457312</v>
      </c>
      <c r="J170" s="21" t="n">
        <f aca="false">2_Matriz_decision!J169/J$5</f>
        <v>0.0469323254463932</v>
      </c>
      <c r="K170" s="21" t="n">
        <f aca="false">2_Matriz_decision!K169/K$5</f>
        <v>0.039014903418414</v>
      </c>
      <c r="L170" s="21" t="n">
        <f aca="false">2_Matriz_decision!L169/L$5</f>
        <v>0.0149759520558898</v>
      </c>
      <c r="M170" s="21" t="n">
        <f aca="false">2_Matriz_decision!M169/M$5</f>
        <v>0.0441878007760322</v>
      </c>
      <c r="N170" s="21" t="n">
        <f aca="false">2_Matriz_decision!N169/N$5</f>
        <v>0.0112098043469034</v>
      </c>
      <c r="O170" s="21" t="n">
        <f aca="false">2_Matriz_decision!O169/O$5</f>
        <v>0.0304431282773992</v>
      </c>
      <c r="P170" s="21" t="n">
        <f aca="false">2_Matriz_decision!P169/P$5</f>
        <v>0.0264720767589686</v>
      </c>
      <c r="Q170" s="21" t="n">
        <f aca="false">2_Matriz_decision!Q169/Q$5</f>
        <v>0.0133893885620924</v>
      </c>
    </row>
    <row r="171" customFormat="false" ht="15" hidden="false" customHeight="false" outlineLevel="0" collapsed="false">
      <c r="A171" s="15" t="n">
        <f aca="false">2_Matriz_decision!A170</f>
        <v>166</v>
      </c>
      <c r="B171" s="16" t="n">
        <f aca="false">2_Matriz_decision!B170</f>
        <v>16.844</v>
      </c>
      <c r="C171" s="21" t="n">
        <f aca="false">2_Matriz_decision!C170/C$5</f>
        <v>0.0439697451539424</v>
      </c>
      <c r="D171" s="21" t="n">
        <f aca="false">2_Matriz_decision!D170/D$5</f>
        <v>0.0334918645582358</v>
      </c>
      <c r="E171" s="21" t="n">
        <f aca="false">2_Matriz_decision!E170/E$5</f>
        <v>0.0500902437313038</v>
      </c>
      <c r="F171" s="21" t="n">
        <f aca="false">2_Matriz_decision!F170/F$5</f>
        <v>0.0494057638940627</v>
      </c>
      <c r="G171" s="21" t="n">
        <f aca="false">2_Matriz_decision!G170/G$5</f>
        <v>0.0411149420220302</v>
      </c>
      <c r="H171" s="21" t="n">
        <f aca="false">2_Matriz_decision!H170/H$5</f>
        <v>0.0512357545379014</v>
      </c>
      <c r="I171" s="21" t="n">
        <f aca="false">2_Matriz_decision!I170/I$5</f>
        <v>0.0740923707457312</v>
      </c>
      <c r="J171" s="21" t="n">
        <f aca="false">2_Matriz_decision!J170/J$5</f>
        <v>0.0469323254463932</v>
      </c>
      <c r="K171" s="21" t="n">
        <f aca="false">2_Matriz_decision!K170/K$5</f>
        <v>0.039014903418414</v>
      </c>
      <c r="L171" s="21" t="n">
        <f aca="false">2_Matriz_decision!L170/L$5</f>
        <v>0.02155467385187</v>
      </c>
      <c r="M171" s="21" t="n">
        <f aca="false">2_Matriz_decision!M170/M$5</f>
        <v>0.0406859175645317</v>
      </c>
      <c r="N171" s="21" t="n">
        <f aca="false">2_Matriz_decision!N170/N$5</f>
        <v>0.0112098043469034</v>
      </c>
      <c r="O171" s="21" t="n">
        <f aca="false">2_Matriz_decision!O170/O$5</f>
        <v>0.0304431282773992</v>
      </c>
      <c r="P171" s="21" t="n">
        <f aca="false">2_Matriz_decision!P170/P$5</f>
        <v>0.0264720767589686</v>
      </c>
      <c r="Q171" s="21" t="n">
        <f aca="false">2_Matriz_decision!Q170/Q$5</f>
        <v>0.0133893885620924</v>
      </c>
    </row>
    <row r="172" customFormat="false" ht="15" hidden="false" customHeight="false" outlineLevel="0" collapsed="false">
      <c r="A172" s="15" t="n">
        <f aca="false">2_Matriz_decision!A171</f>
        <v>167</v>
      </c>
      <c r="B172" s="16" t="n">
        <f aca="false">2_Matriz_decision!B171</f>
        <v>16.944</v>
      </c>
      <c r="C172" s="21" t="n">
        <f aca="false">2_Matriz_decision!C171/C$5</f>
        <v>0.0439697451539424</v>
      </c>
      <c r="D172" s="21" t="n">
        <f aca="false">2_Matriz_decision!D171/D$5</f>
        <v>0.0334918645582358</v>
      </c>
      <c r="E172" s="21" t="n">
        <f aca="false">2_Matriz_decision!E171/E$5</f>
        <v>0.0500902437313038</v>
      </c>
      <c r="F172" s="21" t="n">
        <f aca="false">2_Matriz_decision!F171/F$5</f>
        <v>0.0494057638940627</v>
      </c>
      <c r="G172" s="21" t="n">
        <f aca="false">2_Matriz_decision!G171/G$5</f>
        <v>0.0411149420220302</v>
      </c>
      <c r="H172" s="21" t="n">
        <f aca="false">2_Matriz_decision!H171/H$5</f>
        <v>0.0512357545379014</v>
      </c>
      <c r="I172" s="21" t="n">
        <f aca="false">2_Matriz_decision!I171/I$5</f>
        <v>0.0740923707457312</v>
      </c>
      <c r="J172" s="21" t="n">
        <f aca="false">2_Matriz_decision!J171/J$5</f>
        <v>0.0469323254463932</v>
      </c>
      <c r="K172" s="21" t="n">
        <f aca="false">2_Matriz_decision!K171/K$5</f>
        <v>0.039014903418414</v>
      </c>
      <c r="L172" s="21" t="n">
        <f aca="false">2_Matriz_decision!L171/L$5</f>
        <v>0.0284676802919549</v>
      </c>
      <c r="M172" s="21" t="n">
        <f aca="false">2_Matriz_decision!M171/M$5</f>
        <v>0.0353723345212138</v>
      </c>
      <c r="N172" s="21" t="n">
        <f aca="false">2_Matriz_decision!N171/N$5</f>
        <v>0.0112098043469034</v>
      </c>
      <c r="O172" s="21" t="n">
        <f aca="false">2_Matriz_decision!O171/O$5</f>
        <v>0.0304431282773992</v>
      </c>
      <c r="P172" s="21" t="n">
        <f aca="false">2_Matriz_decision!P171/P$5</f>
        <v>0.0264720767589686</v>
      </c>
      <c r="Q172" s="21" t="n">
        <f aca="false">2_Matriz_decision!Q171/Q$5</f>
        <v>0.0133893885620924</v>
      </c>
    </row>
    <row r="173" customFormat="false" ht="15" hidden="false" customHeight="false" outlineLevel="0" collapsed="false">
      <c r="A173" s="15" t="n">
        <f aca="false">2_Matriz_decision!A172</f>
        <v>168</v>
      </c>
      <c r="B173" s="16" t="n">
        <f aca="false">2_Matriz_decision!B172</f>
        <v>17.045</v>
      </c>
      <c r="C173" s="21" t="n">
        <f aca="false">2_Matriz_decision!C172/C$5</f>
        <v>0.0439697451539424</v>
      </c>
      <c r="D173" s="21" t="n">
        <f aca="false">2_Matriz_decision!D172/D$5</f>
        <v>0.0334918645582358</v>
      </c>
      <c r="E173" s="21" t="n">
        <f aca="false">2_Matriz_decision!E172/E$5</f>
        <v>0.0500902437313038</v>
      </c>
      <c r="F173" s="21" t="n">
        <f aca="false">2_Matriz_decision!F172/F$5</f>
        <v>0.0494057638940627</v>
      </c>
      <c r="G173" s="21" t="n">
        <f aca="false">2_Matriz_decision!G172/G$5</f>
        <v>0.0411149420220302</v>
      </c>
      <c r="H173" s="21" t="n">
        <f aca="false">2_Matriz_decision!H172/H$5</f>
        <v>0.0512357545379014</v>
      </c>
      <c r="I173" s="21" t="n">
        <f aca="false">2_Matriz_decision!I172/I$5</f>
        <v>0.0740923707457312</v>
      </c>
      <c r="J173" s="21" t="n">
        <f aca="false">2_Matriz_decision!J172/J$5</f>
        <v>0.0469323254463932</v>
      </c>
      <c r="K173" s="21" t="n">
        <f aca="false">2_Matriz_decision!K172/K$5</f>
        <v>0.039014903418414</v>
      </c>
      <c r="L173" s="21" t="n">
        <f aca="false">2_Matriz_decision!L172/L$5</f>
        <v>0.03496617377335</v>
      </c>
      <c r="M173" s="21" t="n">
        <f aca="false">2_Matriz_decision!M172/M$5</f>
        <v>0.0322018598155335</v>
      </c>
      <c r="N173" s="21" t="n">
        <f aca="false">2_Matriz_decision!N172/N$5</f>
        <v>0.0112098043469034</v>
      </c>
      <c r="O173" s="21" t="n">
        <f aca="false">2_Matriz_decision!O172/O$5</f>
        <v>0.0304431282773992</v>
      </c>
      <c r="P173" s="21" t="n">
        <f aca="false">2_Matriz_decision!P172/P$5</f>
        <v>0.0264720767589686</v>
      </c>
      <c r="Q173" s="21" t="n">
        <f aca="false">2_Matriz_decision!Q172/Q$5</f>
        <v>0.0267787771241848</v>
      </c>
    </row>
    <row r="174" customFormat="false" ht="15" hidden="false" customHeight="false" outlineLevel="0" collapsed="false">
      <c r="A174" s="15" t="n">
        <f aca="false">2_Matriz_decision!A173</f>
        <v>169</v>
      </c>
      <c r="B174" s="16" t="n">
        <f aca="false">2_Matriz_decision!B173</f>
        <v>17.145</v>
      </c>
      <c r="C174" s="21" t="n">
        <f aca="false">2_Matriz_decision!C173/C$5</f>
        <v>0.0439697451539424</v>
      </c>
      <c r="D174" s="21" t="n">
        <f aca="false">2_Matriz_decision!D173/D$5</f>
        <v>0.0334918645582358</v>
      </c>
      <c r="E174" s="21" t="n">
        <f aca="false">2_Matriz_decision!E173/E$5</f>
        <v>0.0500902437313038</v>
      </c>
      <c r="F174" s="21" t="n">
        <f aca="false">2_Matriz_decision!F173/F$5</f>
        <v>0.0494057638940627</v>
      </c>
      <c r="G174" s="21" t="n">
        <f aca="false">2_Matriz_decision!G173/G$5</f>
        <v>0.0411149420220302</v>
      </c>
      <c r="H174" s="21" t="n">
        <f aca="false">2_Matriz_decision!H173/H$5</f>
        <v>0.0512357545379014</v>
      </c>
      <c r="I174" s="21" t="n">
        <f aca="false">2_Matriz_decision!I173/I$5</f>
        <v>0.0740923707457312</v>
      </c>
      <c r="J174" s="21" t="n">
        <f aca="false">2_Matriz_decision!J173/J$5</f>
        <v>0.0469323254463932</v>
      </c>
      <c r="K174" s="21" t="n">
        <f aca="false">2_Matriz_decision!K173/K$5</f>
        <v>0.039014903418414</v>
      </c>
      <c r="L174" s="21" t="n">
        <f aca="false">2_Matriz_decision!L173/L$5</f>
        <v>0.0390444464314271</v>
      </c>
      <c r="M174" s="21" t="n">
        <f aca="false">2_Matriz_decision!M173/M$5</f>
        <v>0.0317489348575792</v>
      </c>
      <c r="N174" s="21" t="n">
        <f aca="false">2_Matriz_decision!N173/N$5</f>
        <v>0.0112098043469034</v>
      </c>
      <c r="O174" s="21" t="n">
        <f aca="false">2_Matriz_decision!O173/O$5</f>
        <v>0.0304431282773992</v>
      </c>
      <c r="P174" s="21" t="n">
        <f aca="false">2_Matriz_decision!P173/P$5</f>
        <v>0.0264720767589686</v>
      </c>
      <c r="Q174" s="21" t="n">
        <f aca="false">2_Matriz_decision!Q173/Q$5</f>
        <v>0.0401681656862772</v>
      </c>
    </row>
    <row r="175" customFormat="false" ht="15" hidden="false" customHeight="false" outlineLevel="0" collapsed="false">
      <c r="A175" s="15" t="n">
        <f aca="false">2_Matriz_decision!A174</f>
        <v>170</v>
      </c>
      <c r="B175" s="16" t="n">
        <f aca="false">2_Matriz_decision!B174</f>
        <v>17.245</v>
      </c>
      <c r="C175" s="21" t="n">
        <f aca="false">2_Matriz_decision!C174/C$5</f>
        <v>0.0439697451539424</v>
      </c>
      <c r="D175" s="21" t="n">
        <f aca="false">2_Matriz_decision!D174/D$5</f>
        <v>0.0334918645582358</v>
      </c>
      <c r="E175" s="21" t="n">
        <f aca="false">2_Matriz_decision!E174/E$5</f>
        <v>0.0500902437313038</v>
      </c>
      <c r="F175" s="21" t="n">
        <f aca="false">2_Matriz_decision!F174/F$5</f>
        <v>0.0494057638940627</v>
      </c>
      <c r="G175" s="21" t="n">
        <f aca="false">2_Matriz_decision!G174/G$5</f>
        <v>0.0411149420220302</v>
      </c>
      <c r="H175" s="21" t="n">
        <f aca="false">2_Matriz_decision!H174/H$5</f>
        <v>0.0512357545379014</v>
      </c>
      <c r="I175" s="21" t="n">
        <f aca="false">2_Matriz_decision!I174/I$5</f>
        <v>0.0740923707457312</v>
      </c>
      <c r="J175" s="21" t="n">
        <f aca="false">2_Matriz_decision!J174/J$5</f>
        <v>0.0469323254463932</v>
      </c>
      <c r="K175" s="21" t="n">
        <f aca="false">2_Matriz_decision!K174/K$5</f>
        <v>0.039014903418414</v>
      </c>
      <c r="L175" s="21" t="n">
        <f aca="false">2_Matriz_decision!L174/L$5</f>
        <v>0.0377607933980651</v>
      </c>
      <c r="M175" s="21" t="n">
        <f aca="false">2_Matriz_decision!M174/M$5</f>
        <v>0.0330193341298901</v>
      </c>
      <c r="N175" s="21" t="n">
        <f aca="false">2_Matriz_decision!N174/N$5</f>
        <v>0.0112098043469034</v>
      </c>
      <c r="O175" s="21" t="n">
        <f aca="false">2_Matriz_decision!O174/O$5</f>
        <v>0.0304431282773992</v>
      </c>
      <c r="P175" s="21" t="n">
        <f aca="false">2_Matriz_decision!P174/P$5</f>
        <v>0.0264720767589686</v>
      </c>
      <c r="Q175" s="21" t="n">
        <f aca="false">2_Matriz_decision!Q174/Q$5</f>
        <v>0.0535575542483696</v>
      </c>
    </row>
    <row r="176" customFormat="false" ht="15" hidden="false" customHeight="false" outlineLevel="0" collapsed="false">
      <c r="A176" s="15" t="n">
        <f aca="false">2_Matriz_decision!A175</f>
        <v>171</v>
      </c>
      <c r="B176" s="16" t="n">
        <f aca="false">2_Matriz_decision!B175</f>
        <v>17.345</v>
      </c>
      <c r="C176" s="21" t="n">
        <f aca="false">2_Matriz_decision!C175/C$5</f>
        <v>0.0439697451539424</v>
      </c>
      <c r="D176" s="21" t="n">
        <f aca="false">2_Matriz_decision!D175/D$5</f>
        <v>0.0334918645582358</v>
      </c>
      <c r="E176" s="21" t="n">
        <f aca="false">2_Matriz_decision!E175/E$5</f>
        <v>0.0500902437313038</v>
      </c>
      <c r="F176" s="21" t="n">
        <f aca="false">2_Matriz_decision!F175/F$5</f>
        <v>0.0494057638940627</v>
      </c>
      <c r="G176" s="21" t="n">
        <f aca="false">2_Matriz_decision!G175/G$5</f>
        <v>0.0411149420220302</v>
      </c>
      <c r="H176" s="21" t="n">
        <f aca="false">2_Matriz_decision!H175/H$5</f>
        <v>0.0512357545379014</v>
      </c>
      <c r="I176" s="21" t="n">
        <f aca="false">2_Matriz_decision!I175/I$5</f>
        <v>0.0740923707457312</v>
      </c>
      <c r="J176" s="21" t="n">
        <f aca="false">2_Matriz_decision!J175/J$5</f>
        <v>0.0469323254463932</v>
      </c>
      <c r="K176" s="21" t="n">
        <f aca="false">2_Matriz_decision!K175/K$5</f>
        <v>0.039014903418414</v>
      </c>
      <c r="L176" s="21" t="n">
        <f aca="false">2_Matriz_decision!L175/L$5</f>
        <v>0.0362765695782403</v>
      </c>
      <c r="M176" s="21" t="n">
        <f aca="false">2_Matriz_decision!M175/M$5</f>
        <v>0.0320582494630114</v>
      </c>
      <c r="N176" s="21" t="n">
        <f aca="false">2_Matriz_decision!N175/N$5</f>
        <v>0.0112098043469034</v>
      </c>
      <c r="O176" s="21" t="n">
        <f aca="false">2_Matriz_decision!O175/O$5</f>
        <v>0.0304431282773992</v>
      </c>
      <c r="P176" s="21" t="n">
        <f aca="false">2_Matriz_decision!P175/P$5</f>
        <v>0.0264720767589686</v>
      </c>
      <c r="Q176" s="21" t="n">
        <f aca="false">2_Matriz_decision!Q175/Q$5</f>
        <v>0.066946942810462</v>
      </c>
    </row>
    <row r="177" customFormat="false" ht="15" hidden="false" customHeight="false" outlineLevel="0" collapsed="false">
      <c r="A177" s="15" t="n">
        <f aca="false">2_Matriz_decision!A176</f>
        <v>172</v>
      </c>
      <c r="B177" s="16" t="n">
        <f aca="false">2_Matriz_decision!B176</f>
        <v>17.445</v>
      </c>
      <c r="C177" s="21" t="n">
        <f aca="false">2_Matriz_decision!C176/C$5</f>
        <v>0.0439697451539424</v>
      </c>
      <c r="D177" s="21" t="n">
        <f aca="false">2_Matriz_decision!D176/D$5</f>
        <v>0.0334918645582358</v>
      </c>
      <c r="E177" s="21" t="n">
        <f aca="false">2_Matriz_decision!E176/E$5</f>
        <v>0.0500902437313038</v>
      </c>
      <c r="F177" s="21" t="n">
        <f aca="false">2_Matriz_decision!F176/F$5</f>
        <v>0.0494057638940627</v>
      </c>
      <c r="G177" s="21" t="n">
        <f aca="false">2_Matriz_decision!G176/G$5</f>
        <v>0.0411149420220302</v>
      </c>
      <c r="H177" s="21" t="n">
        <f aca="false">2_Matriz_decision!H176/H$5</f>
        <v>0.0512357545379014</v>
      </c>
      <c r="I177" s="21" t="n">
        <f aca="false">2_Matriz_decision!I176/I$5</f>
        <v>0.0740923707457312</v>
      </c>
      <c r="J177" s="21" t="n">
        <f aca="false">2_Matriz_decision!J176/J$5</f>
        <v>0.0469323254463932</v>
      </c>
      <c r="K177" s="21" t="n">
        <f aca="false">2_Matriz_decision!K176/K$5</f>
        <v>0.039014903418414</v>
      </c>
      <c r="L177" s="21" t="n">
        <f aca="false">2_Matriz_decision!L176/L$5</f>
        <v>0.039606044633523</v>
      </c>
      <c r="M177" s="21" t="n">
        <f aca="false">2_Matriz_decision!M176/M$5</f>
        <v>0.0291970893627633</v>
      </c>
      <c r="N177" s="21" t="n">
        <f aca="false">2_Matriz_decision!N176/N$5</f>
        <v>0.0112098043469034</v>
      </c>
      <c r="O177" s="21" t="n">
        <f aca="false">2_Matriz_decision!O176/O$5</f>
        <v>0.0304431282773992</v>
      </c>
      <c r="P177" s="21" t="n">
        <f aca="false">2_Matriz_decision!P176/P$5</f>
        <v>0.0264720767589686</v>
      </c>
      <c r="Q177" s="21" t="n">
        <f aca="false">2_Matriz_decision!Q176/Q$5</f>
        <v>0.066946942810462</v>
      </c>
    </row>
    <row r="178" customFormat="false" ht="15" hidden="false" customHeight="false" outlineLevel="0" collapsed="false">
      <c r="A178" s="15" t="n">
        <f aca="false">2_Matriz_decision!A177</f>
        <v>173</v>
      </c>
      <c r="B178" s="16" t="n">
        <f aca="false">2_Matriz_decision!B177</f>
        <v>17.546</v>
      </c>
      <c r="C178" s="21" t="n">
        <f aca="false">2_Matriz_decision!C177/C$5</f>
        <v>0.0439697451539424</v>
      </c>
      <c r="D178" s="21" t="n">
        <f aca="false">2_Matriz_decision!D177/D$5</f>
        <v>0.0334918645582358</v>
      </c>
      <c r="E178" s="21" t="n">
        <f aca="false">2_Matriz_decision!E177/E$5</f>
        <v>0.0500902437313038</v>
      </c>
      <c r="F178" s="21" t="n">
        <f aca="false">2_Matriz_decision!F177/F$5</f>
        <v>0.0494057638940627</v>
      </c>
      <c r="G178" s="21" t="n">
        <f aca="false">2_Matriz_decision!G177/G$5</f>
        <v>0.0411149420220302</v>
      </c>
      <c r="H178" s="21" t="n">
        <f aca="false">2_Matriz_decision!H177/H$5</f>
        <v>0.0512357545379014</v>
      </c>
      <c r="I178" s="21" t="n">
        <f aca="false">2_Matriz_decision!I177/I$5</f>
        <v>0.0592738965965849</v>
      </c>
      <c r="J178" s="21" t="n">
        <f aca="false">2_Matriz_decision!J177/J$5</f>
        <v>0.0469323254463932</v>
      </c>
      <c r="K178" s="21" t="n">
        <f aca="false">2_Matriz_decision!K177/K$5</f>
        <v>0.039014903418414</v>
      </c>
      <c r="L178" s="21" t="n">
        <f aca="false">2_Matriz_decision!L177/L$5</f>
        <v>0.0414111817116883</v>
      </c>
      <c r="M178" s="21" t="n">
        <f aca="false">2_Matriz_decision!M177/M$5</f>
        <v>0.0277720327877363</v>
      </c>
      <c r="N178" s="21" t="n">
        <f aca="false">2_Matriz_decision!N177/N$5</f>
        <v>0.0112098043469034</v>
      </c>
      <c r="O178" s="21" t="n">
        <f aca="false">2_Matriz_decision!O177/O$5</f>
        <v>0.0304431282773992</v>
      </c>
      <c r="P178" s="21" t="n">
        <f aca="false">2_Matriz_decision!P177/P$5</f>
        <v>0.0264720767589686</v>
      </c>
      <c r="Q178" s="21" t="n">
        <f aca="false">2_Matriz_decision!Q177/Q$5</f>
        <v>0.066946942810462</v>
      </c>
    </row>
    <row r="179" customFormat="false" ht="15" hidden="false" customHeight="false" outlineLevel="0" collapsed="false">
      <c r="A179" s="15" t="n">
        <f aca="false">2_Matriz_decision!A178</f>
        <v>174</v>
      </c>
      <c r="B179" s="16" t="n">
        <f aca="false">2_Matriz_decision!B178</f>
        <v>17.646</v>
      </c>
      <c r="C179" s="21" t="n">
        <f aca="false">2_Matriz_decision!C178/C$5</f>
        <v>0.0439697451539424</v>
      </c>
      <c r="D179" s="21" t="n">
        <f aca="false">2_Matriz_decision!D178/D$5</f>
        <v>0.0334918645582358</v>
      </c>
      <c r="E179" s="21" t="n">
        <f aca="false">2_Matriz_decision!E178/E$5</f>
        <v>0.0500902437313038</v>
      </c>
      <c r="F179" s="21" t="n">
        <f aca="false">2_Matriz_decision!F178/F$5</f>
        <v>0.0494057638940627</v>
      </c>
      <c r="G179" s="21" t="n">
        <f aca="false">2_Matriz_decision!G178/G$5</f>
        <v>0.0411149420220302</v>
      </c>
      <c r="H179" s="21" t="n">
        <f aca="false">2_Matriz_decision!H178/H$5</f>
        <v>0.0512357545379014</v>
      </c>
      <c r="I179" s="21" t="n">
        <f aca="false">2_Matriz_decision!I178/I$5</f>
        <v>0.0592738965965849</v>
      </c>
      <c r="J179" s="21" t="n">
        <f aca="false">2_Matriz_decision!J178/J$5</f>
        <v>0.0469323254463932</v>
      </c>
      <c r="K179" s="21" t="n">
        <f aca="false">2_Matriz_decision!K178/K$5</f>
        <v>0.039014903418414</v>
      </c>
      <c r="L179" s="21" t="n">
        <f aca="false">2_Matriz_decision!L178/L$5</f>
        <v>0.0447673995384993</v>
      </c>
      <c r="M179" s="21" t="n">
        <f aca="false">2_Matriz_decision!M178/M$5</f>
        <v>0.0251097177909803</v>
      </c>
      <c r="N179" s="21" t="n">
        <f aca="false">2_Matriz_decision!N178/N$5</f>
        <v>0.0112098043469034</v>
      </c>
      <c r="O179" s="21" t="n">
        <f aca="false">2_Matriz_decision!O178/O$5</f>
        <v>0.0304431282773992</v>
      </c>
      <c r="P179" s="21" t="n">
        <f aca="false">2_Matriz_decision!P178/P$5</f>
        <v>0.0264720767589686</v>
      </c>
      <c r="Q179" s="21" t="n">
        <f aca="false">2_Matriz_decision!Q178/Q$5</f>
        <v>0.066946942810462</v>
      </c>
    </row>
    <row r="180" customFormat="false" ht="15" hidden="false" customHeight="false" outlineLevel="0" collapsed="false">
      <c r="A180" s="15" t="n">
        <f aca="false">2_Matriz_decision!A179</f>
        <v>175</v>
      </c>
      <c r="B180" s="16" t="n">
        <f aca="false">2_Matriz_decision!B179</f>
        <v>17.746</v>
      </c>
      <c r="C180" s="21" t="n">
        <f aca="false">2_Matriz_decision!C179/C$5</f>
        <v>0.0439697451539424</v>
      </c>
      <c r="D180" s="21" t="n">
        <f aca="false">2_Matriz_decision!D179/D$5</f>
        <v>0.0334918645582358</v>
      </c>
      <c r="E180" s="21" t="n">
        <f aca="false">2_Matriz_decision!E179/E$5</f>
        <v>0.0500902437313038</v>
      </c>
      <c r="F180" s="21" t="n">
        <f aca="false">2_Matriz_decision!F179/F$5</f>
        <v>0.0395246111152501</v>
      </c>
      <c r="G180" s="21" t="n">
        <f aca="false">2_Matriz_decision!G179/G$5</f>
        <v>0.0411149420220302</v>
      </c>
      <c r="H180" s="21" t="n">
        <f aca="false">2_Matriz_decision!H179/H$5</f>
        <v>0.0512357545379014</v>
      </c>
      <c r="I180" s="21" t="n">
        <f aca="false">2_Matriz_decision!I179/I$5</f>
        <v>0.0740923707457312</v>
      </c>
      <c r="J180" s="21" t="n">
        <f aca="false">2_Matriz_decision!J179/J$5</f>
        <v>0.0469323254463932</v>
      </c>
      <c r="K180" s="21" t="n">
        <f aca="false">2_Matriz_decision!K179/K$5</f>
        <v>0.039014903418414</v>
      </c>
      <c r="L180" s="21" t="n">
        <f aca="false">2_Matriz_decision!L179/L$5</f>
        <v>0.0465591652309004</v>
      </c>
      <c r="M180" s="21" t="n">
        <f aca="false">2_Matriz_decision!M179/M$5</f>
        <v>0.0252091403427264</v>
      </c>
      <c r="N180" s="21" t="n">
        <f aca="false">2_Matriz_decision!N179/N$5</f>
        <v>0.0112098043469034</v>
      </c>
      <c r="O180" s="21" t="n">
        <f aca="false">2_Matriz_decision!O179/O$5</f>
        <v>0.0304431282773992</v>
      </c>
      <c r="P180" s="21" t="n">
        <f aca="false">2_Matriz_decision!P179/P$5</f>
        <v>0.0264720767589686</v>
      </c>
      <c r="Q180" s="21" t="n">
        <f aca="false">2_Matriz_decision!Q179/Q$5</f>
        <v>0.066946942810462</v>
      </c>
    </row>
    <row r="181" customFormat="false" ht="15" hidden="false" customHeight="false" outlineLevel="0" collapsed="false">
      <c r="A181" s="15" t="n">
        <f aca="false">2_Matriz_decision!A180</f>
        <v>176</v>
      </c>
      <c r="B181" s="16" t="n">
        <f aca="false">2_Matriz_decision!B180</f>
        <v>17.846</v>
      </c>
      <c r="C181" s="21" t="n">
        <f aca="false">2_Matriz_decision!C180/C$5</f>
        <v>0.0439697451539424</v>
      </c>
      <c r="D181" s="21" t="n">
        <f aca="false">2_Matriz_decision!D180/D$5</f>
        <v>0.0334918645582358</v>
      </c>
      <c r="E181" s="21" t="n">
        <f aca="false">2_Matriz_decision!E180/E$5</f>
        <v>0.0500902437313038</v>
      </c>
      <c r="F181" s="21" t="n">
        <f aca="false">2_Matriz_decision!F180/F$5</f>
        <v>0.0296434583364376</v>
      </c>
      <c r="G181" s="21" t="n">
        <f aca="false">2_Matriz_decision!G180/G$5</f>
        <v>0.0411149420220302</v>
      </c>
      <c r="H181" s="21" t="n">
        <f aca="false">2_Matriz_decision!H180/H$5</f>
        <v>0.0512357545379014</v>
      </c>
      <c r="I181" s="21" t="n">
        <f aca="false">2_Matriz_decision!I180/I$5</f>
        <v>0.0740923707457312</v>
      </c>
      <c r="J181" s="21" t="n">
        <f aca="false">2_Matriz_decision!J180/J$5</f>
        <v>0.0351992440847949</v>
      </c>
      <c r="K181" s="21" t="n">
        <f aca="false">2_Matriz_decision!K180/K$5</f>
        <v>0.039014903418414</v>
      </c>
      <c r="L181" s="21" t="n">
        <f aca="false">2_Matriz_decision!L180/L$5</f>
        <v>0.0476155047062712</v>
      </c>
      <c r="M181" s="21" t="n">
        <f aca="false">2_Matriz_decision!M180/M$5</f>
        <v>0.0230218442043128</v>
      </c>
      <c r="N181" s="21" t="n">
        <f aca="false">2_Matriz_decision!N180/N$5</f>
        <v>0.0112098043469034</v>
      </c>
      <c r="O181" s="21" t="n">
        <f aca="false">2_Matriz_decision!O180/O$5</f>
        <v>0.0304431282773992</v>
      </c>
      <c r="P181" s="21" t="n">
        <f aca="false">2_Matriz_decision!P180/P$5</f>
        <v>0.0264720767589686</v>
      </c>
      <c r="Q181" s="21" t="n">
        <f aca="false">2_Matriz_decision!Q180/Q$5</f>
        <v>0.066946942810462</v>
      </c>
    </row>
    <row r="182" customFormat="false" ht="15" hidden="false" customHeight="false" outlineLevel="0" collapsed="false">
      <c r="A182" s="15" t="n">
        <f aca="false">2_Matriz_decision!A181</f>
        <v>177</v>
      </c>
      <c r="B182" s="16" t="n">
        <f aca="false">2_Matriz_decision!B181</f>
        <v>17.946</v>
      </c>
      <c r="C182" s="21" t="n">
        <f aca="false">2_Matriz_decision!C181/C$5</f>
        <v>0.0439697451539424</v>
      </c>
      <c r="D182" s="21" t="n">
        <f aca="false">2_Matriz_decision!D181/D$5</f>
        <v>0.0334918645582358</v>
      </c>
      <c r="E182" s="21" t="n">
        <f aca="false">2_Matriz_decision!E181/E$5</f>
        <v>0.0500902437313038</v>
      </c>
      <c r="F182" s="21" t="n">
        <f aca="false">2_Matriz_decision!F181/F$5</f>
        <v>0.00988115277881254</v>
      </c>
      <c r="G182" s="21" t="n">
        <f aca="false">2_Matriz_decision!G181/G$5</f>
        <v>0.0411149420220302</v>
      </c>
      <c r="H182" s="21" t="n">
        <f aca="false">2_Matriz_decision!H181/H$5</f>
        <v>0.0512357545379014</v>
      </c>
      <c r="I182" s="21" t="n">
        <f aca="false">2_Matriz_decision!I181/I$5</f>
        <v>0.0592738965965849</v>
      </c>
      <c r="J182" s="21" t="n">
        <f aca="false">2_Matriz_decision!J181/J$5</f>
        <v>0.0351992440847949</v>
      </c>
      <c r="K182" s="21" t="n">
        <f aca="false">2_Matriz_decision!K181/K$5</f>
        <v>0.039014903418414</v>
      </c>
      <c r="L182" s="21" t="n">
        <f aca="false">2_Matriz_decision!L181/L$5</f>
        <v>0.0487788152677555</v>
      </c>
      <c r="M182" s="21" t="n">
        <f aca="false">2_Matriz_decision!M181/M$5</f>
        <v>0.0227898582502386</v>
      </c>
      <c r="N182" s="21" t="n">
        <f aca="false">2_Matriz_decision!N181/N$5</f>
        <v>0.0112098043469034</v>
      </c>
      <c r="O182" s="21" t="n">
        <f aca="false">2_Matriz_decision!O181/O$5</f>
        <v>0.0304431282773992</v>
      </c>
      <c r="P182" s="21" t="n">
        <f aca="false">2_Matriz_decision!P181/P$5</f>
        <v>0.0264720767589686</v>
      </c>
      <c r="Q182" s="21" t="n">
        <f aca="false">2_Matriz_decision!Q181/Q$5</f>
        <v>0.066946942810462</v>
      </c>
    </row>
    <row r="183" customFormat="false" ht="15" hidden="false" customHeight="false" outlineLevel="0" collapsed="false">
      <c r="A183" s="15" t="n">
        <f aca="false">2_Matriz_decision!A182</f>
        <v>178</v>
      </c>
      <c r="B183" s="16" t="n">
        <f aca="false">2_Matriz_decision!B182</f>
        <v>18.047</v>
      </c>
      <c r="C183" s="21" t="n">
        <f aca="false">2_Matriz_decision!C182/C$5</f>
        <v>0.0439697451539424</v>
      </c>
      <c r="D183" s="21" t="n">
        <f aca="false">2_Matriz_decision!D182/D$5</f>
        <v>0.0334918645582358</v>
      </c>
      <c r="E183" s="21" t="n">
        <f aca="false">2_Matriz_decision!E182/E$5</f>
        <v>0.0400721949850431</v>
      </c>
      <c r="F183" s="21" t="n">
        <f aca="false">2_Matriz_decision!F182/F$5</f>
        <v>0.0197623055576251</v>
      </c>
      <c r="G183" s="21" t="n">
        <f aca="false">2_Matriz_decision!G182/G$5</f>
        <v>0.0411149420220302</v>
      </c>
      <c r="H183" s="21" t="n">
        <f aca="false">2_Matriz_decision!H182/H$5</f>
        <v>0.0512357545379014</v>
      </c>
      <c r="I183" s="21" t="n">
        <f aca="false">2_Matriz_decision!I182/I$5</f>
        <v>0.0148184741491462</v>
      </c>
      <c r="J183" s="21" t="n">
        <f aca="false">2_Matriz_decision!J182/J$5</f>
        <v>0.0351992440847949</v>
      </c>
      <c r="K183" s="21" t="n">
        <f aca="false">2_Matriz_decision!K182/K$5</f>
        <v>0.039014903418414</v>
      </c>
      <c r="L183" s="21" t="n">
        <f aca="false">2_Matriz_decision!L182/L$5</f>
        <v>0.0505170954170998</v>
      </c>
      <c r="M183" s="21" t="n">
        <f aca="false">2_Matriz_decision!M182/M$5</f>
        <v>0.0240933983731316</v>
      </c>
      <c r="N183" s="21" t="n">
        <f aca="false">2_Matriz_decision!N182/N$5</f>
        <v>0.0112098043469034</v>
      </c>
      <c r="O183" s="21" t="n">
        <f aca="false">2_Matriz_decision!O182/O$5</f>
        <v>0.0304431282773992</v>
      </c>
      <c r="P183" s="21" t="n">
        <f aca="false">2_Matriz_decision!P182/P$5</f>
        <v>0.0264720767589686</v>
      </c>
      <c r="Q183" s="21" t="n">
        <f aca="false">2_Matriz_decision!Q182/Q$5</f>
        <v>0.0535575542483696</v>
      </c>
    </row>
    <row r="184" customFormat="false" ht="15" hidden="false" customHeight="false" outlineLevel="0" collapsed="false">
      <c r="A184" s="15" t="n">
        <f aca="false">2_Matriz_decision!A183</f>
        <v>179</v>
      </c>
      <c r="B184" s="16" t="n">
        <f aca="false">2_Matriz_decision!B183</f>
        <v>18.147</v>
      </c>
      <c r="C184" s="21" t="n">
        <f aca="false">2_Matriz_decision!C183/C$5</f>
        <v>0.0439697451539424</v>
      </c>
      <c r="D184" s="21" t="n">
        <f aca="false">2_Matriz_decision!D183/D$5</f>
        <v>0.0334918645582358</v>
      </c>
      <c r="E184" s="21" t="n">
        <f aca="false">2_Matriz_decision!E183/E$5</f>
        <v>0.0400721949850431</v>
      </c>
      <c r="F184" s="21" t="n">
        <f aca="false">2_Matriz_decision!F183/F$5</f>
        <v>0.0395246111152501</v>
      </c>
      <c r="G184" s="21" t="n">
        <f aca="false">2_Matriz_decision!G183/G$5</f>
        <v>0.0411149420220302</v>
      </c>
      <c r="H184" s="21" t="n">
        <f aca="false">2_Matriz_decision!H183/H$5</f>
        <v>0.0512357545379014</v>
      </c>
      <c r="I184" s="21" t="n">
        <f aca="false">2_Matriz_decision!I183/I$5</f>
        <v>0.0148184741491462</v>
      </c>
      <c r="J184" s="21" t="n">
        <f aca="false">2_Matriz_decision!J183/J$5</f>
        <v>0.0351992440847949</v>
      </c>
      <c r="K184" s="21" t="n">
        <f aca="false">2_Matriz_decision!K183/K$5</f>
        <v>0.039014903418414</v>
      </c>
      <c r="L184" s="21" t="n">
        <f aca="false">2_Matriz_decision!L183/L$5</f>
        <v>0.0506508092747417</v>
      </c>
      <c r="M184" s="21" t="n">
        <f aca="false">2_Matriz_decision!M183/M$5</f>
        <v>0.0225357783957764</v>
      </c>
      <c r="N184" s="21" t="n">
        <f aca="false">2_Matriz_decision!N183/N$5</f>
        <v>0.0112098043469034</v>
      </c>
      <c r="O184" s="21" t="n">
        <f aca="false">2_Matriz_decision!O183/O$5</f>
        <v>0.0304431282773992</v>
      </c>
      <c r="P184" s="21" t="n">
        <f aca="false">2_Matriz_decision!P183/P$5</f>
        <v>0.0264720767589686</v>
      </c>
      <c r="Q184" s="21" t="n">
        <f aca="false">2_Matriz_decision!Q183/Q$5</f>
        <v>0.0535575542483696</v>
      </c>
    </row>
    <row r="185" customFormat="false" ht="15" hidden="false" customHeight="false" outlineLevel="0" collapsed="false">
      <c r="A185" s="15" t="n">
        <f aca="false">2_Matriz_decision!A184</f>
        <v>180</v>
      </c>
      <c r="B185" s="16" t="n">
        <f aca="false">2_Matriz_decision!B184</f>
        <v>18.247</v>
      </c>
      <c r="C185" s="21" t="n">
        <f aca="false">2_Matriz_decision!C184/C$5</f>
        <v>0.0439697451539424</v>
      </c>
      <c r="D185" s="21" t="n">
        <f aca="false">2_Matriz_decision!D184/D$5</f>
        <v>0.0334918645582358</v>
      </c>
      <c r="E185" s="21" t="n">
        <f aca="false">2_Matriz_decision!E184/E$5</f>
        <v>0.0400721949850431</v>
      </c>
      <c r="F185" s="21" t="n">
        <f aca="false">2_Matriz_decision!F184/F$5</f>
        <v>0.0395246111152501</v>
      </c>
      <c r="G185" s="21" t="n">
        <f aca="false">2_Matriz_decision!G184/G$5</f>
        <v>0.0411149420220302</v>
      </c>
      <c r="H185" s="21" t="n">
        <f aca="false">2_Matriz_decision!H184/H$5</f>
        <v>0.0512357545379014</v>
      </c>
      <c r="I185" s="21" t="n">
        <f aca="false">2_Matriz_decision!I184/I$5</f>
        <v>0.0148184741491462</v>
      </c>
      <c r="J185" s="21" t="n">
        <f aca="false">2_Matriz_decision!J184/J$5</f>
        <v>0.0351992440847949</v>
      </c>
      <c r="K185" s="21" t="n">
        <f aca="false">2_Matriz_decision!K184/K$5</f>
        <v>0.039014903418414</v>
      </c>
      <c r="L185" s="21" t="n">
        <f aca="false">2_Matriz_decision!L184/L$5</f>
        <v>0.0500089827580607</v>
      </c>
      <c r="M185" s="21" t="n">
        <f aca="false">2_Matriz_decision!M184/M$5</f>
        <v>0.0220939003880161</v>
      </c>
      <c r="N185" s="21" t="n">
        <f aca="false">2_Matriz_decision!N184/N$5</f>
        <v>0.0112098043469034</v>
      </c>
      <c r="O185" s="21" t="n">
        <f aca="false">2_Matriz_decision!O184/O$5</f>
        <v>0.0304431282773992</v>
      </c>
      <c r="P185" s="21" t="n">
        <f aca="false">2_Matriz_decision!P184/P$5</f>
        <v>0.0264720767589686</v>
      </c>
      <c r="Q185" s="21" t="n">
        <f aca="false">2_Matriz_decision!Q184/Q$5</f>
        <v>0.066946942810462</v>
      </c>
    </row>
    <row r="186" customFormat="false" ht="15" hidden="false" customHeight="false" outlineLevel="0" collapsed="false">
      <c r="A186" s="15" t="n">
        <f aca="false">2_Matriz_decision!A185</f>
        <v>181</v>
      </c>
      <c r="B186" s="16" t="n">
        <f aca="false">2_Matriz_decision!B185</f>
        <v>18.347</v>
      </c>
      <c r="C186" s="21" t="n">
        <f aca="false">2_Matriz_decision!C185/C$5</f>
        <v>0.0439697451539424</v>
      </c>
      <c r="D186" s="21" t="n">
        <f aca="false">2_Matriz_decision!D185/D$5</f>
        <v>0.0334918645582358</v>
      </c>
      <c r="E186" s="21" t="n">
        <f aca="false">2_Matriz_decision!E185/E$5</f>
        <v>0.0400721949850431</v>
      </c>
      <c r="F186" s="21" t="n">
        <f aca="false">2_Matriz_decision!F185/F$5</f>
        <v>0.0494057638940627</v>
      </c>
      <c r="G186" s="21" t="n">
        <f aca="false">2_Matriz_decision!G185/G$5</f>
        <v>0.0411149420220302</v>
      </c>
      <c r="H186" s="21" t="n">
        <f aca="false">2_Matriz_decision!H185/H$5</f>
        <v>0.0512357545379014</v>
      </c>
      <c r="I186" s="21" t="n">
        <f aca="false">2_Matriz_decision!I185/I$5</f>
        <v>0.0148184741491462</v>
      </c>
      <c r="J186" s="21" t="n">
        <f aca="false">2_Matriz_decision!J185/J$5</f>
        <v>0.0351992440847949</v>
      </c>
      <c r="K186" s="21" t="n">
        <f aca="false">2_Matriz_decision!K185/K$5</f>
        <v>0.039014903418414</v>
      </c>
      <c r="L186" s="21" t="n">
        <f aca="false">2_Matriz_decision!L185/L$5</f>
        <v>0.0485515017097643</v>
      </c>
      <c r="M186" s="21" t="n">
        <f aca="false">2_Matriz_decision!M185/M$5</f>
        <v>0.0221049473382101</v>
      </c>
      <c r="N186" s="21" t="n">
        <f aca="false">2_Matriz_decision!N185/N$5</f>
        <v>0.0112098043469034</v>
      </c>
      <c r="O186" s="21" t="n">
        <f aca="false">2_Matriz_decision!O185/O$5</f>
        <v>0.0304431282773992</v>
      </c>
      <c r="P186" s="21" t="n">
        <f aca="false">2_Matriz_decision!P185/P$5</f>
        <v>0.0264720767589686</v>
      </c>
      <c r="Q186" s="21" t="n">
        <f aca="false">2_Matriz_decision!Q185/Q$5</f>
        <v>0.066946942810462</v>
      </c>
    </row>
    <row r="187" customFormat="false" ht="15" hidden="false" customHeight="false" outlineLevel="0" collapsed="false">
      <c r="A187" s="15" t="n">
        <f aca="false">2_Matriz_decision!A186</f>
        <v>182</v>
      </c>
      <c r="B187" s="16" t="n">
        <f aca="false">2_Matriz_decision!B186</f>
        <v>18.448</v>
      </c>
      <c r="C187" s="21" t="n">
        <f aca="false">2_Matriz_decision!C186/C$5</f>
        <v>0.0439697451539424</v>
      </c>
      <c r="D187" s="21" t="n">
        <f aca="false">2_Matriz_decision!D186/D$5</f>
        <v>0.0334918645582358</v>
      </c>
      <c r="E187" s="21" t="n">
        <f aca="false">2_Matriz_decision!E186/E$5</f>
        <v>0.0500902437313038</v>
      </c>
      <c r="F187" s="21" t="n">
        <f aca="false">2_Matriz_decision!F186/F$5</f>
        <v>0.0494057638940627</v>
      </c>
      <c r="G187" s="21" t="n">
        <f aca="false">2_Matriz_decision!G186/G$5</f>
        <v>0.0411149420220302</v>
      </c>
      <c r="H187" s="21" t="n">
        <f aca="false">2_Matriz_decision!H186/H$5</f>
        <v>0.0512357545379014</v>
      </c>
      <c r="I187" s="21" t="n">
        <f aca="false">2_Matriz_decision!I186/I$5</f>
        <v>0.0740923707457312</v>
      </c>
      <c r="J187" s="21" t="n">
        <f aca="false">2_Matriz_decision!J186/J$5</f>
        <v>0.0351992440847949</v>
      </c>
      <c r="K187" s="21" t="n">
        <f aca="false">2_Matriz_decision!K186/K$5</f>
        <v>0.039014903418414</v>
      </c>
      <c r="L187" s="21" t="n">
        <f aca="false">2_Matriz_decision!L186/L$5</f>
        <v>0.0505438381886282</v>
      </c>
      <c r="M187" s="21" t="n">
        <f aca="false">2_Matriz_decision!M186/M$5</f>
        <v>0.0220939003880161</v>
      </c>
      <c r="N187" s="21" t="n">
        <f aca="false">2_Matriz_decision!N186/N$5</f>
        <v>0.0112098043469034</v>
      </c>
      <c r="O187" s="21" t="n">
        <f aca="false">2_Matriz_decision!O186/O$5</f>
        <v>0.0304431282773992</v>
      </c>
      <c r="P187" s="21" t="n">
        <f aca="false">2_Matriz_decision!P186/P$5</f>
        <v>0.0264720767589686</v>
      </c>
      <c r="Q187" s="21" t="n">
        <f aca="false">2_Matriz_decision!Q186/Q$5</f>
        <v>0.066946942810462</v>
      </c>
    </row>
    <row r="188" customFormat="false" ht="15" hidden="false" customHeight="false" outlineLevel="0" collapsed="false">
      <c r="A188" s="15" t="n">
        <f aca="false">2_Matriz_decision!A187</f>
        <v>183</v>
      </c>
      <c r="B188" s="16" t="n">
        <f aca="false">2_Matriz_decision!B187</f>
        <v>18.549</v>
      </c>
      <c r="C188" s="21" t="n">
        <f aca="false">2_Matriz_decision!C187/C$5</f>
        <v>0.0439697451539424</v>
      </c>
      <c r="D188" s="21" t="n">
        <f aca="false">2_Matriz_decision!D187/D$5</f>
        <v>0.0334918645582358</v>
      </c>
      <c r="E188" s="21" t="n">
        <f aca="false">2_Matriz_decision!E187/E$5</f>
        <v>0.0500902437313038</v>
      </c>
      <c r="F188" s="21" t="n">
        <f aca="false">2_Matriz_decision!F187/F$5</f>
        <v>0.0494057638940627</v>
      </c>
      <c r="G188" s="21" t="n">
        <f aca="false">2_Matriz_decision!G187/G$5</f>
        <v>0.0411149420220302</v>
      </c>
      <c r="H188" s="21" t="n">
        <f aca="false">2_Matriz_decision!H187/H$5</f>
        <v>0.0512357545379014</v>
      </c>
      <c r="I188" s="21" t="n">
        <f aca="false">2_Matriz_decision!I187/I$5</f>
        <v>0.0740923707457312</v>
      </c>
      <c r="J188" s="21" t="n">
        <f aca="false">2_Matriz_decision!J187/J$5</f>
        <v>0.0351992440847949</v>
      </c>
      <c r="K188" s="21" t="n">
        <f aca="false">2_Matriz_decision!K187/K$5</f>
        <v>0.039014903418414</v>
      </c>
      <c r="L188" s="21" t="n">
        <f aca="false">2_Matriz_decision!L187/L$5</f>
        <v>0.0496613267281919</v>
      </c>
      <c r="M188" s="21" t="n">
        <f aca="false">2_Matriz_decision!M187/M$5</f>
        <v>0.0220939003880161</v>
      </c>
      <c r="N188" s="21" t="n">
        <f aca="false">2_Matriz_decision!N187/N$5</f>
        <v>0.0112098043469034</v>
      </c>
      <c r="O188" s="21" t="n">
        <f aca="false">2_Matriz_decision!O187/O$5</f>
        <v>0.0304431282773992</v>
      </c>
      <c r="P188" s="21" t="n">
        <f aca="false">2_Matriz_decision!P187/P$5</f>
        <v>0.0264720767589686</v>
      </c>
      <c r="Q188" s="21" t="n">
        <f aca="false">2_Matriz_decision!Q187/Q$5</f>
        <v>0.066946942810462</v>
      </c>
    </row>
    <row r="189" customFormat="false" ht="15" hidden="false" customHeight="false" outlineLevel="0" collapsed="false">
      <c r="A189" s="15" t="n">
        <f aca="false">2_Matriz_decision!A188</f>
        <v>184</v>
      </c>
      <c r="B189" s="16" t="n">
        <f aca="false">2_Matriz_decision!B188</f>
        <v>18.65</v>
      </c>
      <c r="C189" s="21" t="n">
        <f aca="false">2_Matriz_decision!C188/C$5</f>
        <v>0.0439697451539424</v>
      </c>
      <c r="D189" s="21" t="n">
        <f aca="false">2_Matriz_decision!D188/D$5</f>
        <v>0.0334918645582358</v>
      </c>
      <c r="E189" s="21" t="n">
        <f aca="false">2_Matriz_decision!E188/E$5</f>
        <v>0.0500902437313038</v>
      </c>
      <c r="F189" s="21" t="n">
        <f aca="false">2_Matriz_decision!F188/F$5</f>
        <v>0.0494057638940627</v>
      </c>
      <c r="G189" s="21" t="n">
        <f aca="false">2_Matriz_decision!G188/G$5</f>
        <v>0.0411149420220302</v>
      </c>
      <c r="H189" s="21" t="n">
        <f aca="false">2_Matriz_decision!H188/H$5</f>
        <v>0.0512357545379014</v>
      </c>
      <c r="I189" s="21" t="n">
        <f aca="false">2_Matriz_decision!I188/I$5</f>
        <v>0.0740923707457312</v>
      </c>
      <c r="J189" s="21" t="n">
        <f aca="false">2_Matriz_decision!J188/J$5</f>
        <v>0.0351992440847949</v>
      </c>
      <c r="K189" s="21" t="n">
        <f aca="false">2_Matriz_decision!K188/K$5</f>
        <v>0.039014903418414</v>
      </c>
      <c r="L189" s="21" t="n">
        <f aca="false">2_Matriz_decision!L188/L$5</f>
        <v>0.0496880694997202</v>
      </c>
      <c r="M189" s="21" t="n">
        <f aca="false">2_Matriz_decision!M188/M$5</f>
        <v>0.0220939003880161</v>
      </c>
      <c r="N189" s="21" t="n">
        <f aca="false">2_Matriz_decision!N188/N$5</f>
        <v>0.0112098043469034</v>
      </c>
      <c r="O189" s="21" t="n">
        <f aca="false">2_Matriz_decision!O188/O$5</f>
        <v>0.0304431282773992</v>
      </c>
      <c r="P189" s="21" t="n">
        <f aca="false">2_Matriz_decision!P188/P$5</f>
        <v>0.0264720767589686</v>
      </c>
      <c r="Q189" s="21" t="n">
        <f aca="false">2_Matriz_decision!Q188/Q$5</f>
        <v>0.066946942810462</v>
      </c>
    </row>
    <row r="190" customFormat="false" ht="15" hidden="false" customHeight="false" outlineLevel="0" collapsed="false">
      <c r="A190" s="15" t="n">
        <f aca="false">2_Matriz_decision!A189</f>
        <v>185</v>
      </c>
      <c r="B190" s="16" t="n">
        <f aca="false">2_Matriz_decision!B189</f>
        <v>18.75</v>
      </c>
      <c r="C190" s="21" t="n">
        <f aca="false">2_Matriz_decision!C189/C$5</f>
        <v>0.0439697451539424</v>
      </c>
      <c r="D190" s="21" t="n">
        <f aca="false">2_Matriz_decision!D189/D$5</f>
        <v>0.0334918645582358</v>
      </c>
      <c r="E190" s="21" t="n">
        <f aca="false">2_Matriz_decision!E189/E$5</f>
        <v>0.0500902437313038</v>
      </c>
      <c r="F190" s="21" t="n">
        <f aca="false">2_Matriz_decision!F189/F$5</f>
        <v>0.0494057638940627</v>
      </c>
      <c r="G190" s="21" t="n">
        <f aca="false">2_Matriz_decision!G189/G$5</f>
        <v>0.0411149420220302</v>
      </c>
      <c r="H190" s="21" t="n">
        <f aca="false">2_Matriz_decision!H189/H$5</f>
        <v>0.0512357545379014</v>
      </c>
      <c r="I190" s="21" t="n">
        <f aca="false">2_Matriz_decision!I189/I$5</f>
        <v>0.0740923707457312</v>
      </c>
      <c r="J190" s="21" t="n">
        <f aca="false">2_Matriz_decision!J189/J$5</f>
        <v>0.0351992440847949</v>
      </c>
      <c r="K190" s="21" t="n">
        <f aca="false">2_Matriz_decision!K189/K$5</f>
        <v>0.039014903418414</v>
      </c>
      <c r="L190" s="21" t="n">
        <f aca="false">2_Matriz_decision!L189/L$5</f>
        <v>0.0497950405858337</v>
      </c>
      <c r="M190" s="21" t="n">
        <f aca="false">2_Matriz_decision!M189/M$5</f>
        <v>0.0220939003880161</v>
      </c>
      <c r="N190" s="21" t="n">
        <f aca="false">2_Matriz_decision!N189/N$5</f>
        <v>0.0112098043469034</v>
      </c>
      <c r="O190" s="21" t="n">
        <f aca="false">2_Matriz_decision!O189/O$5</f>
        <v>0.0304431282773992</v>
      </c>
      <c r="P190" s="21" t="n">
        <f aca="false">2_Matriz_decision!P189/P$5</f>
        <v>0.0264720767589686</v>
      </c>
      <c r="Q190" s="21" t="n">
        <f aca="false">2_Matriz_decision!Q189/Q$5</f>
        <v>0.066946942810462</v>
      </c>
    </row>
    <row r="191" customFormat="false" ht="15" hidden="false" customHeight="false" outlineLevel="0" collapsed="false">
      <c r="A191" s="15" t="n">
        <f aca="false">2_Matriz_decision!A190</f>
        <v>186</v>
      </c>
      <c r="B191" s="16" t="n">
        <f aca="false">2_Matriz_decision!B190</f>
        <v>18.851</v>
      </c>
      <c r="C191" s="21" t="n">
        <f aca="false">2_Matriz_decision!C190/C$5</f>
        <v>0.0439697451539424</v>
      </c>
      <c r="D191" s="21" t="n">
        <f aca="false">2_Matriz_decision!D190/D$5</f>
        <v>0.0334918645582358</v>
      </c>
      <c r="E191" s="21" t="n">
        <f aca="false">2_Matriz_decision!E190/E$5</f>
        <v>0.0500902437313038</v>
      </c>
      <c r="F191" s="21" t="n">
        <f aca="false">2_Matriz_decision!F190/F$5</f>
        <v>0.0494057638940627</v>
      </c>
      <c r="G191" s="21" t="n">
        <f aca="false">2_Matriz_decision!G190/G$5</f>
        <v>0.0411149420220302</v>
      </c>
      <c r="H191" s="21" t="n">
        <f aca="false">2_Matriz_decision!H190/H$5</f>
        <v>0.0512357545379014</v>
      </c>
      <c r="I191" s="21" t="n">
        <f aca="false">2_Matriz_decision!I190/I$5</f>
        <v>0.0740923707457312</v>
      </c>
      <c r="J191" s="21" t="n">
        <f aca="false">2_Matriz_decision!J190/J$5</f>
        <v>0.0351992440847949</v>
      </c>
      <c r="K191" s="21" t="n">
        <f aca="false">2_Matriz_decision!K190/K$5</f>
        <v>0.039014903418414</v>
      </c>
      <c r="L191" s="21" t="n">
        <f aca="false">2_Matriz_decision!L190/L$5</f>
        <v>0.0498485261288905</v>
      </c>
      <c r="M191" s="21" t="n">
        <f aca="false">2_Matriz_decision!M190/M$5</f>
        <v>0.0220939003880161</v>
      </c>
      <c r="N191" s="21" t="n">
        <f aca="false">2_Matriz_decision!N190/N$5</f>
        <v>0.0112098043469034</v>
      </c>
      <c r="O191" s="21" t="n">
        <f aca="false">2_Matriz_decision!O190/O$5</f>
        <v>0.0304431282773992</v>
      </c>
      <c r="P191" s="21" t="n">
        <f aca="false">2_Matriz_decision!P190/P$5</f>
        <v>0.0264720767589686</v>
      </c>
      <c r="Q191" s="21" t="n">
        <f aca="false">2_Matriz_decision!Q190/Q$5</f>
        <v>0.066946942810462</v>
      </c>
    </row>
    <row r="192" customFormat="false" ht="15" hidden="false" customHeight="false" outlineLevel="0" collapsed="false">
      <c r="A192" s="15" t="n">
        <f aca="false">2_Matriz_decision!A191</f>
        <v>187</v>
      </c>
      <c r="B192" s="16" t="n">
        <f aca="false">2_Matriz_decision!B191</f>
        <v>18.951</v>
      </c>
      <c r="C192" s="21" t="n">
        <f aca="false">2_Matriz_decision!C191/C$5</f>
        <v>0.0439697451539424</v>
      </c>
      <c r="D192" s="21" t="n">
        <f aca="false">2_Matriz_decision!D191/D$5</f>
        <v>0.0334918645582358</v>
      </c>
      <c r="E192" s="21" t="n">
        <f aca="false">2_Matriz_decision!E191/E$5</f>
        <v>0.0500902437313038</v>
      </c>
      <c r="F192" s="21" t="n">
        <f aca="false">2_Matriz_decision!F191/F$5</f>
        <v>0.0494057638940627</v>
      </c>
      <c r="G192" s="21" t="n">
        <f aca="false">2_Matriz_decision!G191/G$5</f>
        <v>0.0411149420220302</v>
      </c>
      <c r="H192" s="21" t="n">
        <f aca="false">2_Matriz_decision!H191/H$5</f>
        <v>0.0512357545379014</v>
      </c>
      <c r="I192" s="21" t="n">
        <f aca="false">2_Matriz_decision!I191/I$5</f>
        <v>0.0740923707457312</v>
      </c>
      <c r="J192" s="21" t="n">
        <f aca="false">2_Matriz_decision!J191/J$5</f>
        <v>0.0351992440847949</v>
      </c>
      <c r="K192" s="21" t="n">
        <f aca="false">2_Matriz_decision!K191/K$5</f>
        <v>0.039014903418414</v>
      </c>
      <c r="L192" s="21" t="n">
        <f aca="false">2_Matriz_decision!L191/L$5</f>
        <v>0.0497281836570128</v>
      </c>
      <c r="M192" s="21" t="n">
        <f aca="false">2_Matriz_decision!M191/M$5</f>
        <v>0.0220939003880161</v>
      </c>
      <c r="N192" s="21" t="n">
        <f aca="false">2_Matriz_decision!N191/N$5</f>
        <v>0.0112098043469034</v>
      </c>
      <c r="O192" s="21" t="n">
        <f aca="false">2_Matriz_decision!O191/O$5</f>
        <v>0.0304431282773992</v>
      </c>
      <c r="P192" s="21" t="n">
        <f aca="false">2_Matriz_decision!P191/P$5</f>
        <v>0.0264720767589686</v>
      </c>
      <c r="Q192" s="21" t="n">
        <f aca="false">2_Matriz_decision!Q191/Q$5</f>
        <v>0.066946942810462</v>
      </c>
    </row>
    <row r="193" customFormat="false" ht="15" hidden="false" customHeight="false" outlineLevel="0" collapsed="false">
      <c r="A193" s="15" t="n">
        <f aca="false">2_Matriz_decision!A192</f>
        <v>188</v>
      </c>
      <c r="B193" s="16" t="n">
        <f aca="false">2_Matriz_decision!B192</f>
        <v>19.05</v>
      </c>
      <c r="C193" s="21" t="n">
        <f aca="false">2_Matriz_decision!C192/C$5</f>
        <v>0.0439697451539424</v>
      </c>
      <c r="D193" s="21" t="n">
        <f aca="false">2_Matriz_decision!D192/D$5</f>
        <v>0.0334918645582358</v>
      </c>
      <c r="E193" s="21" t="n">
        <f aca="false">2_Matriz_decision!E192/E$5</f>
        <v>0.0500902437313038</v>
      </c>
      <c r="F193" s="21" t="n">
        <f aca="false">2_Matriz_decision!F192/F$5</f>
        <v>0.0494057638940627</v>
      </c>
      <c r="G193" s="21" t="n">
        <f aca="false">2_Matriz_decision!G192/G$5</f>
        <v>0.0411149420220302</v>
      </c>
      <c r="H193" s="21" t="n">
        <f aca="false">2_Matriz_decision!H192/H$5</f>
        <v>0.0512357545379014</v>
      </c>
      <c r="I193" s="21" t="n">
        <f aca="false">2_Matriz_decision!I192/I$5</f>
        <v>0.0740923707457312</v>
      </c>
      <c r="J193" s="21" t="n">
        <f aca="false">2_Matriz_decision!J192/J$5</f>
        <v>0.0351992440847949</v>
      </c>
      <c r="K193" s="21" t="n">
        <f aca="false">2_Matriz_decision!K192/K$5</f>
        <v>0.039014903418414</v>
      </c>
      <c r="L193" s="21" t="n">
        <f aca="false">2_Matriz_decision!L192/L$5</f>
        <v>0.0491130999118602</v>
      </c>
      <c r="M193" s="21" t="n">
        <f aca="false">2_Matriz_decision!M192/M$5</f>
        <v>0.0220939003880161</v>
      </c>
      <c r="N193" s="21" t="n">
        <f aca="false">2_Matriz_decision!N192/N$5</f>
        <v>0.0112098043469034</v>
      </c>
      <c r="O193" s="21" t="n">
        <f aca="false">2_Matriz_decision!O192/O$5</f>
        <v>0.0304431282773992</v>
      </c>
      <c r="P193" s="21" t="n">
        <f aca="false">2_Matriz_decision!P192/P$5</f>
        <v>0.0264720767589686</v>
      </c>
      <c r="Q193" s="21" t="n">
        <f aca="false">2_Matriz_decision!Q192/Q$5</f>
        <v>0.066946942810462</v>
      </c>
    </row>
    <row r="194" customFormat="false" ht="15" hidden="false" customHeight="false" outlineLevel="0" collapsed="false">
      <c r="A194" s="15" t="n">
        <f aca="false">2_Matriz_decision!A193</f>
        <v>189</v>
      </c>
      <c r="B194" s="16" t="n">
        <f aca="false">2_Matriz_decision!B193</f>
        <v>19.149</v>
      </c>
      <c r="C194" s="21" t="n">
        <f aca="false">2_Matriz_decision!C193/C$5</f>
        <v>0.0439697451539424</v>
      </c>
      <c r="D194" s="21" t="n">
        <f aca="false">2_Matriz_decision!D193/D$5</f>
        <v>0.0334918645582358</v>
      </c>
      <c r="E194" s="21" t="n">
        <f aca="false">2_Matriz_decision!E193/E$5</f>
        <v>0.0500902437313038</v>
      </c>
      <c r="F194" s="21" t="n">
        <f aca="false">2_Matriz_decision!F193/F$5</f>
        <v>0.0494057638940627</v>
      </c>
      <c r="G194" s="21" t="n">
        <f aca="false">2_Matriz_decision!G193/G$5</f>
        <v>0.0411149420220302</v>
      </c>
      <c r="H194" s="21" t="n">
        <f aca="false">2_Matriz_decision!H193/H$5</f>
        <v>0.0512357545379014</v>
      </c>
      <c r="I194" s="21" t="n">
        <f aca="false">2_Matriz_decision!I193/I$5</f>
        <v>0.0740923707457312</v>
      </c>
      <c r="J194" s="21" t="n">
        <f aca="false">2_Matriz_decision!J193/J$5</f>
        <v>0.0351992440847949</v>
      </c>
      <c r="K194" s="21" t="n">
        <f aca="false">2_Matriz_decision!K193/K$5</f>
        <v>0.039014903418414</v>
      </c>
      <c r="L194" s="21" t="n">
        <f aca="false">2_Matriz_decision!L193/L$5</f>
        <v>0.0474015625340442</v>
      </c>
      <c r="M194" s="21" t="n">
        <f aca="false">2_Matriz_decision!M193/M$5</f>
        <v>0.0220939003880161</v>
      </c>
      <c r="N194" s="21" t="n">
        <f aca="false">2_Matriz_decision!N193/N$5</f>
        <v>0.0112098043469034</v>
      </c>
      <c r="O194" s="21" t="n">
        <f aca="false">2_Matriz_decision!O193/O$5</f>
        <v>0.0304431282773992</v>
      </c>
      <c r="P194" s="21" t="n">
        <f aca="false">2_Matriz_decision!P193/P$5</f>
        <v>0.0264720767589686</v>
      </c>
      <c r="Q194" s="21" t="n">
        <f aca="false">2_Matriz_decision!Q193/Q$5</f>
        <v>0.066946942810462</v>
      </c>
    </row>
    <row r="195" customFormat="false" ht="15" hidden="false" customHeight="false" outlineLevel="0" collapsed="false">
      <c r="A195" s="15" t="n">
        <f aca="false">2_Matriz_decision!A194</f>
        <v>190</v>
      </c>
      <c r="B195" s="16" t="n">
        <f aca="false">2_Matriz_decision!B194</f>
        <v>19.248</v>
      </c>
      <c r="C195" s="21" t="n">
        <f aca="false">2_Matriz_decision!C194/C$5</f>
        <v>0.0439697451539424</v>
      </c>
      <c r="D195" s="21" t="n">
        <f aca="false">2_Matriz_decision!D194/D$5</f>
        <v>0.0334918645582358</v>
      </c>
      <c r="E195" s="21" t="n">
        <f aca="false">2_Matriz_decision!E194/E$5</f>
        <v>0.0500902437313038</v>
      </c>
      <c r="F195" s="21" t="n">
        <f aca="false">2_Matriz_decision!F194/F$5</f>
        <v>0.0494057638940627</v>
      </c>
      <c r="G195" s="21" t="n">
        <f aca="false">2_Matriz_decision!G194/G$5</f>
        <v>0.0411149420220302</v>
      </c>
      <c r="H195" s="21" t="n">
        <f aca="false">2_Matriz_decision!H194/H$5</f>
        <v>0.0512357545379014</v>
      </c>
      <c r="I195" s="21" t="n">
        <f aca="false">2_Matriz_decision!I194/I$5</f>
        <v>0.0740923707457312</v>
      </c>
      <c r="J195" s="21" t="n">
        <f aca="false">2_Matriz_decision!J194/J$5</f>
        <v>0.0351992440847949</v>
      </c>
      <c r="K195" s="21" t="n">
        <f aca="false">2_Matriz_decision!K194/K$5</f>
        <v>0.039014903418414</v>
      </c>
      <c r="L195" s="21" t="n">
        <f aca="false">2_Matriz_decision!L194/L$5</f>
        <v>0.0476556188635638</v>
      </c>
      <c r="M195" s="21" t="n">
        <f aca="false">2_Matriz_decision!M194/M$5</f>
        <v>0.0222375107405382</v>
      </c>
      <c r="N195" s="21" t="n">
        <f aca="false">2_Matriz_decision!N194/N$5</f>
        <v>0.0112098043469034</v>
      </c>
      <c r="O195" s="21" t="n">
        <f aca="false">2_Matriz_decision!O194/O$5</f>
        <v>0.0304431282773992</v>
      </c>
      <c r="P195" s="21" t="n">
        <f aca="false">2_Matriz_decision!P194/P$5</f>
        <v>0.0264720767589686</v>
      </c>
      <c r="Q195" s="21" t="n">
        <f aca="false">2_Matriz_decision!Q194/Q$5</f>
        <v>0.066946942810462</v>
      </c>
    </row>
    <row r="196" customFormat="false" ht="15" hidden="false" customHeight="false" outlineLevel="0" collapsed="false">
      <c r="A196" s="15" t="n">
        <f aca="false">2_Matriz_decision!A195</f>
        <v>191</v>
      </c>
      <c r="B196" s="16" t="n">
        <f aca="false">2_Matriz_decision!B195</f>
        <v>19.347</v>
      </c>
      <c r="C196" s="21" t="n">
        <f aca="false">2_Matriz_decision!C195/C$5</f>
        <v>0.0439697451539424</v>
      </c>
      <c r="D196" s="21" t="n">
        <f aca="false">2_Matriz_decision!D195/D$5</f>
        <v>0.0334918645582358</v>
      </c>
      <c r="E196" s="21" t="n">
        <f aca="false">2_Matriz_decision!E195/E$5</f>
        <v>0.0500902437313038</v>
      </c>
      <c r="F196" s="21" t="n">
        <f aca="false">2_Matriz_decision!F195/F$5</f>
        <v>0.0494057638940627</v>
      </c>
      <c r="G196" s="21" t="n">
        <f aca="false">2_Matriz_decision!G195/G$5</f>
        <v>0.0411149420220302</v>
      </c>
      <c r="H196" s="21" t="n">
        <f aca="false">2_Matriz_decision!H195/H$5</f>
        <v>0.0512357545379014</v>
      </c>
      <c r="I196" s="21" t="n">
        <f aca="false">2_Matriz_decision!I195/I$5</f>
        <v>0.0740923707457312</v>
      </c>
      <c r="J196" s="21" t="n">
        <f aca="false">2_Matriz_decision!J195/J$5</f>
        <v>0.0351992440847949</v>
      </c>
      <c r="K196" s="21" t="n">
        <f aca="false">2_Matriz_decision!K195/K$5</f>
        <v>0.039014903418414</v>
      </c>
      <c r="L196" s="21" t="n">
        <f aca="false">2_Matriz_decision!L195/L$5</f>
        <v>0.0447941423100277</v>
      </c>
      <c r="M196" s="21" t="n">
        <f aca="false">2_Matriz_decision!M195/M$5</f>
        <v>0.0237288490167293</v>
      </c>
      <c r="N196" s="21" t="n">
        <f aca="false">2_Matriz_decision!N195/N$5</f>
        <v>0.0112098043469034</v>
      </c>
      <c r="O196" s="21" t="n">
        <f aca="false">2_Matriz_decision!O195/O$5</f>
        <v>0.0304431282773992</v>
      </c>
      <c r="P196" s="21" t="n">
        <f aca="false">2_Matriz_decision!P195/P$5</f>
        <v>0.0264720767589686</v>
      </c>
      <c r="Q196" s="21" t="n">
        <f aca="false">2_Matriz_decision!Q195/Q$5</f>
        <v>0.066946942810462</v>
      </c>
    </row>
    <row r="197" customFormat="false" ht="15" hidden="false" customHeight="false" outlineLevel="0" collapsed="false">
      <c r="A197" s="15" t="n">
        <f aca="false">2_Matriz_decision!A196</f>
        <v>192</v>
      </c>
      <c r="B197" s="16" t="n">
        <f aca="false">2_Matriz_decision!B196</f>
        <v>19.447</v>
      </c>
      <c r="C197" s="21" t="n">
        <f aca="false">2_Matriz_decision!C196/C$5</f>
        <v>0.0439697451539424</v>
      </c>
      <c r="D197" s="21" t="n">
        <f aca="false">2_Matriz_decision!D196/D$5</f>
        <v>0.0334918645582358</v>
      </c>
      <c r="E197" s="21" t="n">
        <f aca="false">2_Matriz_decision!E196/E$5</f>
        <v>0.0500902437313038</v>
      </c>
      <c r="F197" s="21" t="n">
        <f aca="false">2_Matriz_decision!F196/F$5</f>
        <v>0.0494057638940627</v>
      </c>
      <c r="G197" s="21" t="n">
        <f aca="false">2_Matriz_decision!G196/G$5</f>
        <v>0.0411149420220302</v>
      </c>
      <c r="H197" s="21" t="n">
        <f aca="false">2_Matriz_decision!H196/H$5</f>
        <v>0.0512357545379014</v>
      </c>
      <c r="I197" s="21" t="n">
        <f aca="false">2_Matriz_decision!I196/I$5</f>
        <v>0.0592738965965849</v>
      </c>
      <c r="J197" s="21" t="n">
        <f aca="false">2_Matriz_decision!J196/J$5</f>
        <v>0.0351992440847949</v>
      </c>
      <c r="K197" s="21" t="n">
        <f aca="false">2_Matriz_decision!K196/K$5</f>
        <v>0.039014903418414</v>
      </c>
      <c r="L197" s="21" t="n">
        <f aca="false">2_Matriz_decision!L196/L$5</f>
        <v>0.0421733507002469</v>
      </c>
      <c r="M197" s="21" t="n">
        <f aca="false">2_Matriz_decision!M196/M$5</f>
        <v>0.0270760749255138</v>
      </c>
      <c r="N197" s="21" t="n">
        <f aca="false">2_Matriz_decision!N196/N$5</f>
        <v>0.0112098043469034</v>
      </c>
      <c r="O197" s="21" t="n">
        <f aca="false">2_Matriz_decision!O196/O$5</f>
        <v>0.0304431282773992</v>
      </c>
      <c r="P197" s="21" t="n">
        <f aca="false">2_Matriz_decision!P196/P$5</f>
        <v>0.0264720767589686</v>
      </c>
      <c r="Q197" s="21" t="n">
        <f aca="false">2_Matriz_decision!Q196/Q$5</f>
        <v>0.066946942810462</v>
      </c>
    </row>
    <row r="198" customFormat="false" ht="15" hidden="false" customHeight="false" outlineLevel="0" collapsed="false">
      <c r="A198" s="15" t="n">
        <f aca="false">2_Matriz_decision!A197</f>
        <v>193</v>
      </c>
      <c r="B198" s="16" t="n">
        <f aca="false">2_Matriz_decision!B197</f>
        <v>19.547</v>
      </c>
      <c r="C198" s="21" t="n">
        <f aca="false">2_Matriz_decision!C197/C$5</f>
        <v>0.0439697451539424</v>
      </c>
      <c r="D198" s="21" t="n">
        <f aca="false">2_Matriz_decision!D197/D$5</f>
        <v>0.0334918645582358</v>
      </c>
      <c r="E198" s="21" t="n">
        <f aca="false">2_Matriz_decision!E197/E$5</f>
        <v>0.0400721949850431</v>
      </c>
      <c r="F198" s="21" t="n">
        <f aca="false">2_Matriz_decision!F197/F$5</f>
        <v>0.0494057638940627</v>
      </c>
      <c r="G198" s="21" t="n">
        <f aca="false">2_Matriz_decision!G197/G$5</f>
        <v>0.0411149420220302</v>
      </c>
      <c r="H198" s="21" t="n">
        <f aca="false">2_Matriz_decision!H197/H$5</f>
        <v>0.0512357545379014</v>
      </c>
      <c r="I198" s="21" t="n">
        <f aca="false">2_Matriz_decision!I197/I$5</f>
        <v>0.0296369482982925</v>
      </c>
      <c r="J198" s="21" t="n">
        <f aca="false">2_Matriz_decision!J197/J$5</f>
        <v>0.0351992440847949</v>
      </c>
      <c r="K198" s="21" t="n">
        <f aca="false">2_Matriz_decision!K197/K$5</f>
        <v>0.039014903418414</v>
      </c>
      <c r="L198" s="21" t="n">
        <f aca="false">2_Matriz_decision!L197/L$5</f>
        <v>0.0351667445598128</v>
      </c>
      <c r="M198" s="21" t="n">
        <f aca="false">2_Matriz_decision!M197/M$5</f>
        <v>0.0299482819759558</v>
      </c>
      <c r="N198" s="21" t="n">
        <f aca="false">2_Matriz_decision!N197/N$5</f>
        <v>0.0112098043469034</v>
      </c>
      <c r="O198" s="21" t="n">
        <f aca="false">2_Matriz_decision!O197/O$5</f>
        <v>0.0304431282773992</v>
      </c>
      <c r="P198" s="21" t="n">
        <f aca="false">2_Matriz_decision!P197/P$5</f>
        <v>0.0264720767589686</v>
      </c>
      <c r="Q198" s="21" t="n">
        <f aca="false">2_Matriz_decision!Q197/Q$5</f>
        <v>0.066946942810462</v>
      </c>
    </row>
    <row r="199" customFormat="false" ht="15" hidden="false" customHeight="false" outlineLevel="0" collapsed="false">
      <c r="A199" s="15" t="n">
        <f aca="false">2_Matriz_decision!A198</f>
        <v>194</v>
      </c>
      <c r="B199" s="16" t="n">
        <f aca="false">2_Matriz_decision!B198</f>
        <v>19.647</v>
      </c>
      <c r="C199" s="21" t="n">
        <f aca="false">2_Matriz_decision!C198/C$5</f>
        <v>0.0439697451539424</v>
      </c>
      <c r="D199" s="21" t="n">
        <f aca="false">2_Matriz_decision!D198/D$5</f>
        <v>0.0334918645582358</v>
      </c>
      <c r="E199" s="21" t="n">
        <f aca="false">2_Matriz_decision!E198/E$5</f>
        <v>0.0400721949850431</v>
      </c>
      <c r="F199" s="21" t="n">
        <f aca="false">2_Matriz_decision!F198/F$5</f>
        <v>0.0494057638940627</v>
      </c>
      <c r="G199" s="21" t="n">
        <f aca="false">2_Matriz_decision!G198/G$5</f>
        <v>0.0411149420220302</v>
      </c>
      <c r="H199" s="21" t="n">
        <f aca="false">2_Matriz_decision!H198/H$5</f>
        <v>0.0512357545379014</v>
      </c>
      <c r="I199" s="21" t="n">
        <f aca="false">2_Matriz_decision!I198/I$5</f>
        <v>0.0444554224474387</v>
      </c>
      <c r="J199" s="21" t="n">
        <f aca="false">2_Matriz_decision!J198/J$5</f>
        <v>0.0351992440847949</v>
      </c>
      <c r="K199" s="21" t="n">
        <f aca="false">2_Matriz_decision!K198/K$5</f>
        <v>0.039014903418414</v>
      </c>
      <c r="L199" s="21" t="n">
        <f aca="false">2_Matriz_decision!L198/L$5</f>
        <v>0.0302861887558844</v>
      </c>
      <c r="M199" s="21" t="n">
        <f aca="false">2_Matriz_decision!M198/M$5</f>
        <v>0.0335827285897845</v>
      </c>
      <c r="N199" s="21" t="n">
        <f aca="false">2_Matriz_decision!N198/N$5</f>
        <v>0.0112098043469034</v>
      </c>
      <c r="O199" s="21" t="n">
        <f aca="false">2_Matriz_decision!O198/O$5</f>
        <v>0.0304431282773992</v>
      </c>
      <c r="P199" s="21" t="n">
        <f aca="false">2_Matriz_decision!P198/P$5</f>
        <v>0.0264720767589686</v>
      </c>
      <c r="Q199" s="21" t="n">
        <f aca="false">2_Matriz_decision!Q198/Q$5</f>
        <v>0.066946942810462</v>
      </c>
    </row>
    <row r="200" customFormat="false" ht="15" hidden="false" customHeight="false" outlineLevel="0" collapsed="false">
      <c r="A200" s="15" t="n">
        <f aca="false">2_Matriz_decision!A199</f>
        <v>195</v>
      </c>
      <c r="B200" s="16" t="n">
        <f aca="false">2_Matriz_decision!B199</f>
        <v>19.748</v>
      </c>
      <c r="C200" s="21" t="n">
        <f aca="false">2_Matriz_decision!C199/C$5</f>
        <v>0.0439697451539424</v>
      </c>
      <c r="D200" s="21" t="n">
        <f aca="false">2_Matriz_decision!D199/D$5</f>
        <v>0.0334918645582358</v>
      </c>
      <c r="E200" s="21" t="n">
        <f aca="false">2_Matriz_decision!E199/E$5</f>
        <v>0.0400721949850431</v>
      </c>
      <c r="F200" s="21" t="n">
        <f aca="false">2_Matriz_decision!F199/F$5</f>
        <v>0.0494057638940627</v>
      </c>
      <c r="G200" s="21" t="n">
        <f aca="false">2_Matriz_decision!G199/G$5</f>
        <v>0.0411149420220302</v>
      </c>
      <c r="H200" s="21" t="n">
        <f aca="false">2_Matriz_decision!H199/H$5</f>
        <v>0.0512357545379014</v>
      </c>
      <c r="I200" s="21" t="n">
        <f aca="false">2_Matriz_decision!I199/I$5</f>
        <v>0.0148184741491462</v>
      </c>
      <c r="J200" s="21" t="n">
        <f aca="false">2_Matriz_decision!J199/J$5</f>
        <v>0.0351992440847949</v>
      </c>
      <c r="K200" s="21" t="n">
        <f aca="false">2_Matriz_decision!K199/K$5</f>
        <v>0.039014903418414</v>
      </c>
      <c r="L200" s="21" t="n">
        <f aca="false">2_Matriz_decision!L199/L$5</f>
        <v>0.0289891643367582</v>
      </c>
      <c r="M200" s="21" t="n">
        <f aca="false">2_Matriz_decision!M199/M$5</f>
        <v>0.034311827302589</v>
      </c>
      <c r="N200" s="21" t="n">
        <f aca="false">2_Matriz_decision!N199/N$5</f>
        <v>0.0112098043469034</v>
      </c>
      <c r="O200" s="21" t="n">
        <f aca="false">2_Matriz_decision!O199/O$5</f>
        <v>0.0304431282773992</v>
      </c>
      <c r="P200" s="21" t="n">
        <f aca="false">2_Matriz_decision!P199/P$5</f>
        <v>0.0264720767589686</v>
      </c>
      <c r="Q200" s="21" t="n">
        <f aca="false">2_Matriz_decision!Q199/Q$5</f>
        <v>0.066946942810462</v>
      </c>
    </row>
    <row r="201" customFormat="false" ht="15" hidden="false" customHeight="false" outlineLevel="0" collapsed="false">
      <c r="A201" s="15" t="n">
        <f aca="false">2_Matriz_decision!A200</f>
        <v>196</v>
      </c>
      <c r="B201" s="16" t="n">
        <f aca="false">2_Matriz_decision!B200</f>
        <v>19.849</v>
      </c>
      <c r="C201" s="21" t="n">
        <f aca="false">2_Matriz_decision!C200/C$5</f>
        <v>0.0439697451539424</v>
      </c>
      <c r="D201" s="21" t="n">
        <f aca="false">2_Matriz_decision!D200/D$5</f>
        <v>0.0334918645582358</v>
      </c>
      <c r="E201" s="21" t="n">
        <f aca="false">2_Matriz_decision!E200/E$5</f>
        <v>0.0400721949850431</v>
      </c>
      <c r="F201" s="21" t="n">
        <f aca="false">2_Matriz_decision!F200/F$5</f>
        <v>0.0494057638940627</v>
      </c>
      <c r="G201" s="21" t="n">
        <f aca="false">2_Matriz_decision!G200/G$5</f>
        <v>0.0411149420220302</v>
      </c>
      <c r="H201" s="21" t="n">
        <f aca="false">2_Matriz_decision!H200/H$5</f>
        <v>0.0512357545379014</v>
      </c>
      <c r="I201" s="21" t="n">
        <f aca="false">2_Matriz_decision!I200/I$5</f>
        <v>0.0296369482982925</v>
      </c>
      <c r="J201" s="21" t="n">
        <f aca="false">2_Matriz_decision!J200/J$5</f>
        <v>0.0351992440847949</v>
      </c>
      <c r="K201" s="21" t="n">
        <f aca="false">2_Matriz_decision!K200/K$5</f>
        <v>0.039014903418414</v>
      </c>
      <c r="L201" s="21" t="n">
        <f aca="false">2_Matriz_decision!L200/L$5</f>
        <v>0.0300053896548364</v>
      </c>
      <c r="M201" s="21" t="n">
        <f aca="false">2_Matriz_decision!M200/M$5</f>
        <v>0.0355601326745119</v>
      </c>
      <c r="N201" s="21" t="n">
        <f aca="false">2_Matriz_decision!N200/N$5</f>
        <v>0.0112098043469034</v>
      </c>
      <c r="O201" s="21" t="n">
        <f aca="false">2_Matriz_decision!O200/O$5</f>
        <v>0.0304431282773992</v>
      </c>
      <c r="P201" s="21" t="n">
        <f aca="false">2_Matriz_decision!P200/P$5</f>
        <v>0.0264720767589686</v>
      </c>
      <c r="Q201" s="21" t="n">
        <f aca="false">2_Matriz_decision!Q200/Q$5</f>
        <v>0.066946942810462</v>
      </c>
    </row>
    <row r="202" customFormat="false" ht="15" hidden="false" customHeight="false" outlineLevel="0" collapsed="false">
      <c r="A202" s="15" t="n">
        <f aca="false">2_Matriz_decision!A201</f>
        <v>197</v>
      </c>
      <c r="B202" s="16" t="n">
        <f aca="false">2_Matriz_decision!B201</f>
        <v>19.95</v>
      </c>
      <c r="C202" s="21" t="n">
        <f aca="false">2_Matriz_decision!C201/C$5</f>
        <v>0.0439697451539424</v>
      </c>
      <c r="D202" s="21" t="n">
        <f aca="false">2_Matriz_decision!D201/D$5</f>
        <v>0.0334918645582358</v>
      </c>
      <c r="E202" s="21" t="n">
        <f aca="false">2_Matriz_decision!E201/E$5</f>
        <v>0.0400721949850431</v>
      </c>
      <c r="F202" s="21" t="n">
        <f aca="false">2_Matriz_decision!F201/F$5</f>
        <v>0.0494057638940627</v>
      </c>
      <c r="G202" s="21" t="n">
        <f aca="false">2_Matriz_decision!G201/G$5</f>
        <v>0.0411149420220302</v>
      </c>
      <c r="H202" s="21" t="n">
        <f aca="false">2_Matriz_decision!H201/H$5</f>
        <v>0.0512357545379014</v>
      </c>
      <c r="I202" s="21" t="n">
        <f aca="false">2_Matriz_decision!I201/I$5</f>
        <v>0.0296369482982925</v>
      </c>
      <c r="J202" s="21" t="n">
        <f aca="false">2_Matriz_decision!J201/J$5</f>
        <v>0.0351992440847949</v>
      </c>
      <c r="K202" s="21" t="n">
        <f aca="false">2_Matriz_decision!K201/K$5</f>
        <v>0.039014903418414</v>
      </c>
      <c r="L202" s="21" t="n">
        <f aca="false">2_Matriz_decision!L201/L$5</f>
        <v>0.0313558996170194</v>
      </c>
      <c r="M202" s="21" t="n">
        <f aca="false">2_Matriz_decision!M201/M$5</f>
        <v>0.0349635973640355</v>
      </c>
      <c r="N202" s="21" t="n">
        <f aca="false">2_Matriz_decision!N201/N$5</f>
        <v>0.0112098043469034</v>
      </c>
      <c r="O202" s="21" t="n">
        <f aca="false">2_Matriz_decision!O201/O$5</f>
        <v>0.0304431282773992</v>
      </c>
      <c r="P202" s="21" t="n">
        <f aca="false">2_Matriz_decision!P201/P$5</f>
        <v>0.0264720767589686</v>
      </c>
      <c r="Q202" s="21" t="n">
        <f aca="false">2_Matriz_decision!Q201/Q$5</f>
        <v>0.066946942810462</v>
      </c>
    </row>
    <row r="203" customFormat="false" ht="15" hidden="false" customHeight="false" outlineLevel="0" collapsed="false">
      <c r="A203" s="15" t="n">
        <f aca="false">2_Matriz_decision!A202</f>
        <v>198</v>
      </c>
      <c r="B203" s="16" t="n">
        <f aca="false">2_Matriz_decision!B202</f>
        <v>20.05</v>
      </c>
      <c r="C203" s="21" t="n">
        <f aca="false">2_Matriz_decision!C202/C$5</f>
        <v>0.0439697451539424</v>
      </c>
      <c r="D203" s="21" t="n">
        <f aca="false">2_Matriz_decision!D202/D$5</f>
        <v>0.0334918645582358</v>
      </c>
      <c r="E203" s="21" t="n">
        <f aca="false">2_Matriz_decision!E202/E$5</f>
        <v>0.0400721949850431</v>
      </c>
      <c r="F203" s="21" t="n">
        <f aca="false">2_Matriz_decision!F202/F$5</f>
        <v>0.0494057638940627</v>
      </c>
      <c r="G203" s="21" t="n">
        <f aca="false">2_Matriz_decision!G202/G$5</f>
        <v>0.0411149420220302</v>
      </c>
      <c r="H203" s="21" t="n">
        <f aca="false">2_Matriz_decision!H202/H$5</f>
        <v>0.0512357545379014</v>
      </c>
      <c r="I203" s="21" t="n">
        <f aca="false">2_Matriz_decision!I202/I$5</f>
        <v>0.0148184741491462</v>
      </c>
      <c r="J203" s="21" t="n">
        <f aca="false">2_Matriz_decision!J202/J$5</f>
        <v>0.0351992440847949</v>
      </c>
      <c r="K203" s="21" t="n">
        <f aca="false">2_Matriz_decision!K202/K$5</f>
        <v>0.039014903418414</v>
      </c>
      <c r="L203" s="21" t="n">
        <f aca="false">2_Matriz_decision!L202/L$5</f>
        <v>0.0237609525029609</v>
      </c>
      <c r="M203" s="21" t="n">
        <f aca="false">2_Matriz_decision!M202/M$5</f>
        <v>0.0379683678168057</v>
      </c>
      <c r="N203" s="21" t="n">
        <f aca="false">2_Matriz_decision!N202/N$5</f>
        <v>0.0112098043469034</v>
      </c>
      <c r="O203" s="21" t="n">
        <f aca="false">2_Matriz_decision!O202/O$5</f>
        <v>0.0304431282773992</v>
      </c>
      <c r="P203" s="21" t="n">
        <f aca="false">2_Matriz_decision!P202/P$5</f>
        <v>0.0264720767589686</v>
      </c>
      <c r="Q203" s="21" t="n">
        <f aca="false">2_Matriz_decision!Q202/Q$5</f>
        <v>0.066946942810462</v>
      </c>
    </row>
    <row r="204" customFormat="false" ht="15" hidden="false" customHeight="false" outlineLevel="0" collapsed="false">
      <c r="A204" s="15" t="n">
        <f aca="false">2_Matriz_decision!A203</f>
        <v>199</v>
      </c>
      <c r="B204" s="16" t="n">
        <f aca="false">2_Matriz_decision!B203</f>
        <v>20.15</v>
      </c>
      <c r="C204" s="21" t="n">
        <f aca="false">2_Matriz_decision!C203/C$5</f>
        <v>0.0439697451539424</v>
      </c>
      <c r="D204" s="21" t="n">
        <f aca="false">2_Matriz_decision!D203/D$5</f>
        <v>0.0418648306977948</v>
      </c>
      <c r="E204" s="21" t="n">
        <f aca="false">2_Matriz_decision!E203/E$5</f>
        <v>0.0400721949850431</v>
      </c>
      <c r="F204" s="21" t="n">
        <f aca="false">2_Matriz_decision!F203/F$5</f>
        <v>0.0494057638940627</v>
      </c>
      <c r="G204" s="21" t="n">
        <f aca="false">2_Matriz_decision!G203/G$5</f>
        <v>0.0411149420220302</v>
      </c>
      <c r="H204" s="21" t="n">
        <f aca="false">2_Matriz_decision!H203/H$5</f>
        <v>0.0512357545379014</v>
      </c>
      <c r="I204" s="21" t="n">
        <f aca="false">2_Matriz_decision!I203/I$5</f>
        <v>0.0148184741491462</v>
      </c>
      <c r="J204" s="21" t="n">
        <f aca="false">2_Matriz_decision!J203/J$5</f>
        <v>0.0351992440847949</v>
      </c>
      <c r="K204" s="21" t="n">
        <f aca="false">2_Matriz_decision!K203/K$5</f>
        <v>0.039014903418414</v>
      </c>
      <c r="L204" s="21" t="n">
        <f aca="false">2_Matriz_decision!L203/L$5</f>
        <v>0.0185327406691637</v>
      </c>
      <c r="M204" s="21" t="n">
        <f aca="false">2_Matriz_decision!M203/M$5</f>
        <v>0.0431604344079895</v>
      </c>
      <c r="N204" s="21" t="n">
        <f aca="false">2_Matriz_decision!N203/N$5</f>
        <v>0.0112098043469034</v>
      </c>
      <c r="O204" s="21" t="n">
        <f aca="false">2_Matriz_decision!O203/O$5</f>
        <v>0.0304431282773992</v>
      </c>
      <c r="P204" s="21" t="n">
        <f aca="false">2_Matriz_decision!P203/P$5</f>
        <v>0.0264720767589686</v>
      </c>
      <c r="Q204" s="21" t="n">
        <f aca="false">2_Matriz_decision!Q203/Q$5</f>
        <v>0.0133893885620924</v>
      </c>
    </row>
    <row r="205" customFormat="false" ht="15" hidden="false" customHeight="false" outlineLevel="0" collapsed="false">
      <c r="A205" s="15" t="n">
        <f aca="false">2_Matriz_decision!A204</f>
        <v>200</v>
      </c>
      <c r="B205" s="16" t="n">
        <f aca="false">2_Matriz_decision!B204</f>
        <v>20.248</v>
      </c>
      <c r="C205" s="21" t="n">
        <f aca="false">2_Matriz_decision!C204/C$5</f>
        <v>0.0439697451539424</v>
      </c>
      <c r="D205" s="21" t="n">
        <f aca="false">2_Matriz_decision!D204/D$5</f>
        <v>0.0418648306977948</v>
      </c>
      <c r="E205" s="21" t="n">
        <f aca="false">2_Matriz_decision!E204/E$5</f>
        <v>0.0400721949850431</v>
      </c>
      <c r="F205" s="21" t="n">
        <f aca="false">2_Matriz_decision!F204/F$5</f>
        <v>0.0494057638940627</v>
      </c>
      <c r="G205" s="21" t="n">
        <f aca="false">2_Matriz_decision!G204/G$5</f>
        <v>0.0411149420220302</v>
      </c>
      <c r="H205" s="21" t="n">
        <f aca="false">2_Matriz_decision!H204/H$5</f>
        <v>0.0512357545379014</v>
      </c>
      <c r="I205" s="21" t="n">
        <f aca="false">2_Matriz_decision!I204/I$5</f>
        <v>0.0148184741491462</v>
      </c>
      <c r="J205" s="21" t="n">
        <f aca="false">2_Matriz_decision!J204/J$5</f>
        <v>0.0351992440847949</v>
      </c>
      <c r="K205" s="21" t="n">
        <f aca="false">2_Matriz_decision!K204/K$5</f>
        <v>0.0312119227347312</v>
      </c>
      <c r="L205" s="21" t="n">
        <f aca="false">2_Matriz_decision!L204/L$5</f>
        <v>0.0168880602201686</v>
      </c>
      <c r="M205" s="21" t="n">
        <f aca="false">2_Matriz_decision!M204/M$5</f>
        <v>0.0441878007760322</v>
      </c>
      <c r="N205" s="21" t="n">
        <f aca="false">2_Matriz_decision!N204/N$5</f>
        <v>0.0112098043469034</v>
      </c>
      <c r="O205" s="21" t="n">
        <f aca="false">2_Matriz_decision!O204/O$5</f>
        <v>0.0304431282773992</v>
      </c>
      <c r="P205" s="21" t="n">
        <f aca="false">2_Matriz_decision!P204/P$5</f>
        <v>0.0264720767589686</v>
      </c>
      <c r="Q205" s="21" t="n">
        <f aca="false">2_Matriz_decision!Q204/Q$5</f>
        <v>0.0133893885620924</v>
      </c>
    </row>
    <row r="206" customFormat="false" ht="15" hidden="false" customHeight="false" outlineLevel="0" collapsed="false">
      <c r="A206" s="15" t="n">
        <f aca="false">2_Matriz_decision!A205</f>
        <v>201</v>
      </c>
      <c r="B206" s="16" t="n">
        <f aca="false">2_Matriz_decision!B205</f>
        <v>20.347</v>
      </c>
      <c r="C206" s="21" t="n">
        <f aca="false">2_Matriz_decision!C205/C$5</f>
        <v>0.0439697451539424</v>
      </c>
      <c r="D206" s="21" t="n">
        <f aca="false">2_Matriz_decision!D205/D$5</f>
        <v>0.0418648306977948</v>
      </c>
      <c r="E206" s="21" t="n">
        <f aca="false">2_Matriz_decision!E205/E$5</f>
        <v>0.0400721949850431</v>
      </c>
      <c r="F206" s="21" t="n">
        <f aca="false">2_Matriz_decision!F205/F$5</f>
        <v>0.0494057638940627</v>
      </c>
      <c r="G206" s="21" t="n">
        <f aca="false">2_Matriz_decision!G205/G$5</f>
        <v>0.0411149420220302</v>
      </c>
      <c r="H206" s="21" t="n">
        <f aca="false">2_Matriz_decision!H205/H$5</f>
        <v>0.0512357545379014</v>
      </c>
      <c r="I206" s="21" t="n">
        <f aca="false">2_Matriz_decision!I205/I$5</f>
        <v>0.0148184741491462</v>
      </c>
      <c r="J206" s="21" t="n">
        <f aca="false">2_Matriz_decision!J205/J$5</f>
        <v>0.0351992440847949</v>
      </c>
      <c r="K206" s="21" t="n">
        <f aca="false">2_Matriz_decision!K205/K$5</f>
        <v>0.0312119227347312</v>
      </c>
      <c r="L206" s="21" t="n">
        <f aca="false">2_Matriz_decision!L205/L$5</f>
        <v>0.0160055487597323</v>
      </c>
      <c r="M206" s="21" t="n">
        <f aca="false">2_Matriz_decision!M205/M$5</f>
        <v>0.0441878007760322</v>
      </c>
      <c r="N206" s="21" t="n">
        <f aca="false">2_Matriz_decision!N205/N$5</f>
        <v>0.0112098043469034</v>
      </c>
      <c r="O206" s="21" t="n">
        <f aca="false">2_Matriz_decision!O205/O$5</f>
        <v>0.0304431282773992</v>
      </c>
      <c r="P206" s="21" t="n">
        <f aca="false">2_Matriz_decision!P205/P$5</f>
        <v>0.0264720767589686</v>
      </c>
      <c r="Q206" s="21" t="n">
        <f aca="false">2_Matriz_decision!Q205/Q$5</f>
        <v>0.0133893885620924</v>
      </c>
    </row>
    <row r="207" customFormat="false" ht="15" hidden="false" customHeight="false" outlineLevel="0" collapsed="false">
      <c r="A207" s="15" t="n">
        <f aca="false">2_Matriz_decision!A206</f>
        <v>202</v>
      </c>
      <c r="B207" s="16" t="n">
        <f aca="false">2_Matriz_decision!B206</f>
        <v>20.445</v>
      </c>
      <c r="C207" s="21" t="n">
        <f aca="false">2_Matriz_decision!C206/C$5</f>
        <v>0.0439697451539424</v>
      </c>
      <c r="D207" s="21" t="n">
        <f aca="false">2_Matriz_decision!D206/D$5</f>
        <v>0.0418648306977948</v>
      </c>
      <c r="E207" s="21" t="n">
        <f aca="false">2_Matriz_decision!E206/E$5</f>
        <v>0.0400721949850431</v>
      </c>
      <c r="F207" s="21" t="n">
        <f aca="false">2_Matriz_decision!F206/F$5</f>
        <v>0.0494057638940627</v>
      </c>
      <c r="G207" s="21" t="n">
        <f aca="false">2_Matriz_decision!G206/G$5</f>
        <v>0.0411149420220302</v>
      </c>
      <c r="H207" s="21" t="n">
        <f aca="false">2_Matriz_decision!H206/H$5</f>
        <v>0.0512357545379014</v>
      </c>
      <c r="I207" s="21" t="n">
        <f aca="false">2_Matriz_decision!I206/I$5</f>
        <v>0.0148184741491462</v>
      </c>
      <c r="J207" s="21" t="n">
        <f aca="false">2_Matriz_decision!J206/J$5</f>
        <v>0.0351992440847949</v>
      </c>
      <c r="K207" s="21" t="n">
        <f aca="false">2_Matriz_decision!K206/K$5</f>
        <v>0.0312119227347312</v>
      </c>
      <c r="L207" s="21" t="n">
        <f aca="false">2_Matriz_decision!L206/L$5</f>
        <v>0.0154706933291648</v>
      </c>
      <c r="M207" s="21" t="n">
        <f aca="false">2_Matriz_decision!M206/M$5</f>
        <v>0.0441878007760322</v>
      </c>
      <c r="N207" s="21" t="n">
        <f aca="false">2_Matriz_decision!N206/N$5</f>
        <v>0.0112098043469034</v>
      </c>
      <c r="O207" s="21" t="n">
        <f aca="false">2_Matriz_decision!O206/O$5</f>
        <v>0.0304431282773992</v>
      </c>
      <c r="P207" s="21" t="n">
        <f aca="false">2_Matriz_decision!P206/P$5</f>
        <v>0.0264720767589686</v>
      </c>
      <c r="Q207" s="21" t="n">
        <f aca="false">2_Matriz_decision!Q206/Q$5</f>
        <v>0.0133893885620924</v>
      </c>
    </row>
    <row r="208" customFormat="false" ht="15" hidden="false" customHeight="false" outlineLevel="0" collapsed="false">
      <c r="A208" s="15" t="n">
        <f aca="false">2_Matriz_decision!A207</f>
        <v>203</v>
      </c>
      <c r="B208" s="16" t="n">
        <f aca="false">2_Matriz_decision!B207</f>
        <v>20.543</v>
      </c>
      <c r="C208" s="21" t="n">
        <f aca="false">2_Matriz_decision!C207/C$5</f>
        <v>0.0439697451539424</v>
      </c>
      <c r="D208" s="21" t="n">
        <f aca="false">2_Matriz_decision!D207/D$5</f>
        <v>0.0418648306977948</v>
      </c>
      <c r="E208" s="21" t="n">
        <f aca="false">2_Matriz_decision!E207/E$5</f>
        <v>0.0400721949850431</v>
      </c>
      <c r="F208" s="21" t="n">
        <f aca="false">2_Matriz_decision!F207/F$5</f>
        <v>0.0494057638940627</v>
      </c>
      <c r="G208" s="21" t="n">
        <f aca="false">2_Matriz_decision!G207/G$5</f>
        <v>0.0411149420220302</v>
      </c>
      <c r="H208" s="21" t="n">
        <f aca="false">2_Matriz_decision!H207/H$5</f>
        <v>0.0512357545379014</v>
      </c>
      <c r="I208" s="21" t="n">
        <f aca="false">2_Matriz_decision!I207/I$5</f>
        <v>0.0148184741491462</v>
      </c>
      <c r="J208" s="21" t="n">
        <f aca="false">2_Matriz_decision!J207/J$5</f>
        <v>0.0351992440847949</v>
      </c>
      <c r="K208" s="21" t="n">
        <f aca="false">2_Matriz_decision!K207/K$5</f>
        <v>0.0312119227347312</v>
      </c>
      <c r="L208" s="21" t="n">
        <f aca="false">2_Matriz_decision!L207/L$5</f>
        <v>0.0162997192465444</v>
      </c>
      <c r="M208" s="21" t="n">
        <f aca="false">2_Matriz_decision!M207/M$5</f>
        <v>0.0441878007760322</v>
      </c>
      <c r="N208" s="21" t="n">
        <f aca="false">2_Matriz_decision!N207/N$5</f>
        <v>0.0112098043469034</v>
      </c>
      <c r="O208" s="21" t="n">
        <f aca="false">2_Matriz_decision!O207/O$5</f>
        <v>0.0304431282773992</v>
      </c>
      <c r="P208" s="21" t="n">
        <f aca="false">2_Matriz_decision!P207/P$5</f>
        <v>0.0264720767589686</v>
      </c>
      <c r="Q208" s="21" t="n">
        <f aca="false">2_Matriz_decision!Q207/Q$5</f>
        <v>0.0133893885620924</v>
      </c>
    </row>
    <row r="209" customFormat="false" ht="15" hidden="false" customHeight="false" outlineLevel="0" collapsed="false">
      <c r="A209" s="15" t="n">
        <f aca="false">2_Matriz_decision!A208</f>
        <v>204</v>
      </c>
      <c r="B209" s="16" t="n">
        <f aca="false">2_Matriz_decision!B208</f>
        <v>20.641</v>
      </c>
      <c r="C209" s="21" t="n">
        <f aca="false">2_Matriz_decision!C208/C$5</f>
        <v>0.0439697451539424</v>
      </c>
      <c r="D209" s="21" t="n">
        <f aca="false">2_Matriz_decision!D208/D$5</f>
        <v>0.0418648306977948</v>
      </c>
      <c r="E209" s="21" t="n">
        <f aca="false">2_Matriz_decision!E208/E$5</f>
        <v>0.0400721949850431</v>
      </c>
      <c r="F209" s="21" t="n">
        <f aca="false">2_Matriz_decision!F208/F$5</f>
        <v>0.0494057638940627</v>
      </c>
      <c r="G209" s="21" t="n">
        <f aca="false">2_Matriz_decision!G208/G$5</f>
        <v>0.0411149420220302</v>
      </c>
      <c r="H209" s="21" t="n">
        <f aca="false">2_Matriz_decision!H208/H$5</f>
        <v>0.0512357545379014</v>
      </c>
      <c r="I209" s="21" t="n">
        <f aca="false">2_Matriz_decision!I208/I$5</f>
        <v>0.0148184741491462</v>
      </c>
      <c r="J209" s="21" t="n">
        <f aca="false">2_Matriz_decision!J208/J$5</f>
        <v>0.0351992440847949</v>
      </c>
      <c r="K209" s="21" t="n">
        <f aca="false">2_Matriz_decision!K208/K$5</f>
        <v>0.0312119227347312</v>
      </c>
      <c r="L209" s="21" t="n">
        <f aca="false">2_Matriz_decision!L208/L$5</f>
        <v>0.0170618882351031</v>
      </c>
      <c r="M209" s="21" t="n">
        <f aca="false">2_Matriz_decision!M208/M$5</f>
        <v>0.0441878007760322</v>
      </c>
      <c r="N209" s="21" t="n">
        <f aca="false">2_Matriz_decision!N208/N$5</f>
        <v>0.0112098043469034</v>
      </c>
      <c r="O209" s="21" t="n">
        <f aca="false">2_Matriz_decision!O208/O$5</f>
        <v>0.0304431282773992</v>
      </c>
      <c r="P209" s="21" t="n">
        <f aca="false">2_Matriz_decision!P208/P$5</f>
        <v>0.0264720767589686</v>
      </c>
      <c r="Q209" s="21" t="n">
        <f aca="false">2_Matriz_decision!Q208/Q$5</f>
        <v>0.0133893885620924</v>
      </c>
    </row>
    <row r="210" customFormat="false" ht="15" hidden="false" customHeight="false" outlineLevel="0" collapsed="false">
      <c r="A210" s="15" t="n">
        <f aca="false">2_Matriz_decision!A209</f>
        <v>205</v>
      </c>
      <c r="B210" s="16" t="n">
        <f aca="false">2_Matriz_decision!B209</f>
        <v>20.74</v>
      </c>
      <c r="C210" s="21" t="n">
        <f aca="false">2_Matriz_decision!C209/C$5</f>
        <v>0.0439697451539424</v>
      </c>
      <c r="D210" s="21" t="n">
        <f aca="false">2_Matriz_decision!D209/D$5</f>
        <v>0.0418648306977948</v>
      </c>
      <c r="E210" s="21" t="n">
        <f aca="false">2_Matriz_decision!E209/E$5</f>
        <v>0.0400721949850431</v>
      </c>
      <c r="F210" s="21" t="n">
        <f aca="false">2_Matriz_decision!F209/F$5</f>
        <v>0.0494057638940627</v>
      </c>
      <c r="G210" s="21" t="n">
        <f aca="false">2_Matriz_decision!G209/G$5</f>
        <v>0.0411149420220302</v>
      </c>
      <c r="H210" s="21" t="n">
        <f aca="false">2_Matriz_decision!H209/H$5</f>
        <v>0.0512357545379014</v>
      </c>
      <c r="I210" s="21" t="n">
        <f aca="false">2_Matriz_decision!I209/I$5</f>
        <v>0.0148184741491462</v>
      </c>
      <c r="J210" s="21" t="n">
        <f aca="false">2_Matriz_decision!J209/J$5</f>
        <v>0.0351992440847949</v>
      </c>
      <c r="K210" s="21" t="n">
        <f aca="false">2_Matriz_decision!K209/K$5</f>
        <v>0.0312119227347312</v>
      </c>
      <c r="L210" s="21" t="n">
        <f aca="false">2_Matriz_decision!L209/L$5</f>
        <v>0.0168613174486403</v>
      </c>
      <c r="M210" s="21" t="n">
        <f aca="false">2_Matriz_decision!M209/M$5</f>
        <v>0.0441878007760322</v>
      </c>
      <c r="N210" s="21" t="n">
        <f aca="false">2_Matriz_decision!N209/N$5</f>
        <v>0.0112098043469034</v>
      </c>
      <c r="O210" s="21" t="n">
        <f aca="false">2_Matriz_decision!O209/O$5</f>
        <v>0.0304431282773992</v>
      </c>
      <c r="P210" s="21" t="n">
        <f aca="false">2_Matriz_decision!P209/P$5</f>
        <v>0.0264720767589686</v>
      </c>
      <c r="Q210" s="21" t="n">
        <f aca="false">2_Matriz_decision!Q209/Q$5</f>
        <v>0.0133893885620924</v>
      </c>
    </row>
    <row r="211" customFormat="false" ht="15" hidden="false" customHeight="false" outlineLevel="0" collapsed="false">
      <c r="A211" s="15" t="n">
        <f aca="false">2_Matriz_decision!A210</f>
        <v>206</v>
      </c>
      <c r="B211" s="16" t="n">
        <f aca="false">2_Matriz_decision!B210</f>
        <v>20.84</v>
      </c>
      <c r="C211" s="21" t="n">
        <f aca="false">2_Matriz_decision!C210/C$5</f>
        <v>0.0439697451539424</v>
      </c>
      <c r="D211" s="21" t="n">
        <f aca="false">2_Matriz_decision!D210/D$5</f>
        <v>0.0418648306977948</v>
      </c>
      <c r="E211" s="21" t="n">
        <f aca="false">2_Matriz_decision!E210/E$5</f>
        <v>0.0400721949850431</v>
      </c>
      <c r="F211" s="21" t="n">
        <f aca="false">2_Matriz_decision!F210/F$5</f>
        <v>0.0494057638940627</v>
      </c>
      <c r="G211" s="21" t="n">
        <f aca="false">2_Matriz_decision!G210/G$5</f>
        <v>0.0411149420220302</v>
      </c>
      <c r="H211" s="21" t="n">
        <f aca="false">2_Matriz_decision!H210/H$5</f>
        <v>0.0512357545379014</v>
      </c>
      <c r="I211" s="21" t="n">
        <f aca="false">2_Matriz_decision!I210/I$5</f>
        <v>0.0148184741491462</v>
      </c>
      <c r="J211" s="21" t="n">
        <f aca="false">2_Matriz_decision!J210/J$5</f>
        <v>0.0351992440847949</v>
      </c>
      <c r="K211" s="21" t="n">
        <f aca="false">2_Matriz_decision!K210/K$5</f>
        <v>0.0312119227347312</v>
      </c>
      <c r="L211" s="21" t="n">
        <f aca="false">2_Matriz_decision!L210/L$5</f>
        <v>0.0162863478607802</v>
      </c>
      <c r="M211" s="21" t="n">
        <f aca="false">2_Matriz_decision!M210/M$5</f>
        <v>0.0417574717333505</v>
      </c>
      <c r="N211" s="21" t="n">
        <f aca="false">2_Matriz_decision!N210/N$5</f>
        <v>0.0112098043469034</v>
      </c>
      <c r="O211" s="21" t="n">
        <f aca="false">2_Matriz_decision!O210/O$5</f>
        <v>0.0304431282773992</v>
      </c>
      <c r="P211" s="21" t="n">
        <f aca="false">2_Matriz_decision!P210/P$5</f>
        <v>0.0264720767589686</v>
      </c>
      <c r="Q211" s="21" t="n">
        <f aca="false">2_Matriz_decision!Q210/Q$5</f>
        <v>0.0133893885620924</v>
      </c>
    </row>
    <row r="212" customFormat="false" ht="15" hidden="false" customHeight="false" outlineLevel="0" collapsed="false">
      <c r="A212" s="15" t="n">
        <f aca="false">2_Matriz_decision!A211</f>
        <v>207</v>
      </c>
      <c r="B212" s="16" t="n">
        <f aca="false">2_Matriz_decision!B211</f>
        <v>20.939</v>
      </c>
      <c r="C212" s="21" t="n">
        <f aca="false">2_Matriz_decision!C211/C$5</f>
        <v>0.0439697451539424</v>
      </c>
      <c r="D212" s="21" t="n">
        <f aca="false">2_Matriz_decision!D211/D$5</f>
        <v>0.0418648306977948</v>
      </c>
      <c r="E212" s="21" t="n">
        <f aca="false">2_Matriz_decision!E211/E$5</f>
        <v>0.0400721949850431</v>
      </c>
      <c r="F212" s="21" t="n">
        <f aca="false">2_Matriz_decision!F211/F$5</f>
        <v>0.0494057638940627</v>
      </c>
      <c r="G212" s="21" t="n">
        <f aca="false">2_Matriz_decision!G211/G$5</f>
        <v>0.0411149420220302</v>
      </c>
      <c r="H212" s="21" t="n">
        <f aca="false">2_Matriz_decision!H211/H$5</f>
        <v>0.0512357545379014</v>
      </c>
      <c r="I212" s="21" t="n">
        <f aca="false">2_Matriz_decision!I211/I$5</f>
        <v>0.0296369482982925</v>
      </c>
      <c r="J212" s="21" t="n">
        <f aca="false">2_Matriz_decision!J211/J$5</f>
        <v>0.0351992440847949</v>
      </c>
      <c r="K212" s="21" t="n">
        <f aca="false">2_Matriz_decision!K211/K$5</f>
        <v>0.0312119227347312</v>
      </c>
      <c r="L212" s="21" t="n">
        <f aca="false">2_Matriz_decision!L211/L$5</f>
        <v>0.0203779919046215</v>
      </c>
      <c r="M212" s="21" t="n">
        <f aca="false">2_Matriz_decision!M211/M$5</f>
        <v>0.0355048979235419</v>
      </c>
      <c r="N212" s="21" t="n">
        <f aca="false">2_Matriz_decision!N211/N$5</f>
        <v>0.0112098043469034</v>
      </c>
      <c r="O212" s="21" t="n">
        <f aca="false">2_Matriz_decision!O211/O$5</f>
        <v>0.0304431282773992</v>
      </c>
      <c r="P212" s="21" t="n">
        <f aca="false">2_Matriz_decision!P211/P$5</f>
        <v>0.0264720767589686</v>
      </c>
      <c r="Q212" s="21" t="n">
        <f aca="false">2_Matriz_decision!Q211/Q$5</f>
        <v>0.0133893885620924</v>
      </c>
    </row>
    <row r="213" customFormat="false" ht="15" hidden="false" customHeight="false" outlineLevel="0" collapsed="false">
      <c r="A213" s="15" t="n">
        <f aca="false">2_Matriz_decision!A212</f>
        <v>208</v>
      </c>
      <c r="B213" s="16" t="n">
        <f aca="false">2_Matriz_decision!B212</f>
        <v>21.04</v>
      </c>
      <c r="C213" s="21" t="n">
        <f aca="false">2_Matriz_decision!C212/C$5</f>
        <v>0.0439697451539424</v>
      </c>
      <c r="D213" s="21" t="n">
        <f aca="false">2_Matriz_decision!D212/D$5</f>
        <v>0.0418648306977948</v>
      </c>
      <c r="E213" s="21" t="n">
        <f aca="false">2_Matriz_decision!E212/E$5</f>
        <v>0.0500902437313038</v>
      </c>
      <c r="F213" s="21" t="n">
        <f aca="false">2_Matriz_decision!F212/F$5</f>
        <v>0.0494057638940627</v>
      </c>
      <c r="G213" s="21" t="n">
        <f aca="false">2_Matriz_decision!G212/G$5</f>
        <v>0.0411149420220302</v>
      </c>
      <c r="H213" s="21" t="n">
        <f aca="false">2_Matriz_decision!H212/H$5</f>
        <v>0.0384268159034261</v>
      </c>
      <c r="I213" s="21" t="n">
        <f aca="false">2_Matriz_decision!I212/I$5</f>
        <v>0.0592738965965849</v>
      </c>
      <c r="J213" s="21" t="n">
        <f aca="false">2_Matriz_decision!J212/J$5</f>
        <v>0.0351992440847949</v>
      </c>
      <c r="K213" s="21" t="n">
        <f aca="false">2_Matriz_decision!K212/K$5</f>
        <v>0.0312119227347312</v>
      </c>
      <c r="L213" s="21" t="n">
        <f aca="false">2_Matriz_decision!L212/L$5</f>
        <v>0.0203111349758006</v>
      </c>
      <c r="M213" s="21" t="n">
        <f aca="false">2_Matriz_decision!M212/M$5</f>
        <v>0.0394707530431908</v>
      </c>
      <c r="N213" s="21" t="n">
        <f aca="false">2_Matriz_decision!N212/N$5</f>
        <v>0.0112098043469034</v>
      </c>
      <c r="O213" s="21" t="n">
        <f aca="false">2_Matriz_decision!O212/O$5</f>
        <v>0.0304431282773992</v>
      </c>
      <c r="P213" s="21" t="n">
        <f aca="false">2_Matriz_decision!P212/P$5</f>
        <v>0.0264720767589686</v>
      </c>
      <c r="Q213" s="21" t="n">
        <f aca="false">2_Matriz_decision!Q212/Q$5</f>
        <v>0.066946942810462</v>
      </c>
    </row>
    <row r="214" customFormat="false" ht="15" hidden="false" customHeight="false" outlineLevel="0" collapsed="false">
      <c r="A214" s="15" t="n">
        <f aca="false">2_Matriz_decision!A213</f>
        <v>209</v>
      </c>
      <c r="B214" s="16" t="n">
        <f aca="false">2_Matriz_decision!B213</f>
        <v>21.14</v>
      </c>
      <c r="C214" s="21" t="n">
        <f aca="false">2_Matriz_decision!C213/C$5</f>
        <v>0.0439697451539424</v>
      </c>
      <c r="D214" s="21" t="n">
        <f aca="false">2_Matriz_decision!D213/D$5</f>
        <v>0.0418648306977948</v>
      </c>
      <c r="E214" s="21" t="n">
        <f aca="false">2_Matriz_decision!E213/E$5</f>
        <v>0.0500902437313038</v>
      </c>
      <c r="F214" s="21" t="n">
        <f aca="false">2_Matriz_decision!F213/F$5</f>
        <v>0.0494057638940627</v>
      </c>
      <c r="G214" s="21" t="n">
        <f aca="false">2_Matriz_decision!G213/G$5</f>
        <v>0.0411149420220302</v>
      </c>
      <c r="H214" s="21" t="n">
        <f aca="false">2_Matriz_decision!H213/H$5</f>
        <v>0.0384268159034261</v>
      </c>
      <c r="I214" s="21" t="n">
        <f aca="false">2_Matriz_decision!I213/I$5</f>
        <v>0.0740923707457312</v>
      </c>
      <c r="J214" s="21" t="n">
        <f aca="false">2_Matriz_decision!J213/J$5</f>
        <v>0.0351992440847949</v>
      </c>
      <c r="K214" s="21" t="n">
        <f aca="false">2_Matriz_decision!K213/K$5</f>
        <v>0.0312119227347312</v>
      </c>
      <c r="L214" s="21" t="n">
        <f aca="false">2_Matriz_decision!L213/L$5</f>
        <v>0.015845092130562</v>
      </c>
      <c r="M214" s="21" t="n">
        <f aca="false">2_Matriz_decision!M213/M$5</f>
        <v>0.0441878007760322</v>
      </c>
      <c r="N214" s="21" t="n">
        <f aca="false">2_Matriz_decision!N213/N$5</f>
        <v>0.0112098043469034</v>
      </c>
      <c r="O214" s="21" t="n">
        <f aca="false">2_Matriz_decision!O213/O$5</f>
        <v>0.0304431282773992</v>
      </c>
      <c r="P214" s="21" t="n">
        <f aca="false">2_Matriz_decision!P213/P$5</f>
        <v>0.0264720767589686</v>
      </c>
      <c r="Q214" s="21" t="n">
        <f aca="false">2_Matriz_decision!Q213/Q$5</f>
        <v>0.0133893885620924</v>
      </c>
    </row>
    <row r="215" customFormat="false" ht="15" hidden="false" customHeight="false" outlineLevel="0" collapsed="false">
      <c r="A215" s="15" t="n">
        <f aca="false">2_Matriz_decision!A214</f>
        <v>210</v>
      </c>
      <c r="B215" s="16" t="n">
        <f aca="false">2_Matriz_decision!B214</f>
        <v>21.24</v>
      </c>
      <c r="C215" s="21" t="n">
        <f aca="false">2_Matriz_decision!C214/C$5</f>
        <v>0.0439697451539424</v>
      </c>
      <c r="D215" s="21" t="n">
        <f aca="false">2_Matriz_decision!D214/D$5</f>
        <v>0.0418648306977948</v>
      </c>
      <c r="E215" s="21" t="n">
        <f aca="false">2_Matriz_decision!E214/E$5</f>
        <v>0.0500902437313038</v>
      </c>
      <c r="F215" s="21" t="n">
        <f aca="false">2_Matriz_decision!F214/F$5</f>
        <v>0.0494057638940627</v>
      </c>
      <c r="G215" s="21" t="n">
        <f aca="false">2_Matriz_decision!G214/G$5</f>
        <v>0.0411149420220302</v>
      </c>
      <c r="H215" s="21" t="n">
        <f aca="false">2_Matriz_decision!H214/H$5</f>
        <v>0.0384268159034261</v>
      </c>
      <c r="I215" s="21" t="n">
        <f aca="false">2_Matriz_decision!I214/I$5</f>
        <v>0.0740923707457312</v>
      </c>
      <c r="J215" s="21" t="n">
        <f aca="false">2_Matriz_decision!J214/J$5</f>
        <v>0.0351992440847949</v>
      </c>
      <c r="K215" s="21" t="n">
        <f aca="false">2_Matriz_decision!K214/K$5</f>
        <v>0.0312119227347312</v>
      </c>
      <c r="L215" s="21" t="n">
        <f aca="false">2_Matriz_decision!L214/L$5</f>
        <v>0.0161125198458458</v>
      </c>
      <c r="M215" s="21" t="n">
        <f aca="false">2_Matriz_decision!M214/M$5</f>
        <v>0.0427296033504232</v>
      </c>
      <c r="N215" s="21" t="n">
        <f aca="false">2_Matriz_decision!N214/N$5</f>
        <v>0.0112098043469034</v>
      </c>
      <c r="O215" s="21" t="n">
        <f aca="false">2_Matriz_decision!O214/O$5</f>
        <v>0.0304431282773992</v>
      </c>
      <c r="P215" s="21" t="n">
        <f aca="false">2_Matriz_decision!P214/P$5</f>
        <v>0.0264720767589686</v>
      </c>
      <c r="Q215" s="21" t="n">
        <f aca="false">2_Matriz_decision!Q214/Q$5</f>
        <v>0.066946942810462</v>
      </c>
    </row>
    <row r="216" customFormat="false" ht="15" hidden="false" customHeight="false" outlineLevel="0" collapsed="false">
      <c r="A216" s="15" t="n">
        <f aca="false">2_Matriz_decision!A215</f>
        <v>211</v>
      </c>
      <c r="B216" s="16" t="n">
        <f aca="false">2_Matriz_decision!B215</f>
        <v>21.341</v>
      </c>
      <c r="C216" s="21" t="n">
        <f aca="false">2_Matriz_decision!C215/C$5</f>
        <v>0.0439697451539424</v>
      </c>
      <c r="D216" s="21" t="n">
        <f aca="false">2_Matriz_decision!D215/D$5</f>
        <v>0.0418648306977948</v>
      </c>
      <c r="E216" s="21" t="n">
        <f aca="false">2_Matriz_decision!E215/E$5</f>
        <v>0.0500902437313038</v>
      </c>
      <c r="F216" s="21" t="n">
        <f aca="false">2_Matriz_decision!F215/F$5</f>
        <v>0.0494057638940627</v>
      </c>
      <c r="G216" s="21" t="n">
        <f aca="false">2_Matriz_decision!G215/G$5</f>
        <v>0.0411149420220302</v>
      </c>
      <c r="H216" s="21" t="n">
        <f aca="false">2_Matriz_decision!H215/H$5</f>
        <v>0.0384268159034261</v>
      </c>
      <c r="I216" s="21" t="n">
        <f aca="false">2_Matriz_decision!I215/I$5</f>
        <v>0.0740923707457312</v>
      </c>
      <c r="J216" s="21" t="n">
        <f aca="false">2_Matriz_decision!J215/J$5</f>
        <v>0.0351992440847949</v>
      </c>
      <c r="K216" s="21" t="n">
        <f aca="false">2_Matriz_decision!K215/K$5</f>
        <v>0.0312119227347312</v>
      </c>
      <c r="L216" s="21" t="n">
        <f aca="false">2_Matriz_decision!L215/L$5</f>
        <v>0.0174496584222645</v>
      </c>
      <c r="M216" s="21" t="n">
        <f aca="false">2_Matriz_decision!M215/M$5</f>
        <v>0.0399899597023092</v>
      </c>
      <c r="N216" s="21" t="n">
        <f aca="false">2_Matriz_decision!N215/N$5</f>
        <v>0.0112098043469034</v>
      </c>
      <c r="O216" s="21" t="n">
        <f aca="false">2_Matriz_decision!O215/O$5</f>
        <v>0.0304431282773992</v>
      </c>
      <c r="P216" s="21" t="n">
        <f aca="false">2_Matriz_decision!P215/P$5</f>
        <v>0.0264720767589686</v>
      </c>
      <c r="Q216" s="21" t="n">
        <f aca="false">2_Matriz_decision!Q215/Q$5</f>
        <v>0.066946942810462</v>
      </c>
    </row>
    <row r="217" customFormat="false" ht="15" hidden="false" customHeight="false" outlineLevel="0" collapsed="false">
      <c r="A217" s="15" t="n">
        <f aca="false">2_Matriz_decision!A216</f>
        <v>212</v>
      </c>
      <c r="B217" s="16" t="n">
        <f aca="false">2_Matriz_decision!B216</f>
        <v>21.441</v>
      </c>
      <c r="C217" s="21" t="n">
        <f aca="false">2_Matriz_decision!C216/C$5</f>
        <v>0.0439697451539424</v>
      </c>
      <c r="D217" s="21" t="n">
        <f aca="false">2_Matriz_decision!D216/D$5</f>
        <v>0.0418648306977948</v>
      </c>
      <c r="E217" s="21" t="n">
        <f aca="false">2_Matriz_decision!E216/E$5</f>
        <v>0.0500902437313038</v>
      </c>
      <c r="F217" s="21" t="n">
        <f aca="false">2_Matriz_decision!F216/F$5</f>
        <v>0.0494057638940627</v>
      </c>
      <c r="G217" s="21" t="n">
        <f aca="false">2_Matriz_decision!G216/G$5</f>
        <v>0.0411149420220302</v>
      </c>
      <c r="H217" s="21" t="n">
        <f aca="false">2_Matriz_decision!H216/H$5</f>
        <v>0.0384268159034261</v>
      </c>
      <c r="I217" s="21" t="n">
        <f aca="false">2_Matriz_decision!I216/I$5</f>
        <v>0.0740923707457312</v>
      </c>
      <c r="J217" s="21" t="n">
        <f aca="false">2_Matriz_decision!J216/J$5</f>
        <v>0.0351992440847949</v>
      </c>
      <c r="K217" s="21" t="n">
        <f aca="false">2_Matriz_decision!K216/K$5</f>
        <v>0.0312119227347312</v>
      </c>
      <c r="L217" s="21" t="n">
        <f aca="false">2_Matriz_decision!L216/L$5</f>
        <v>0.0200035931032243</v>
      </c>
      <c r="M217" s="21" t="n">
        <f aca="false">2_Matriz_decision!M216/M$5</f>
        <v>0.0382555885218499</v>
      </c>
      <c r="N217" s="21" t="n">
        <f aca="false">2_Matriz_decision!N216/N$5</f>
        <v>0.0112098043469034</v>
      </c>
      <c r="O217" s="21" t="n">
        <f aca="false">2_Matriz_decision!O216/O$5</f>
        <v>0.0304431282773992</v>
      </c>
      <c r="P217" s="21" t="n">
        <f aca="false">2_Matriz_decision!P216/P$5</f>
        <v>0.0264720767589686</v>
      </c>
      <c r="Q217" s="21" t="n">
        <f aca="false">2_Matriz_decision!Q216/Q$5</f>
        <v>0.066946942810462</v>
      </c>
    </row>
    <row r="218" customFormat="false" ht="15" hidden="false" customHeight="false" outlineLevel="0" collapsed="false">
      <c r="A218" s="15" t="n">
        <f aca="false">2_Matriz_decision!A217</f>
        <v>213</v>
      </c>
      <c r="B218" s="16" t="n">
        <f aca="false">2_Matriz_decision!B217</f>
        <v>21.542</v>
      </c>
      <c r="C218" s="21" t="n">
        <f aca="false">2_Matriz_decision!C217/C$5</f>
        <v>0.0439697451539424</v>
      </c>
      <c r="D218" s="21" t="n">
        <f aca="false">2_Matriz_decision!D217/D$5</f>
        <v>0.0418648306977948</v>
      </c>
      <c r="E218" s="21" t="n">
        <f aca="false">2_Matriz_decision!E217/E$5</f>
        <v>0.0500902437313038</v>
      </c>
      <c r="F218" s="21" t="n">
        <f aca="false">2_Matriz_decision!F217/F$5</f>
        <v>0.0494057638940627</v>
      </c>
      <c r="G218" s="21" t="n">
        <f aca="false">2_Matriz_decision!G217/G$5</f>
        <v>0.0411149420220302</v>
      </c>
      <c r="H218" s="21" t="n">
        <f aca="false">2_Matriz_decision!H217/H$5</f>
        <v>0.0384268159034261</v>
      </c>
      <c r="I218" s="21" t="n">
        <f aca="false">2_Matriz_decision!I217/I$5</f>
        <v>0.0740923707457312</v>
      </c>
      <c r="J218" s="21" t="n">
        <f aca="false">2_Matriz_decision!J217/J$5</f>
        <v>0.0351992440847949</v>
      </c>
      <c r="K218" s="21" t="n">
        <f aca="false">2_Matriz_decision!K217/K$5</f>
        <v>0.0312119227347312</v>
      </c>
      <c r="L218" s="21" t="n">
        <f aca="false">2_Matriz_decision!L217/L$5</f>
        <v>0.0255794609668904</v>
      </c>
      <c r="M218" s="21" t="n">
        <f aca="false">2_Matriz_decision!M217/M$5</f>
        <v>0.037051470950703</v>
      </c>
      <c r="N218" s="21" t="n">
        <f aca="false">2_Matriz_decision!N217/N$5</f>
        <v>0.0112098043469034</v>
      </c>
      <c r="O218" s="21" t="n">
        <f aca="false">2_Matriz_decision!O217/O$5</f>
        <v>0.0304431282773992</v>
      </c>
      <c r="P218" s="21" t="n">
        <f aca="false">2_Matriz_decision!P217/P$5</f>
        <v>0.0264720767589686</v>
      </c>
      <c r="Q218" s="21" t="n">
        <f aca="false">2_Matriz_decision!Q217/Q$5</f>
        <v>0.066946942810462</v>
      </c>
    </row>
    <row r="219" customFormat="false" ht="15" hidden="false" customHeight="false" outlineLevel="0" collapsed="false">
      <c r="A219" s="15" t="n">
        <f aca="false">2_Matriz_decision!A218</f>
        <v>214</v>
      </c>
      <c r="B219" s="16" t="n">
        <f aca="false">2_Matriz_decision!B218</f>
        <v>21.642</v>
      </c>
      <c r="C219" s="21" t="n">
        <f aca="false">2_Matriz_decision!C218/C$5</f>
        <v>0.0439697451539424</v>
      </c>
      <c r="D219" s="21" t="n">
        <f aca="false">2_Matriz_decision!D218/D$5</f>
        <v>0.0418648306977948</v>
      </c>
      <c r="E219" s="21" t="n">
        <f aca="false">2_Matriz_decision!E218/E$5</f>
        <v>0.0500902437313038</v>
      </c>
      <c r="F219" s="21" t="n">
        <f aca="false">2_Matriz_decision!F218/F$5</f>
        <v>0.0494057638940627</v>
      </c>
      <c r="G219" s="21" t="n">
        <f aca="false">2_Matriz_decision!G218/G$5</f>
        <v>0.0411149420220302</v>
      </c>
      <c r="H219" s="21" t="n">
        <f aca="false">2_Matriz_decision!H218/H$5</f>
        <v>0.0384268159034261</v>
      </c>
      <c r="I219" s="21" t="n">
        <f aca="false">2_Matriz_decision!I218/I$5</f>
        <v>0.0740923707457312</v>
      </c>
      <c r="J219" s="21" t="n">
        <f aca="false">2_Matriz_decision!J218/J$5</f>
        <v>0.0351992440847949</v>
      </c>
      <c r="K219" s="21" t="n">
        <f aca="false">2_Matriz_decision!K218/K$5</f>
        <v>0.0312119227347312</v>
      </c>
      <c r="L219" s="21" t="n">
        <f aca="false">2_Matriz_decision!L218/L$5</f>
        <v>0.0428151772169279</v>
      </c>
      <c r="M219" s="21" t="n">
        <f aca="false">2_Matriz_decision!M218/M$5</f>
        <v>0.0249108726874882</v>
      </c>
      <c r="N219" s="21" t="n">
        <f aca="false">2_Matriz_decision!N218/N$5</f>
        <v>0.0112098043469034</v>
      </c>
      <c r="O219" s="21" t="n">
        <f aca="false">2_Matriz_decision!O218/O$5</f>
        <v>0.0304431282773992</v>
      </c>
      <c r="P219" s="21" t="n">
        <f aca="false">2_Matriz_decision!P218/P$5</f>
        <v>0.0264720767589686</v>
      </c>
      <c r="Q219" s="21" t="n">
        <f aca="false">2_Matriz_decision!Q218/Q$5</f>
        <v>0.0133893885620924</v>
      </c>
    </row>
    <row r="220" customFormat="false" ht="15" hidden="false" customHeight="false" outlineLevel="0" collapsed="false">
      <c r="A220" s="15" t="n">
        <f aca="false">2_Matriz_decision!A219</f>
        <v>215</v>
      </c>
      <c r="B220" s="16" t="n">
        <f aca="false">2_Matriz_decision!B219</f>
        <v>21.743</v>
      </c>
      <c r="C220" s="21" t="n">
        <f aca="false">2_Matriz_decision!C219/C$5</f>
        <v>0.0439697451539424</v>
      </c>
      <c r="D220" s="21" t="n">
        <f aca="false">2_Matriz_decision!D219/D$5</f>
        <v>0.0418648306977948</v>
      </c>
      <c r="E220" s="21" t="n">
        <f aca="false">2_Matriz_decision!E219/E$5</f>
        <v>0.0500902437313038</v>
      </c>
      <c r="F220" s="21" t="n">
        <f aca="false">2_Matriz_decision!F219/F$5</f>
        <v>0.0494057638940627</v>
      </c>
      <c r="G220" s="21" t="n">
        <f aca="false">2_Matriz_decision!G219/G$5</f>
        <v>0.0411149420220302</v>
      </c>
      <c r="H220" s="21" t="n">
        <f aca="false">2_Matriz_decision!H219/H$5</f>
        <v>0.0384268159034261</v>
      </c>
      <c r="I220" s="21" t="n">
        <f aca="false">2_Matriz_decision!I219/I$5</f>
        <v>0.0740923707457312</v>
      </c>
      <c r="J220" s="21" t="n">
        <f aca="false">2_Matriz_decision!J219/J$5</f>
        <v>0.0351992440847949</v>
      </c>
      <c r="K220" s="21" t="n">
        <f aca="false">2_Matriz_decision!K219/K$5</f>
        <v>0.0312119227347312</v>
      </c>
      <c r="L220" s="21" t="n">
        <f aca="false">2_Matriz_decision!L219/L$5</f>
        <v>0.0485648730955285</v>
      </c>
      <c r="M220" s="21" t="n">
        <f aca="false">2_Matriz_decision!M219/M$5</f>
        <v>0.0243806190781758</v>
      </c>
      <c r="N220" s="21" t="n">
        <f aca="false">2_Matriz_decision!N219/N$5</f>
        <v>0.0112098043469034</v>
      </c>
      <c r="O220" s="21" t="n">
        <f aca="false">2_Matriz_decision!O219/O$5</f>
        <v>0.0304431282773992</v>
      </c>
      <c r="P220" s="21" t="n">
        <f aca="false">2_Matriz_decision!P219/P$5</f>
        <v>0.0264720767589686</v>
      </c>
      <c r="Q220" s="21" t="n">
        <f aca="false">2_Matriz_decision!Q219/Q$5</f>
        <v>0.066946942810462</v>
      </c>
    </row>
    <row r="221" customFormat="false" ht="15" hidden="false" customHeight="false" outlineLevel="0" collapsed="false">
      <c r="A221" s="15" t="n">
        <f aca="false">2_Matriz_decision!A220</f>
        <v>216</v>
      </c>
      <c r="B221" s="16" t="n">
        <f aca="false">2_Matriz_decision!B220</f>
        <v>21.843</v>
      </c>
      <c r="C221" s="21" t="n">
        <f aca="false">2_Matriz_decision!C220/C$5</f>
        <v>0.0439697451539424</v>
      </c>
      <c r="D221" s="21" t="n">
        <f aca="false">2_Matriz_decision!D220/D$5</f>
        <v>0.0418648306977948</v>
      </c>
      <c r="E221" s="21" t="n">
        <f aca="false">2_Matriz_decision!E220/E$5</f>
        <v>0.0500902437313038</v>
      </c>
      <c r="F221" s="21" t="n">
        <f aca="false">2_Matriz_decision!F220/F$5</f>
        <v>0.0494057638940627</v>
      </c>
      <c r="G221" s="21" t="n">
        <f aca="false">2_Matriz_decision!G220/G$5</f>
        <v>0.0411149420220302</v>
      </c>
      <c r="H221" s="21" t="n">
        <f aca="false">2_Matriz_decision!H220/H$5</f>
        <v>0.0384268159034261</v>
      </c>
      <c r="I221" s="21" t="n">
        <f aca="false">2_Matriz_decision!I220/I$5</f>
        <v>0.0740923707457312</v>
      </c>
      <c r="J221" s="21" t="n">
        <f aca="false">2_Matriz_decision!J220/J$5</f>
        <v>0.0351992440847949</v>
      </c>
      <c r="K221" s="21" t="n">
        <f aca="false">2_Matriz_decision!K220/K$5</f>
        <v>0.0312119227347312</v>
      </c>
      <c r="L221" s="21" t="n">
        <f aca="false">2_Matriz_decision!L220/L$5</f>
        <v>0.0313024140739626</v>
      </c>
      <c r="M221" s="21" t="n">
        <f aca="false">2_Matriz_decision!M220/M$5</f>
        <v>0.0409952321699639</v>
      </c>
      <c r="N221" s="21" t="n">
        <f aca="false">2_Matriz_decision!N220/N$5</f>
        <v>0.0112098043469034</v>
      </c>
      <c r="O221" s="21" t="n">
        <f aca="false">2_Matriz_decision!O220/O$5</f>
        <v>0.0304431282773992</v>
      </c>
      <c r="P221" s="21" t="n">
        <f aca="false">2_Matriz_decision!P220/P$5</f>
        <v>0.0264720767589686</v>
      </c>
      <c r="Q221" s="21" t="n">
        <f aca="false">2_Matriz_decision!Q220/Q$5</f>
        <v>0.0133893885620924</v>
      </c>
    </row>
    <row r="222" customFormat="false" ht="15" hidden="false" customHeight="false" outlineLevel="0" collapsed="false">
      <c r="A222" s="15" t="n">
        <f aca="false">2_Matriz_decision!A221</f>
        <v>217</v>
      </c>
      <c r="B222" s="16" t="n">
        <f aca="false">2_Matriz_decision!B221</f>
        <v>21.944</v>
      </c>
      <c r="C222" s="21" t="n">
        <f aca="false">2_Matriz_decision!C221/C$5</f>
        <v>0.0439697451539424</v>
      </c>
      <c r="D222" s="21" t="n">
        <f aca="false">2_Matriz_decision!D221/D$5</f>
        <v>0.0418648306977948</v>
      </c>
      <c r="E222" s="21" t="n">
        <f aca="false">2_Matriz_decision!E221/E$5</f>
        <v>0.0500902437313038</v>
      </c>
      <c r="F222" s="21" t="n">
        <f aca="false">2_Matriz_decision!F221/F$5</f>
        <v>0.0494057638940627</v>
      </c>
      <c r="G222" s="21" t="n">
        <f aca="false">2_Matriz_decision!G221/G$5</f>
        <v>0.0411149420220302</v>
      </c>
      <c r="H222" s="21" t="n">
        <f aca="false">2_Matriz_decision!H221/H$5</f>
        <v>0.0384268159034261</v>
      </c>
      <c r="I222" s="21" t="n">
        <f aca="false">2_Matriz_decision!I221/I$5</f>
        <v>0.0740923707457312</v>
      </c>
      <c r="J222" s="21" t="n">
        <f aca="false">2_Matriz_decision!J221/J$5</f>
        <v>0.0351992440847949</v>
      </c>
      <c r="K222" s="21" t="n">
        <f aca="false">2_Matriz_decision!K221/K$5</f>
        <v>0.0312119227347312</v>
      </c>
      <c r="L222" s="21" t="n">
        <f aca="false">2_Matriz_decision!L221/L$5</f>
        <v>0.0424541498012949</v>
      </c>
      <c r="M222" s="21" t="n">
        <f aca="false">2_Matriz_decision!M221/M$5</f>
        <v>0.0336821511415306</v>
      </c>
      <c r="N222" s="21" t="n">
        <f aca="false">2_Matriz_decision!N221/N$5</f>
        <v>0.0112098043469034</v>
      </c>
      <c r="O222" s="21" t="n">
        <f aca="false">2_Matriz_decision!O221/O$5</f>
        <v>0.0304431282773992</v>
      </c>
      <c r="P222" s="21" t="n">
        <f aca="false">2_Matriz_decision!P221/P$5</f>
        <v>0.0264720767589686</v>
      </c>
      <c r="Q222" s="21" t="n">
        <f aca="false">2_Matriz_decision!Q221/Q$5</f>
        <v>0.066946942810462</v>
      </c>
    </row>
    <row r="223" customFormat="false" ht="15" hidden="false" customHeight="false" outlineLevel="0" collapsed="false">
      <c r="A223" s="15" t="n">
        <f aca="false">2_Matriz_decision!A222</f>
        <v>218</v>
      </c>
      <c r="B223" s="16" t="n">
        <f aca="false">2_Matriz_decision!B222</f>
        <v>22.045</v>
      </c>
      <c r="C223" s="21" t="n">
        <f aca="false">2_Matriz_decision!C222/C$5</f>
        <v>0.0439697451539424</v>
      </c>
      <c r="D223" s="21" t="n">
        <f aca="false">2_Matriz_decision!D222/D$5</f>
        <v>0.0334918645582358</v>
      </c>
      <c r="E223" s="21" t="n">
        <f aca="false">2_Matriz_decision!E222/E$5</f>
        <v>0.0500902437313038</v>
      </c>
      <c r="F223" s="21" t="n">
        <f aca="false">2_Matriz_decision!F222/F$5</f>
        <v>0.0494057638940627</v>
      </c>
      <c r="G223" s="21" t="n">
        <f aca="false">2_Matriz_decision!G222/G$5</f>
        <v>0.0411149420220302</v>
      </c>
      <c r="H223" s="21" t="n">
        <f aca="false">2_Matriz_decision!H222/H$5</f>
        <v>0.0384268159034261</v>
      </c>
      <c r="I223" s="21" t="n">
        <f aca="false">2_Matriz_decision!I222/I$5</f>
        <v>0.0740923707457312</v>
      </c>
      <c r="J223" s="21" t="n">
        <f aca="false">2_Matriz_decision!J222/J$5</f>
        <v>0.0351992440847949</v>
      </c>
      <c r="K223" s="21" t="n">
        <f aca="false">2_Matriz_decision!K222/K$5</f>
        <v>0.039014903418414</v>
      </c>
      <c r="L223" s="21" t="n">
        <f aca="false">2_Matriz_decision!L222/L$5</f>
        <v>0.0481102459795461</v>
      </c>
      <c r="M223" s="21" t="n">
        <f aca="false">2_Matriz_decision!M222/M$5</f>
        <v>0.0221822759895682</v>
      </c>
      <c r="N223" s="21" t="n">
        <f aca="false">2_Matriz_decision!N222/N$5</f>
        <v>0.0112098043469034</v>
      </c>
      <c r="O223" s="21" t="n">
        <f aca="false">2_Matriz_decision!O222/O$5</f>
        <v>0.0304431282773992</v>
      </c>
      <c r="P223" s="21" t="n">
        <f aca="false">2_Matriz_decision!P222/P$5</f>
        <v>0.0264720767589686</v>
      </c>
      <c r="Q223" s="21" t="n">
        <f aca="false">2_Matriz_decision!Q222/Q$5</f>
        <v>0.066946942810462</v>
      </c>
    </row>
    <row r="224" customFormat="false" ht="15" hidden="false" customHeight="false" outlineLevel="0" collapsed="false">
      <c r="A224" s="15" t="n">
        <f aca="false">2_Matriz_decision!A223</f>
        <v>219</v>
      </c>
      <c r="B224" s="16" t="n">
        <f aca="false">2_Matriz_decision!B223</f>
        <v>22.146</v>
      </c>
      <c r="C224" s="21" t="n">
        <f aca="false">2_Matriz_decision!C223/C$5</f>
        <v>0.0439697451539424</v>
      </c>
      <c r="D224" s="21" t="n">
        <f aca="false">2_Matriz_decision!D223/D$5</f>
        <v>0.0334918645582358</v>
      </c>
      <c r="E224" s="21" t="n">
        <f aca="false">2_Matriz_decision!E223/E$5</f>
        <v>0.0500902437313038</v>
      </c>
      <c r="F224" s="21" t="n">
        <f aca="false">2_Matriz_decision!F223/F$5</f>
        <v>0.0494057638940627</v>
      </c>
      <c r="G224" s="21" t="n">
        <f aca="false">2_Matriz_decision!G223/G$5</f>
        <v>0.0411149420220302</v>
      </c>
      <c r="H224" s="21" t="n">
        <f aca="false">2_Matriz_decision!H223/H$5</f>
        <v>0.0384268159034261</v>
      </c>
      <c r="I224" s="21" t="n">
        <f aca="false">2_Matriz_decision!I223/I$5</f>
        <v>0.0740923707457312</v>
      </c>
      <c r="J224" s="21" t="n">
        <f aca="false">2_Matriz_decision!J223/J$5</f>
        <v>0.0351992440847949</v>
      </c>
      <c r="K224" s="21" t="n">
        <f aca="false">2_Matriz_decision!K223/K$5</f>
        <v>0.039014903418414</v>
      </c>
      <c r="L224" s="21" t="n">
        <f aca="false">2_Matriz_decision!L223/L$5</f>
        <v>0.0478829324215549</v>
      </c>
      <c r="M224" s="21" t="n">
        <f aca="false">2_Matriz_decision!M223/M$5</f>
        <v>0.0220939003880161</v>
      </c>
      <c r="N224" s="21" t="n">
        <f aca="false">2_Matriz_decision!N223/N$5</f>
        <v>0.0112098043469034</v>
      </c>
      <c r="O224" s="21" t="n">
        <f aca="false">2_Matriz_decision!O223/O$5</f>
        <v>0.0304431282773992</v>
      </c>
      <c r="P224" s="21" t="n">
        <f aca="false">2_Matriz_decision!P223/P$5</f>
        <v>0.0264720767589686</v>
      </c>
      <c r="Q224" s="21" t="n">
        <f aca="false">2_Matriz_decision!Q223/Q$5</f>
        <v>0.066946942810462</v>
      </c>
    </row>
    <row r="225" customFormat="false" ht="15" hidden="false" customHeight="false" outlineLevel="0" collapsed="false">
      <c r="A225" s="15" t="n">
        <f aca="false">2_Matriz_decision!A224</f>
        <v>220</v>
      </c>
      <c r="B225" s="16" t="n">
        <f aca="false">2_Matriz_decision!B224</f>
        <v>22.247</v>
      </c>
      <c r="C225" s="21" t="n">
        <f aca="false">2_Matriz_decision!C224/C$5</f>
        <v>0.0439697451539424</v>
      </c>
      <c r="D225" s="21" t="n">
        <f aca="false">2_Matriz_decision!D224/D$5</f>
        <v>0.0334918645582358</v>
      </c>
      <c r="E225" s="21" t="n">
        <f aca="false">2_Matriz_decision!E224/E$5</f>
        <v>0.0500902437313038</v>
      </c>
      <c r="F225" s="21" t="n">
        <f aca="false">2_Matriz_decision!F224/F$5</f>
        <v>0.0494057638940627</v>
      </c>
      <c r="G225" s="21" t="n">
        <f aca="false">2_Matriz_decision!G224/G$5</f>
        <v>0.0411149420220302</v>
      </c>
      <c r="H225" s="21" t="n">
        <f aca="false">2_Matriz_decision!H224/H$5</f>
        <v>0.0384268159034261</v>
      </c>
      <c r="I225" s="21" t="n">
        <f aca="false">2_Matriz_decision!I224/I$5</f>
        <v>0.0740923707457312</v>
      </c>
      <c r="J225" s="21" t="n">
        <f aca="false">2_Matriz_decision!J224/J$5</f>
        <v>0.0351992440847949</v>
      </c>
      <c r="K225" s="21" t="n">
        <f aca="false">2_Matriz_decision!K224/K$5</f>
        <v>0.039014903418414</v>
      </c>
      <c r="L225" s="21" t="n">
        <f aca="false">2_Matriz_decision!L224/L$5</f>
        <v>0.049099728526096</v>
      </c>
      <c r="M225" s="21" t="n">
        <f aca="false">2_Matriz_decision!M224/M$5</f>
        <v>0.0220939003880161</v>
      </c>
      <c r="N225" s="21" t="n">
        <f aca="false">2_Matriz_decision!N224/N$5</f>
        <v>0.0112098043469034</v>
      </c>
      <c r="O225" s="21" t="n">
        <f aca="false">2_Matriz_decision!O224/O$5</f>
        <v>0.0304431282773992</v>
      </c>
      <c r="P225" s="21" t="n">
        <f aca="false">2_Matriz_decision!P224/P$5</f>
        <v>0.0264720767589686</v>
      </c>
      <c r="Q225" s="21" t="n">
        <f aca="false">2_Matriz_decision!Q224/Q$5</f>
        <v>0.066946942810462</v>
      </c>
    </row>
    <row r="226" customFormat="false" ht="15" hidden="false" customHeight="false" outlineLevel="0" collapsed="false">
      <c r="A226" s="15" t="n">
        <f aca="false">2_Matriz_decision!A225</f>
        <v>221</v>
      </c>
      <c r="B226" s="16" t="n">
        <f aca="false">2_Matriz_decision!B225</f>
        <v>22.348</v>
      </c>
      <c r="C226" s="21" t="n">
        <f aca="false">2_Matriz_decision!C225/C$5</f>
        <v>0.0439697451539424</v>
      </c>
      <c r="D226" s="21" t="n">
        <f aca="false">2_Matriz_decision!D225/D$5</f>
        <v>0.0334918645582358</v>
      </c>
      <c r="E226" s="21" t="n">
        <f aca="false">2_Matriz_decision!E225/E$5</f>
        <v>0.0500902437313038</v>
      </c>
      <c r="F226" s="21" t="n">
        <f aca="false">2_Matriz_decision!F225/F$5</f>
        <v>0.0494057638940627</v>
      </c>
      <c r="G226" s="21" t="n">
        <f aca="false">2_Matriz_decision!G225/G$5</f>
        <v>0.0411149420220302</v>
      </c>
      <c r="H226" s="21" t="n">
        <f aca="false">2_Matriz_decision!H225/H$5</f>
        <v>0.0384268159034261</v>
      </c>
      <c r="I226" s="21" t="n">
        <f aca="false">2_Matriz_decision!I225/I$5</f>
        <v>0.0740923707457312</v>
      </c>
      <c r="J226" s="21" t="n">
        <f aca="false">2_Matriz_decision!J225/J$5</f>
        <v>0.0351992440847949</v>
      </c>
      <c r="K226" s="21" t="n">
        <f aca="false">2_Matriz_decision!K225/K$5</f>
        <v>0.039014903418414</v>
      </c>
      <c r="L226" s="21" t="n">
        <f aca="false">2_Matriz_decision!L225/L$5</f>
        <v>0.0498618975146547</v>
      </c>
      <c r="M226" s="21" t="n">
        <f aca="false">2_Matriz_decision!M225/M$5</f>
        <v>0.0220939003880161</v>
      </c>
      <c r="N226" s="21" t="n">
        <f aca="false">2_Matriz_decision!N225/N$5</f>
        <v>0.0112098043469034</v>
      </c>
      <c r="O226" s="21" t="n">
        <f aca="false">2_Matriz_decision!O225/O$5</f>
        <v>0.0304431282773992</v>
      </c>
      <c r="P226" s="21" t="n">
        <f aca="false">2_Matriz_decision!P225/P$5</f>
        <v>0.0264720767589686</v>
      </c>
      <c r="Q226" s="21" t="n">
        <f aca="false">2_Matriz_decision!Q225/Q$5</f>
        <v>0.066946942810462</v>
      </c>
    </row>
    <row r="227" customFormat="false" ht="15" hidden="false" customHeight="false" outlineLevel="0" collapsed="false">
      <c r="A227" s="15" t="n">
        <f aca="false">2_Matriz_decision!A226</f>
        <v>222</v>
      </c>
      <c r="B227" s="16" t="n">
        <f aca="false">2_Matriz_decision!B226</f>
        <v>22.45</v>
      </c>
      <c r="C227" s="21" t="n">
        <f aca="false">2_Matriz_decision!C226/C$5</f>
        <v>0.0439697451539424</v>
      </c>
      <c r="D227" s="21" t="n">
        <f aca="false">2_Matriz_decision!D226/D$5</f>
        <v>0.0334918645582358</v>
      </c>
      <c r="E227" s="21" t="n">
        <f aca="false">2_Matriz_decision!E226/E$5</f>
        <v>0.0500902437313038</v>
      </c>
      <c r="F227" s="21" t="n">
        <f aca="false">2_Matriz_decision!F226/F$5</f>
        <v>0.0494057638940627</v>
      </c>
      <c r="G227" s="21" t="n">
        <f aca="false">2_Matriz_decision!G226/G$5</f>
        <v>0.0411149420220302</v>
      </c>
      <c r="H227" s="21" t="n">
        <f aca="false">2_Matriz_decision!H226/H$5</f>
        <v>0.0384268159034261</v>
      </c>
      <c r="I227" s="21" t="n">
        <f aca="false">2_Matriz_decision!I226/I$5</f>
        <v>0.0592738965965849</v>
      </c>
      <c r="J227" s="21" t="n">
        <f aca="false">2_Matriz_decision!J226/J$5</f>
        <v>0.0351992440847949</v>
      </c>
      <c r="K227" s="21" t="n">
        <f aca="false">2_Matriz_decision!K226/K$5</f>
        <v>0.039014903418414</v>
      </c>
      <c r="L227" s="21" t="n">
        <f aca="false">2_Matriz_decision!L226/L$5</f>
        <v>0.0481637315226029</v>
      </c>
      <c r="M227" s="21" t="n">
        <f aca="false">2_Matriz_decision!M226/M$5</f>
        <v>0.0220939003880161</v>
      </c>
      <c r="N227" s="21" t="n">
        <f aca="false">2_Matriz_decision!N226/N$5</f>
        <v>0.0112098043469034</v>
      </c>
      <c r="O227" s="21" t="n">
        <f aca="false">2_Matriz_decision!O226/O$5</f>
        <v>0.0304431282773992</v>
      </c>
      <c r="P227" s="21" t="n">
        <f aca="false">2_Matriz_decision!P226/P$5</f>
        <v>0.0264720767589686</v>
      </c>
      <c r="Q227" s="21" t="n">
        <f aca="false">2_Matriz_decision!Q226/Q$5</f>
        <v>0.066946942810462</v>
      </c>
    </row>
    <row r="228" customFormat="false" ht="15" hidden="false" customHeight="false" outlineLevel="0" collapsed="false">
      <c r="A228" s="15" t="n">
        <f aca="false">2_Matriz_decision!A227</f>
        <v>223</v>
      </c>
      <c r="B228" s="16" t="n">
        <f aca="false">2_Matriz_decision!B227</f>
        <v>22.552</v>
      </c>
      <c r="C228" s="21" t="n">
        <f aca="false">2_Matriz_decision!C227/C$5</f>
        <v>0.0439697451539424</v>
      </c>
      <c r="D228" s="21" t="n">
        <f aca="false">2_Matriz_decision!D227/D$5</f>
        <v>0.0334918645582358</v>
      </c>
      <c r="E228" s="21" t="n">
        <f aca="false">2_Matriz_decision!E227/E$5</f>
        <v>0.0500902437313038</v>
      </c>
      <c r="F228" s="21" t="n">
        <f aca="false">2_Matriz_decision!F227/F$5</f>
        <v>0.0494057638940627</v>
      </c>
      <c r="G228" s="21" t="n">
        <f aca="false">2_Matriz_decision!G227/G$5</f>
        <v>0.0411149420220302</v>
      </c>
      <c r="H228" s="21" t="n">
        <f aca="false">2_Matriz_decision!H227/H$5</f>
        <v>0.0384268159034261</v>
      </c>
      <c r="I228" s="21" t="n">
        <f aca="false">2_Matriz_decision!I227/I$5</f>
        <v>0.0592738965965849</v>
      </c>
      <c r="J228" s="21" t="n">
        <f aca="false">2_Matriz_decision!J227/J$5</f>
        <v>0.0351992440847949</v>
      </c>
      <c r="K228" s="21" t="n">
        <f aca="false">2_Matriz_decision!K227/K$5</f>
        <v>0.039014903418414</v>
      </c>
      <c r="L228" s="21" t="n">
        <f aca="false">2_Matriz_decision!L227/L$5</f>
        <v>0.0472945914479307</v>
      </c>
      <c r="M228" s="21" t="n">
        <f aca="false">2_Matriz_decision!M227/M$5</f>
        <v>0.0220939003880161</v>
      </c>
      <c r="N228" s="21" t="n">
        <f aca="false">2_Matriz_decision!N227/N$5</f>
        <v>0.0112098043469034</v>
      </c>
      <c r="O228" s="21" t="n">
        <f aca="false">2_Matriz_decision!O227/O$5</f>
        <v>0.0304431282773992</v>
      </c>
      <c r="P228" s="21" t="n">
        <f aca="false">2_Matriz_decision!P227/P$5</f>
        <v>0.0264720767589686</v>
      </c>
      <c r="Q228" s="21" t="n">
        <f aca="false">2_Matriz_decision!Q227/Q$5</f>
        <v>0.066946942810462</v>
      </c>
    </row>
    <row r="229" customFormat="false" ht="15" hidden="false" customHeight="false" outlineLevel="0" collapsed="false">
      <c r="A229" s="15" t="n">
        <f aca="false">2_Matriz_decision!A228</f>
        <v>224</v>
      </c>
      <c r="B229" s="16" t="n">
        <f aca="false">2_Matriz_decision!B228</f>
        <v>22.653</v>
      </c>
      <c r="C229" s="21" t="n">
        <f aca="false">2_Matriz_decision!C228/C$5</f>
        <v>0.0439697451539424</v>
      </c>
      <c r="D229" s="21" t="n">
        <f aca="false">2_Matriz_decision!D228/D$5</f>
        <v>0.0334918645582358</v>
      </c>
      <c r="E229" s="21" t="n">
        <f aca="false">2_Matriz_decision!E228/E$5</f>
        <v>0.0500902437313038</v>
      </c>
      <c r="F229" s="21" t="n">
        <f aca="false">2_Matriz_decision!F228/F$5</f>
        <v>0.0494057638940627</v>
      </c>
      <c r="G229" s="21" t="n">
        <f aca="false">2_Matriz_decision!G228/G$5</f>
        <v>0.0411149420220302</v>
      </c>
      <c r="H229" s="21" t="n">
        <f aca="false">2_Matriz_decision!H228/H$5</f>
        <v>0.0384268159034261</v>
      </c>
      <c r="I229" s="21" t="n">
        <f aca="false">2_Matriz_decision!I228/I$5</f>
        <v>0.0592738965965849</v>
      </c>
      <c r="J229" s="21" t="n">
        <f aca="false">2_Matriz_decision!J228/J$5</f>
        <v>0.0351992440847949</v>
      </c>
      <c r="K229" s="21" t="n">
        <f aca="false">2_Matriz_decision!K228/K$5</f>
        <v>0.039014903418414</v>
      </c>
      <c r="L229" s="21" t="n">
        <f aca="false">2_Matriz_decision!L228/L$5</f>
        <v>0.0482172170656596</v>
      </c>
      <c r="M229" s="21" t="n">
        <f aca="false">2_Matriz_decision!M228/M$5</f>
        <v>0.0220939003880161</v>
      </c>
      <c r="N229" s="21" t="n">
        <f aca="false">2_Matriz_decision!N228/N$5</f>
        <v>0.0112098043469034</v>
      </c>
      <c r="O229" s="21" t="n">
        <f aca="false">2_Matriz_decision!O228/O$5</f>
        <v>0.0304431282773992</v>
      </c>
      <c r="P229" s="21" t="n">
        <f aca="false">2_Matriz_decision!P228/P$5</f>
        <v>0.0264720767589686</v>
      </c>
      <c r="Q229" s="21" t="n">
        <f aca="false">2_Matriz_decision!Q228/Q$5</f>
        <v>0.066946942810462</v>
      </c>
    </row>
    <row r="230" customFormat="false" ht="15" hidden="false" customHeight="false" outlineLevel="0" collapsed="false">
      <c r="A230" s="15" t="n">
        <f aca="false">2_Matriz_decision!A229</f>
        <v>225</v>
      </c>
      <c r="B230" s="16" t="n">
        <f aca="false">2_Matriz_decision!B229</f>
        <v>22.754</v>
      </c>
      <c r="C230" s="21" t="n">
        <f aca="false">2_Matriz_decision!C229/C$5</f>
        <v>0.0439697451539424</v>
      </c>
      <c r="D230" s="21" t="n">
        <f aca="false">2_Matriz_decision!D229/D$5</f>
        <v>0.0334918645582358</v>
      </c>
      <c r="E230" s="21" t="n">
        <f aca="false">2_Matriz_decision!E229/E$5</f>
        <v>0.0500902437313038</v>
      </c>
      <c r="F230" s="21" t="n">
        <f aca="false">2_Matriz_decision!F229/F$5</f>
        <v>0.0494057638940627</v>
      </c>
      <c r="G230" s="21" t="n">
        <f aca="false">2_Matriz_decision!G229/G$5</f>
        <v>0.0411149420220302</v>
      </c>
      <c r="H230" s="21" t="n">
        <f aca="false">2_Matriz_decision!H229/H$5</f>
        <v>0.0384268159034261</v>
      </c>
      <c r="I230" s="21" t="n">
        <f aca="false">2_Matriz_decision!I229/I$5</f>
        <v>0.0592738965965849</v>
      </c>
      <c r="J230" s="21" t="n">
        <f aca="false">2_Matriz_decision!J229/J$5</f>
        <v>0.0351992440847949</v>
      </c>
      <c r="K230" s="21" t="n">
        <f aca="false">2_Matriz_decision!K229/K$5</f>
        <v>0.039014903418414</v>
      </c>
      <c r="L230" s="21" t="n">
        <f aca="false">2_Matriz_decision!L229/L$5</f>
        <v>0.0482172170656596</v>
      </c>
      <c r="M230" s="21" t="n">
        <f aca="false">2_Matriz_decision!M229/M$5</f>
        <v>0.0220939003880161</v>
      </c>
      <c r="N230" s="21" t="n">
        <f aca="false">2_Matriz_decision!N229/N$5</f>
        <v>0.0112098043469034</v>
      </c>
      <c r="O230" s="21" t="n">
        <f aca="false">2_Matriz_decision!O229/O$5</f>
        <v>0.0304431282773992</v>
      </c>
      <c r="P230" s="21" t="n">
        <f aca="false">2_Matriz_decision!P229/P$5</f>
        <v>0.0264720767589686</v>
      </c>
      <c r="Q230" s="21" t="n">
        <f aca="false">2_Matriz_decision!Q229/Q$5</f>
        <v>0.066946942810462</v>
      </c>
    </row>
    <row r="231" customFormat="false" ht="15" hidden="false" customHeight="false" outlineLevel="0" collapsed="false">
      <c r="A231" s="15" t="n">
        <f aca="false">2_Matriz_decision!A230</f>
        <v>226</v>
      </c>
      <c r="B231" s="16" t="n">
        <f aca="false">2_Matriz_decision!B230</f>
        <v>22.854</v>
      </c>
      <c r="C231" s="21" t="n">
        <f aca="false">2_Matriz_decision!C230/C$5</f>
        <v>0.0439697451539424</v>
      </c>
      <c r="D231" s="21" t="n">
        <f aca="false">2_Matriz_decision!D230/D$5</f>
        <v>0.0334918645582358</v>
      </c>
      <c r="E231" s="21" t="n">
        <f aca="false">2_Matriz_decision!E230/E$5</f>
        <v>0.0500902437313038</v>
      </c>
      <c r="F231" s="21" t="n">
        <f aca="false">2_Matriz_decision!F230/F$5</f>
        <v>0.0494057638940627</v>
      </c>
      <c r="G231" s="21" t="n">
        <f aca="false">2_Matriz_decision!G230/G$5</f>
        <v>0.0411149420220302</v>
      </c>
      <c r="H231" s="21" t="n">
        <f aca="false">2_Matriz_decision!H230/H$5</f>
        <v>0.0384268159034261</v>
      </c>
      <c r="I231" s="21" t="n">
        <f aca="false">2_Matriz_decision!I230/I$5</f>
        <v>0.0444554224474387</v>
      </c>
      <c r="J231" s="21" t="n">
        <f aca="false">2_Matriz_decision!J230/J$5</f>
        <v>0.0351992440847949</v>
      </c>
      <c r="K231" s="21" t="n">
        <f aca="false">2_Matriz_decision!K230/K$5</f>
        <v>0.039014903418414</v>
      </c>
      <c r="L231" s="21" t="n">
        <f aca="false">2_Matriz_decision!L230/L$5</f>
        <v>0.0492066996122095</v>
      </c>
      <c r="M231" s="21" t="n">
        <f aca="false">2_Matriz_decision!M230/M$5</f>
        <v>0.0220939003880161</v>
      </c>
      <c r="N231" s="21" t="n">
        <f aca="false">2_Matriz_decision!N230/N$5</f>
        <v>0.0112098043469034</v>
      </c>
      <c r="O231" s="21" t="n">
        <f aca="false">2_Matriz_decision!O230/O$5</f>
        <v>0.0304431282773992</v>
      </c>
      <c r="P231" s="21" t="n">
        <f aca="false">2_Matriz_decision!P230/P$5</f>
        <v>0.0264720767589686</v>
      </c>
      <c r="Q231" s="21" t="n">
        <f aca="false">2_Matriz_decision!Q230/Q$5</f>
        <v>0.066946942810462</v>
      </c>
    </row>
    <row r="232" customFormat="false" ht="15" hidden="false" customHeight="false" outlineLevel="0" collapsed="false">
      <c r="A232" s="15" t="n">
        <f aca="false">2_Matriz_decision!A231</f>
        <v>227</v>
      </c>
      <c r="B232" s="16" t="n">
        <f aca="false">2_Matriz_decision!B231</f>
        <v>22.953</v>
      </c>
      <c r="C232" s="21" t="n">
        <f aca="false">2_Matriz_decision!C231/C$5</f>
        <v>0.0439697451539424</v>
      </c>
      <c r="D232" s="21" t="n">
        <f aca="false">2_Matriz_decision!D231/D$5</f>
        <v>0.0334918645582358</v>
      </c>
      <c r="E232" s="21" t="n">
        <f aca="false">2_Matriz_decision!E231/E$5</f>
        <v>0.0400721949850431</v>
      </c>
      <c r="F232" s="21" t="n">
        <f aca="false">2_Matriz_decision!F231/F$5</f>
        <v>0.0494057638940627</v>
      </c>
      <c r="G232" s="21" t="n">
        <f aca="false">2_Matriz_decision!G231/G$5</f>
        <v>0.0411149420220302</v>
      </c>
      <c r="H232" s="21" t="n">
        <f aca="false">2_Matriz_decision!H231/H$5</f>
        <v>0.0384268159034261</v>
      </c>
      <c r="I232" s="21" t="n">
        <f aca="false">2_Matriz_decision!I231/I$5</f>
        <v>0.0444554224474387</v>
      </c>
      <c r="J232" s="21" t="n">
        <f aca="false">2_Matriz_decision!J231/J$5</f>
        <v>0.0351992440847949</v>
      </c>
      <c r="K232" s="21" t="n">
        <f aca="false">2_Matriz_decision!K231/K$5</f>
        <v>0.039014903418414</v>
      </c>
      <c r="L232" s="21" t="n">
        <f aca="false">2_Matriz_decision!L231/L$5</f>
        <v>0.0511188077764883</v>
      </c>
      <c r="M232" s="21" t="n">
        <f aca="false">2_Matriz_decision!M231/M$5</f>
        <v>0.0220939003880161</v>
      </c>
      <c r="N232" s="21" t="n">
        <f aca="false">2_Matriz_decision!N231/N$5</f>
        <v>0.0112098043469034</v>
      </c>
      <c r="O232" s="21" t="n">
        <f aca="false">2_Matriz_decision!O231/O$5</f>
        <v>0.0304431282773992</v>
      </c>
      <c r="P232" s="21" t="n">
        <f aca="false">2_Matriz_decision!P231/P$5</f>
        <v>0.0264720767589686</v>
      </c>
      <c r="Q232" s="21" t="n">
        <f aca="false">2_Matriz_decision!Q231/Q$5</f>
        <v>0.066946942810462</v>
      </c>
    </row>
    <row r="233" customFormat="false" ht="15" hidden="false" customHeight="false" outlineLevel="0" collapsed="false">
      <c r="A233" s="15" t="n">
        <f aca="false">2_Matriz_decision!A232</f>
        <v>228</v>
      </c>
      <c r="B233" s="16" t="n">
        <f aca="false">2_Matriz_decision!B232</f>
        <v>23.051</v>
      </c>
      <c r="C233" s="21" t="n">
        <f aca="false">2_Matriz_decision!C232/C$5</f>
        <v>0.0439697451539424</v>
      </c>
      <c r="D233" s="21" t="n">
        <f aca="false">2_Matriz_decision!D232/D$5</f>
        <v>0.0334918645582358</v>
      </c>
      <c r="E233" s="21" t="n">
        <f aca="false">2_Matriz_decision!E232/E$5</f>
        <v>0.0400721949850431</v>
      </c>
      <c r="F233" s="21" t="n">
        <f aca="false">2_Matriz_decision!F232/F$5</f>
        <v>0.0494057638940627</v>
      </c>
      <c r="G233" s="21" t="n">
        <f aca="false">2_Matriz_decision!G232/G$5</f>
        <v>0.0411149420220302</v>
      </c>
      <c r="H233" s="21" t="n">
        <f aca="false">2_Matriz_decision!H232/H$5</f>
        <v>0.0384268159034261</v>
      </c>
      <c r="I233" s="21" t="n">
        <f aca="false">2_Matriz_decision!I232/I$5</f>
        <v>0.0444554224474387</v>
      </c>
      <c r="J233" s="21" t="n">
        <f aca="false">2_Matriz_decision!J232/J$5</f>
        <v>0.0351992440847949</v>
      </c>
      <c r="K233" s="21" t="n">
        <f aca="false">2_Matriz_decision!K232/K$5</f>
        <v>0.039014903418414</v>
      </c>
      <c r="L233" s="21" t="n">
        <f aca="false">2_Matriz_decision!L232/L$5</f>
        <v>0.0509850939188464</v>
      </c>
      <c r="M233" s="21" t="n">
        <f aca="false">2_Matriz_decision!M232/M$5</f>
        <v>0.0220939003880161</v>
      </c>
      <c r="N233" s="21" t="n">
        <f aca="false">2_Matriz_decision!N232/N$5</f>
        <v>0.0112098043469034</v>
      </c>
      <c r="O233" s="21" t="n">
        <f aca="false">2_Matriz_decision!O232/O$5</f>
        <v>0.0304431282773992</v>
      </c>
      <c r="P233" s="21" t="n">
        <f aca="false">2_Matriz_decision!P232/P$5</f>
        <v>0.0264720767589686</v>
      </c>
      <c r="Q233" s="21" t="n">
        <f aca="false">2_Matriz_decision!Q232/Q$5</f>
        <v>0.066946942810462</v>
      </c>
    </row>
    <row r="234" customFormat="false" ht="15" hidden="false" customHeight="false" outlineLevel="0" collapsed="false">
      <c r="A234" s="15" t="n">
        <f aca="false">2_Matriz_decision!A233</f>
        <v>229</v>
      </c>
      <c r="B234" s="16" t="n">
        <f aca="false">2_Matriz_decision!B233</f>
        <v>23.147</v>
      </c>
      <c r="C234" s="21" t="n">
        <f aca="false">2_Matriz_decision!C233/C$5</f>
        <v>0.0439697451539424</v>
      </c>
      <c r="D234" s="21" t="n">
        <f aca="false">2_Matriz_decision!D233/D$5</f>
        <v>0.0334918645582358</v>
      </c>
      <c r="E234" s="21" t="n">
        <f aca="false">2_Matriz_decision!E233/E$5</f>
        <v>0.0400721949850431</v>
      </c>
      <c r="F234" s="21" t="n">
        <f aca="false">2_Matriz_decision!F233/F$5</f>
        <v>0.0494057638940627</v>
      </c>
      <c r="G234" s="21" t="n">
        <f aca="false">2_Matriz_decision!G233/G$5</f>
        <v>0.0411149420220302</v>
      </c>
      <c r="H234" s="21" t="n">
        <f aca="false">2_Matriz_decision!H233/H$5</f>
        <v>0.0384268159034261</v>
      </c>
      <c r="I234" s="21" t="n">
        <f aca="false">2_Matriz_decision!I233/I$5</f>
        <v>0.0444554224474387</v>
      </c>
      <c r="J234" s="21" t="n">
        <f aca="false">2_Matriz_decision!J233/J$5</f>
        <v>0.0351992440847949</v>
      </c>
      <c r="K234" s="21" t="n">
        <f aca="false">2_Matriz_decision!K233/K$5</f>
        <v>0.039014903418414</v>
      </c>
      <c r="L234" s="21" t="n">
        <f aca="false">2_Matriz_decision!L233/L$5</f>
        <v>0.0492334423837379</v>
      </c>
      <c r="M234" s="21" t="n">
        <f aca="false">2_Matriz_decision!M233/M$5</f>
        <v>0.0220939003880161</v>
      </c>
      <c r="N234" s="21" t="n">
        <f aca="false">2_Matriz_decision!N233/N$5</f>
        <v>0.0112098043469034</v>
      </c>
      <c r="O234" s="21" t="n">
        <f aca="false">2_Matriz_decision!O233/O$5</f>
        <v>0.0304431282773992</v>
      </c>
      <c r="P234" s="21" t="n">
        <f aca="false">2_Matriz_decision!P233/P$5</f>
        <v>0.0264720767589686</v>
      </c>
      <c r="Q234" s="21" t="n">
        <f aca="false">2_Matriz_decision!Q233/Q$5</f>
        <v>0.066946942810462</v>
      </c>
    </row>
    <row r="235" customFormat="false" ht="15" hidden="false" customHeight="false" outlineLevel="0" collapsed="false">
      <c r="A235" s="15" t="n">
        <f aca="false">2_Matriz_decision!A234</f>
        <v>230</v>
      </c>
      <c r="B235" s="16" t="n">
        <f aca="false">2_Matriz_decision!B234</f>
        <v>23.244</v>
      </c>
      <c r="C235" s="21" t="n">
        <f aca="false">2_Matriz_decision!C234/C$5</f>
        <v>0.0439697451539424</v>
      </c>
      <c r="D235" s="21" t="n">
        <f aca="false">2_Matriz_decision!D234/D$5</f>
        <v>0.0334918645582358</v>
      </c>
      <c r="E235" s="21" t="n">
        <f aca="false">2_Matriz_decision!E234/E$5</f>
        <v>0.0400721949850431</v>
      </c>
      <c r="F235" s="21" t="n">
        <f aca="false">2_Matriz_decision!F234/F$5</f>
        <v>0.0494057638940627</v>
      </c>
      <c r="G235" s="21" t="n">
        <f aca="false">2_Matriz_decision!G234/G$5</f>
        <v>0.0411149420220302</v>
      </c>
      <c r="H235" s="21" t="n">
        <f aca="false">2_Matriz_decision!H234/H$5</f>
        <v>0.0384268159034261</v>
      </c>
      <c r="I235" s="21" t="n">
        <f aca="false">2_Matriz_decision!I234/I$5</f>
        <v>0.0296369482982925</v>
      </c>
      <c r="J235" s="21" t="n">
        <f aca="false">2_Matriz_decision!J234/J$5</f>
        <v>0.0351992440847949</v>
      </c>
      <c r="K235" s="21" t="n">
        <f aca="false">2_Matriz_decision!K234/K$5</f>
        <v>0.039014903418414</v>
      </c>
      <c r="L235" s="21" t="n">
        <f aca="false">2_Matriz_decision!L234/L$5</f>
        <v>0.0504769812598073</v>
      </c>
      <c r="M235" s="21" t="n">
        <f aca="false">2_Matriz_decision!M234/M$5</f>
        <v>0.0220939003880161</v>
      </c>
      <c r="N235" s="21" t="n">
        <f aca="false">2_Matriz_decision!N234/N$5</f>
        <v>0.0112098043469034</v>
      </c>
      <c r="O235" s="21" t="n">
        <f aca="false">2_Matriz_decision!O234/O$5</f>
        <v>0.0304431282773992</v>
      </c>
      <c r="P235" s="21" t="n">
        <f aca="false">2_Matriz_decision!P234/P$5</f>
        <v>0.0264720767589686</v>
      </c>
      <c r="Q235" s="21" t="n">
        <f aca="false">2_Matriz_decision!Q234/Q$5</f>
        <v>0.066946942810462</v>
      </c>
    </row>
    <row r="236" customFormat="false" ht="15" hidden="false" customHeight="false" outlineLevel="0" collapsed="false">
      <c r="A236" s="15" t="n">
        <f aca="false">2_Matriz_decision!A235</f>
        <v>231</v>
      </c>
      <c r="B236" s="16" t="n">
        <f aca="false">2_Matriz_decision!B235</f>
        <v>23.342</v>
      </c>
      <c r="C236" s="21" t="n">
        <f aca="false">2_Matriz_decision!C235/C$5</f>
        <v>0.0439697451539424</v>
      </c>
      <c r="D236" s="21" t="n">
        <f aca="false">2_Matriz_decision!D235/D$5</f>
        <v>0.0334918645582358</v>
      </c>
      <c r="E236" s="21" t="n">
        <f aca="false">2_Matriz_decision!E235/E$5</f>
        <v>0.0400721949850431</v>
      </c>
      <c r="F236" s="21" t="n">
        <f aca="false">2_Matriz_decision!F235/F$5</f>
        <v>0.0494057638940627</v>
      </c>
      <c r="G236" s="21" t="n">
        <f aca="false">2_Matriz_decision!G235/G$5</f>
        <v>0.0411149420220302</v>
      </c>
      <c r="H236" s="21" t="n">
        <f aca="false">2_Matriz_decision!H235/H$5</f>
        <v>0.0384268159034261</v>
      </c>
      <c r="I236" s="21" t="n">
        <f aca="false">2_Matriz_decision!I235/I$5</f>
        <v>0.0296369482982925</v>
      </c>
      <c r="J236" s="21" t="n">
        <f aca="false">2_Matriz_decision!J235/J$5</f>
        <v>0.0351992440847949</v>
      </c>
      <c r="K236" s="21" t="n">
        <f aca="false">2_Matriz_decision!K235/K$5</f>
        <v>0.039014903418414</v>
      </c>
      <c r="L236" s="21" t="n">
        <f aca="false">2_Matriz_decision!L235/L$5</f>
        <v>0.0513193785629511</v>
      </c>
      <c r="M236" s="21" t="n">
        <f aca="false">2_Matriz_decision!M235/M$5</f>
        <v>0.0220939003880161</v>
      </c>
      <c r="N236" s="21" t="n">
        <f aca="false">2_Matriz_decision!N235/N$5</f>
        <v>0.0112098043469034</v>
      </c>
      <c r="O236" s="21" t="n">
        <f aca="false">2_Matriz_decision!O235/O$5</f>
        <v>0.0304431282773992</v>
      </c>
      <c r="P236" s="21" t="n">
        <f aca="false">2_Matriz_decision!P235/P$5</f>
        <v>0.0264720767589686</v>
      </c>
      <c r="Q236" s="21" t="n">
        <f aca="false">2_Matriz_decision!Q235/Q$5</f>
        <v>0.066946942810462</v>
      </c>
    </row>
    <row r="237" customFormat="false" ht="15" hidden="false" customHeight="false" outlineLevel="0" collapsed="false">
      <c r="A237" s="15" t="n">
        <f aca="false">2_Matriz_decision!A236</f>
        <v>232</v>
      </c>
      <c r="B237" s="16" t="n">
        <f aca="false">2_Matriz_decision!B236</f>
        <v>23.441</v>
      </c>
      <c r="C237" s="21" t="n">
        <f aca="false">2_Matriz_decision!C236/C$5</f>
        <v>0.0439697451539424</v>
      </c>
      <c r="D237" s="21" t="n">
        <f aca="false">2_Matriz_decision!D236/D$5</f>
        <v>0.0334918645582358</v>
      </c>
      <c r="E237" s="21" t="n">
        <f aca="false">2_Matriz_decision!E236/E$5</f>
        <v>0.0400721949850431</v>
      </c>
      <c r="F237" s="21" t="n">
        <f aca="false">2_Matriz_decision!F236/F$5</f>
        <v>0.0494057638940627</v>
      </c>
      <c r="G237" s="21" t="n">
        <f aca="false">2_Matriz_decision!G236/G$5</f>
        <v>0.0411149420220302</v>
      </c>
      <c r="H237" s="21" t="n">
        <f aca="false">2_Matriz_decision!H236/H$5</f>
        <v>0.0384268159034261</v>
      </c>
      <c r="I237" s="21" t="n">
        <f aca="false">2_Matriz_decision!I236/I$5</f>
        <v>0.0296369482982925</v>
      </c>
      <c r="J237" s="21" t="n">
        <f aca="false">2_Matriz_decision!J236/J$5</f>
        <v>0.0351992440847949</v>
      </c>
      <c r="K237" s="21" t="n">
        <f aca="false">2_Matriz_decision!K236/K$5</f>
        <v>0.039014903418414</v>
      </c>
      <c r="L237" s="21" t="n">
        <f aca="false">2_Matriz_decision!L236/L$5</f>
        <v>0.052455946352907</v>
      </c>
      <c r="M237" s="21" t="n">
        <f aca="false">2_Matriz_decision!M236/M$5</f>
        <v>0.0220939003880161</v>
      </c>
      <c r="N237" s="21" t="n">
        <f aca="false">2_Matriz_decision!N236/N$5</f>
        <v>0.0112098043469034</v>
      </c>
      <c r="O237" s="21" t="n">
        <f aca="false">2_Matriz_decision!O236/O$5</f>
        <v>0.0304431282773992</v>
      </c>
      <c r="P237" s="21" t="n">
        <f aca="false">2_Matriz_decision!P236/P$5</f>
        <v>0.0264720767589686</v>
      </c>
      <c r="Q237" s="21" t="n">
        <f aca="false">2_Matriz_decision!Q236/Q$5</f>
        <v>0.066946942810462</v>
      </c>
    </row>
    <row r="238" customFormat="false" ht="15" hidden="false" customHeight="false" outlineLevel="0" collapsed="false">
      <c r="A238" s="15" t="n">
        <f aca="false">2_Matriz_decision!A237</f>
        <v>233</v>
      </c>
      <c r="B238" s="16" t="n">
        <f aca="false">2_Matriz_decision!B237</f>
        <v>23.54</v>
      </c>
      <c r="C238" s="21" t="n">
        <f aca="false">2_Matriz_decision!C237/C$5</f>
        <v>0.0439697451539424</v>
      </c>
      <c r="D238" s="21" t="n">
        <f aca="false">2_Matriz_decision!D237/D$5</f>
        <v>0.0334918645582358</v>
      </c>
      <c r="E238" s="21" t="n">
        <f aca="false">2_Matriz_decision!E237/E$5</f>
        <v>0.0400721949850431</v>
      </c>
      <c r="F238" s="21" t="n">
        <f aca="false">2_Matriz_decision!F237/F$5</f>
        <v>0.0494057638940627</v>
      </c>
      <c r="G238" s="21" t="n">
        <f aca="false">2_Matriz_decision!G237/G$5</f>
        <v>0.0411149420220302</v>
      </c>
      <c r="H238" s="21" t="n">
        <f aca="false">2_Matriz_decision!H237/H$5</f>
        <v>0.0384268159034261</v>
      </c>
      <c r="I238" s="21" t="n">
        <f aca="false">2_Matriz_decision!I237/I$5</f>
        <v>0.0296369482982925</v>
      </c>
      <c r="J238" s="21" t="n">
        <f aca="false">2_Matriz_decision!J237/J$5</f>
        <v>0.0351992440847949</v>
      </c>
      <c r="K238" s="21" t="n">
        <f aca="false">2_Matriz_decision!K237/K$5</f>
        <v>0.039014903418414</v>
      </c>
      <c r="L238" s="21" t="n">
        <f aca="false">2_Matriz_decision!L237/L$5</f>
        <v>0.0524826891244354</v>
      </c>
      <c r="M238" s="21" t="n">
        <f aca="false">2_Matriz_decision!M237/M$5</f>
        <v>0.0220939003880161</v>
      </c>
      <c r="N238" s="21" t="n">
        <f aca="false">2_Matriz_decision!N237/N$5</f>
        <v>0.0112098043469034</v>
      </c>
      <c r="O238" s="21" t="n">
        <f aca="false">2_Matriz_decision!O237/O$5</f>
        <v>0.0304431282773992</v>
      </c>
      <c r="P238" s="21" t="n">
        <f aca="false">2_Matriz_decision!P237/P$5</f>
        <v>0.0264720767589686</v>
      </c>
      <c r="Q238" s="21" t="n">
        <f aca="false">2_Matriz_decision!Q237/Q$5</f>
        <v>0.066946942810462</v>
      </c>
    </row>
    <row r="239" customFormat="false" ht="15" hidden="false" customHeight="false" outlineLevel="0" collapsed="false">
      <c r="A239" s="15" t="n">
        <f aca="false">2_Matriz_decision!A238</f>
        <v>234</v>
      </c>
      <c r="B239" s="16" t="n">
        <f aca="false">2_Matriz_decision!B238</f>
        <v>23.64</v>
      </c>
      <c r="C239" s="21" t="n">
        <f aca="false">2_Matriz_decision!C238/C$5</f>
        <v>0.0439697451539424</v>
      </c>
      <c r="D239" s="21" t="n">
        <f aca="false">2_Matriz_decision!D238/D$5</f>
        <v>0.0418648306977948</v>
      </c>
      <c r="E239" s="21" t="n">
        <f aca="false">2_Matriz_decision!E238/E$5</f>
        <v>0.0400721949850431</v>
      </c>
      <c r="F239" s="21" t="n">
        <f aca="false">2_Matriz_decision!F238/F$5</f>
        <v>0.0494057638940627</v>
      </c>
      <c r="G239" s="21" t="n">
        <f aca="false">2_Matriz_decision!G238/G$5</f>
        <v>0.0411149420220302</v>
      </c>
      <c r="H239" s="21" t="n">
        <f aca="false">2_Matriz_decision!H238/H$5</f>
        <v>0.0384268159034261</v>
      </c>
      <c r="I239" s="21" t="n">
        <f aca="false">2_Matriz_decision!I238/I$5</f>
        <v>0.0148184741491462</v>
      </c>
      <c r="J239" s="21" t="n">
        <f aca="false">2_Matriz_decision!J238/J$5</f>
        <v>0.0351992440847949</v>
      </c>
      <c r="K239" s="21" t="n">
        <f aca="false">2_Matriz_decision!K238/K$5</f>
        <v>0.039014903418414</v>
      </c>
      <c r="L239" s="21" t="n">
        <f aca="false">2_Matriz_decision!L238/L$5</f>
        <v>0.0522152614091516</v>
      </c>
      <c r="M239" s="21" t="n">
        <f aca="false">2_Matriz_decision!M238/M$5</f>
        <v>0.0220939003880161</v>
      </c>
      <c r="N239" s="21" t="n">
        <f aca="false">2_Matriz_decision!N238/N$5</f>
        <v>0.0112098043469034</v>
      </c>
      <c r="O239" s="21" t="n">
        <f aca="false">2_Matriz_decision!O238/O$5</f>
        <v>0.0304431282773992</v>
      </c>
      <c r="P239" s="21" t="n">
        <f aca="false">2_Matriz_decision!P238/P$5</f>
        <v>0.0264720767589686</v>
      </c>
      <c r="Q239" s="21" t="n">
        <f aca="false">2_Matriz_decision!Q238/Q$5</f>
        <v>0.066946942810462</v>
      </c>
    </row>
    <row r="240" customFormat="false" ht="15" hidden="false" customHeight="false" outlineLevel="0" collapsed="false">
      <c r="A240" s="15" t="n">
        <f aca="false">2_Matriz_decision!A239</f>
        <v>235</v>
      </c>
      <c r="B240" s="16" t="n">
        <f aca="false">2_Matriz_decision!B239</f>
        <v>23.74</v>
      </c>
      <c r="C240" s="21" t="n">
        <f aca="false">2_Matriz_decision!C239/C$5</f>
        <v>0.0439697451539424</v>
      </c>
      <c r="D240" s="21" t="n">
        <f aca="false">2_Matriz_decision!D239/D$5</f>
        <v>0.0418648306977948</v>
      </c>
      <c r="E240" s="21" t="n">
        <f aca="false">2_Matriz_decision!E239/E$5</f>
        <v>0.0400721949850431</v>
      </c>
      <c r="F240" s="21" t="n">
        <f aca="false">2_Matriz_decision!F239/F$5</f>
        <v>0.0494057638940627</v>
      </c>
      <c r="G240" s="21" t="n">
        <f aca="false">2_Matriz_decision!G239/G$5</f>
        <v>0.0411149420220302</v>
      </c>
      <c r="H240" s="21" t="n">
        <f aca="false">2_Matriz_decision!H239/H$5</f>
        <v>0.0384268159034261</v>
      </c>
      <c r="I240" s="21" t="n">
        <f aca="false">2_Matriz_decision!I239/I$5</f>
        <v>0.0148184741491462</v>
      </c>
      <c r="J240" s="21" t="n">
        <f aca="false">2_Matriz_decision!J239/J$5</f>
        <v>0.0351992440847949</v>
      </c>
      <c r="K240" s="21" t="n">
        <f aca="false">2_Matriz_decision!K239/K$5</f>
        <v>0.039014903418414</v>
      </c>
      <c r="L240" s="21" t="n">
        <f aca="false">2_Matriz_decision!L239/L$5</f>
        <v>0.0529640590119461</v>
      </c>
      <c r="M240" s="21" t="n">
        <f aca="false">2_Matriz_decision!M239/M$5</f>
        <v>0.0221491351389862</v>
      </c>
      <c r="N240" s="21" t="n">
        <f aca="false">2_Matriz_decision!N239/N$5</f>
        <v>0.0112098043469034</v>
      </c>
      <c r="O240" s="21" t="n">
        <f aca="false">2_Matriz_decision!O239/O$5</f>
        <v>0.0304431282773992</v>
      </c>
      <c r="P240" s="21" t="n">
        <f aca="false">2_Matriz_decision!P239/P$5</f>
        <v>0.0264720767589686</v>
      </c>
      <c r="Q240" s="21" t="n">
        <f aca="false">2_Matriz_decision!Q239/Q$5</f>
        <v>0.066946942810462</v>
      </c>
    </row>
    <row r="241" customFormat="false" ht="15" hidden="false" customHeight="false" outlineLevel="0" collapsed="false">
      <c r="A241" s="15" t="n">
        <f aca="false">2_Matriz_decision!A240</f>
        <v>236</v>
      </c>
      <c r="B241" s="16" t="n">
        <f aca="false">2_Matriz_decision!B240</f>
        <v>23.84</v>
      </c>
      <c r="C241" s="21" t="n">
        <f aca="false">2_Matriz_decision!C240/C$5</f>
        <v>0.0439697451539424</v>
      </c>
      <c r="D241" s="21" t="n">
        <f aca="false">2_Matriz_decision!D240/D$5</f>
        <v>0.0418648306977948</v>
      </c>
      <c r="E241" s="21" t="n">
        <f aca="false">2_Matriz_decision!E240/E$5</f>
        <v>0.0400721949850431</v>
      </c>
      <c r="F241" s="21" t="n">
        <f aca="false">2_Matriz_decision!F240/F$5</f>
        <v>0.0494057638940627</v>
      </c>
      <c r="G241" s="21" t="n">
        <f aca="false">2_Matriz_decision!G240/G$5</f>
        <v>0.0411149420220302</v>
      </c>
      <c r="H241" s="21" t="n">
        <f aca="false">2_Matriz_decision!H240/H$5</f>
        <v>0.0384268159034261</v>
      </c>
      <c r="I241" s="21" t="n">
        <f aca="false">2_Matriz_decision!I240/I$5</f>
        <v>0.0148184741491462</v>
      </c>
      <c r="J241" s="21" t="n">
        <f aca="false">2_Matriz_decision!J240/J$5</f>
        <v>0.0351992440847949</v>
      </c>
      <c r="K241" s="21" t="n">
        <f aca="false">2_Matriz_decision!K240/K$5</f>
        <v>0.039014903418414</v>
      </c>
      <c r="L241" s="21" t="n">
        <f aca="false">2_Matriz_decision!L240/L$5</f>
        <v>0.0530041731692387</v>
      </c>
      <c r="M241" s="21" t="n">
        <f aca="false">2_Matriz_decision!M240/M$5</f>
        <v>0.0267446664196935</v>
      </c>
      <c r="N241" s="21" t="n">
        <f aca="false">2_Matriz_decision!N240/N$5</f>
        <v>0.0112098043469034</v>
      </c>
      <c r="O241" s="21" t="n">
        <f aca="false">2_Matriz_decision!O240/O$5</f>
        <v>0.0304431282773992</v>
      </c>
      <c r="P241" s="21" t="n">
        <f aca="false">2_Matriz_decision!P240/P$5</f>
        <v>0.0264720767589686</v>
      </c>
      <c r="Q241" s="21" t="n">
        <f aca="false">2_Matriz_decision!Q240/Q$5</f>
        <v>0.066946942810462</v>
      </c>
    </row>
    <row r="242" customFormat="false" ht="15" hidden="false" customHeight="false" outlineLevel="0" collapsed="false">
      <c r="A242" s="15" t="n">
        <f aca="false">2_Matriz_decision!A241</f>
        <v>237</v>
      </c>
      <c r="B242" s="16" t="n">
        <f aca="false">2_Matriz_decision!B241</f>
        <v>23.941</v>
      </c>
      <c r="C242" s="21" t="n">
        <f aca="false">2_Matriz_decision!C241/C$5</f>
        <v>0.0439697451539424</v>
      </c>
      <c r="D242" s="21" t="n">
        <f aca="false">2_Matriz_decision!D241/D$5</f>
        <v>0.0418648306977948</v>
      </c>
      <c r="E242" s="21" t="n">
        <f aca="false">2_Matriz_decision!E241/E$5</f>
        <v>0.0400721949850431</v>
      </c>
      <c r="F242" s="21" t="n">
        <f aca="false">2_Matriz_decision!F241/F$5</f>
        <v>0.0494057638940627</v>
      </c>
      <c r="G242" s="21" t="n">
        <f aca="false">2_Matriz_decision!G241/G$5</f>
        <v>0.0411149420220302</v>
      </c>
      <c r="H242" s="21" t="n">
        <f aca="false">2_Matriz_decision!H241/H$5</f>
        <v>0.0384268159034261</v>
      </c>
      <c r="I242" s="21" t="n">
        <f aca="false">2_Matriz_decision!I241/I$5</f>
        <v>0.0148184741491462</v>
      </c>
      <c r="J242" s="21" t="n">
        <f aca="false">2_Matriz_decision!J241/J$5</f>
        <v>0.0351992440847949</v>
      </c>
      <c r="K242" s="21" t="n">
        <f aca="false">2_Matriz_decision!K241/K$5</f>
        <v>0.039014903418414</v>
      </c>
      <c r="L242" s="21" t="n">
        <f aca="false">2_Matriz_decision!L241/L$5</f>
        <v>0.0531913725699373</v>
      </c>
      <c r="M242" s="21" t="n">
        <f aca="false">2_Matriz_decision!M241/M$5</f>
        <v>0.0244469007793398</v>
      </c>
      <c r="N242" s="21" t="n">
        <f aca="false">2_Matriz_decision!N241/N$5</f>
        <v>0.0112098043469034</v>
      </c>
      <c r="O242" s="21" t="n">
        <f aca="false">2_Matriz_decision!O241/O$5</f>
        <v>0.0304431282773992</v>
      </c>
      <c r="P242" s="21" t="n">
        <f aca="false">2_Matriz_decision!P241/P$5</f>
        <v>0.0264720767589686</v>
      </c>
      <c r="Q242" s="21" t="n">
        <f aca="false">2_Matriz_decision!Q241/Q$5</f>
        <v>0.066946942810462</v>
      </c>
    </row>
    <row r="243" customFormat="false" ht="15" hidden="false" customHeight="false" outlineLevel="0" collapsed="false">
      <c r="A243" s="15" t="n">
        <f aca="false">2_Matriz_decision!A242</f>
        <v>238</v>
      </c>
      <c r="B243" s="16" t="n">
        <f aca="false">2_Matriz_decision!B242</f>
        <v>24.041</v>
      </c>
      <c r="C243" s="21" t="n">
        <f aca="false">2_Matriz_decision!C242/C$5</f>
        <v>0.0439697451539424</v>
      </c>
      <c r="D243" s="21" t="n">
        <f aca="false">2_Matriz_decision!D242/D$5</f>
        <v>0.0418648306977948</v>
      </c>
      <c r="E243" s="21" t="n">
        <f aca="false">2_Matriz_decision!E242/E$5</f>
        <v>0.0400721949850431</v>
      </c>
      <c r="F243" s="21" t="n">
        <f aca="false">2_Matriz_decision!F242/F$5</f>
        <v>0.0494057638940627</v>
      </c>
      <c r="G243" s="21" t="n">
        <f aca="false">2_Matriz_decision!G242/G$5</f>
        <v>0.0411149420220302</v>
      </c>
      <c r="H243" s="21" t="n">
        <f aca="false">2_Matriz_decision!H242/H$5</f>
        <v>0.0384268159034261</v>
      </c>
      <c r="I243" s="21" t="n">
        <f aca="false">2_Matriz_decision!I242/I$5</f>
        <v>0.0148184741491462</v>
      </c>
      <c r="J243" s="21" t="n">
        <f aca="false">2_Matriz_decision!J242/J$5</f>
        <v>0.0351992440847949</v>
      </c>
      <c r="K243" s="21" t="n">
        <f aca="false">2_Matriz_decision!K242/K$5</f>
        <v>0.039014903418414</v>
      </c>
      <c r="L243" s="21" t="n">
        <f aca="false">2_Matriz_decision!L242/L$5</f>
        <v>0.0532314867272299</v>
      </c>
      <c r="M243" s="21" t="n">
        <f aca="false">2_Matriz_decision!M242/M$5</f>
        <v>0.0297825777230457</v>
      </c>
      <c r="N243" s="21" t="n">
        <f aca="false">2_Matriz_decision!N242/N$5</f>
        <v>0.0224196086938067</v>
      </c>
      <c r="O243" s="21" t="n">
        <f aca="false">2_Matriz_decision!O242/O$5</f>
        <v>0.0304431282773992</v>
      </c>
      <c r="P243" s="21" t="n">
        <f aca="false">2_Matriz_decision!P242/P$5</f>
        <v>0.0264720767589686</v>
      </c>
      <c r="Q243" s="21" t="n">
        <f aca="false">2_Matriz_decision!Q242/Q$5</f>
        <v>0.066946942810462</v>
      </c>
    </row>
    <row r="244" customFormat="false" ht="15" hidden="false" customHeight="false" outlineLevel="0" collapsed="false">
      <c r="A244" s="15" t="n">
        <f aca="false">2_Matriz_decision!A243</f>
        <v>239</v>
      </c>
      <c r="B244" s="16" t="n">
        <f aca="false">2_Matriz_decision!B243</f>
        <v>24.141</v>
      </c>
      <c r="C244" s="21" t="n">
        <f aca="false">2_Matriz_decision!C243/C$5</f>
        <v>0.0439697451539424</v>
      </c>
      <c r="D244" s="21" t="n">
        <f aca="false">2_Matriz_decision!D243/D$5</f>
        <v>0.0418648306977948</v>
      </c>
      <c r="E244" s="21" t="n">
        <f aca="false">2_Matriz_decision!E243/E$5</f>
        <v>0.0400721949850431</v>
      </c>
      <c r="F244" s="21" t="n">
        <f aca="false">2_Matriz_decision!F243/F$5</f>
        <v>0.0494057638940627</v>
      </c>
      <c r="G244" s="21" t="n">
        <f aca="false">2_Matriz_decision!G243/G$5</f>
        <v>0.0411149420220302</v>
      </c>
      <c r="H244" s="21" t="n">
        <f aca="false">2_Matriz_decision!H243/H$5</f>
        <v>0.0384268159034261</v>
      </c>
      <c r="I244" s="21" t="n">
        <f aca="false">2_Matriz_decision!I243/I$5</f>
        <v>0.0148184741491462</v>
      </c>
      <c r="J244" s="21" t="n">
        <f aca="false">2_Matriz_decision!J243/J$5</f>
        <v>0.0351992440847949</v>
      </c>
      <c r="K244" s="21" t="n">
        <f aca="false">2_Matriz_decision!K243/K$5</f>
        <v>0.039014903418414</v>
      </c>
      <c r="L244" s="21" t="n">
        <f aca="false">2_Matriz_decision!L243/L$5</f>
        <v>0.0485782444812927</v>
      </c>
      <c r="M244" s="21" t="n">
        <f aca="false">2_Matriz_decision!M243/M$5</f>
        <v>0.0341792639002609</v>
      </c>
      <c r="N244" s="21" t="n">
        <f aca="false">2_Matriz_decision!N243/N$5</f>
        <v>0.0224196086938067</v>
      </c>
      <c r="O244" s="21" t="n">
        <f aca="false">2_Matriz_decision!O243/O$5</f>
        <v>0.0304431282773992</v>
      </c>
      <c r="P244" s="21" t="n">
        <f aca="false">2_Matriz_decision!P243/P$5</f>
        <v>0.0264720767589686</v>
      </c>
      <c r="Q244" s="21" t="n">
        <f aca="false">2_Matriz_decision!Q243/Q$5</f>
        <v>0.066946942810462</v>
      </c>
    </row>
    <row r="245" customFormat="false" ht="15" hidden="false" customHeight="false" outlineLevel="0" collapsed="false">
      <c r="A245" s="15" t="n">
        <f aca="false">2_Matriz_decision!A244</f>
        <v>240</v>
      </c>
      <c r="B245" s="16" t="n">
        <f aca="false">2_Matriz_decision!B244</f>
        <v>24.241</v>
      </c>
      <c r="C245" s="21" t="n">
        <f aca="false">2_Matriz_decision!C244/C$5</f>
        <v>0.0439697451539424</v>
      </c>
      <c r="D245" s="21" t="n">
        <f aca="false">2_Matriz_decision!D244/D$5</f>
        <v>0.0418648306977948</v>
      </c>
      <c r="E245" s="21" t="n">
        <f aca="false">2_Matriz_decision!E244/E$5</f>
        <v>0.0400721949850431</v>
      </c>
      <c r="F245" s="21" t="n">
        <f aca="false">2_Matriz_decision!F244/F$5</f>
        <v>0.0494057638940627</v>
      </c>
      <c r="G245" s="21" t="n">
        <f aca="false">2_Matriz_decision!G244/G$5</f>
        <v>0.0411149420220302</v>
      </c>
      <c r="H245" s="21" t="n">
        <f aca="false">2_Matriz_decision!H244/H$5</f>
        <v>0.0384268159034261</v>
      </c>
      <c r="I245" s="21" t="n">
        <f aca="false">2_Matriz_decision!I244/I$5</f>
        <v>0.0148184741491462</v>
      </c>
      <c r="J245" s="21" t="n">
        <f aca="false">2_Matriz_decision!J244/J$5</f>
        <v>0.0351992440847949</v>
      </c>
      <c r="K245" s="21" t="n">
        <f aca="false">2_Matriz_decision!K244/K$5</f>
        <v>0.039014903418414</v>
      </c>
      <c r="L245" s="21" t="n">
        <f aca="false">2_Matriz_decision!L244/L$5</f>
        <v>0.0403682136220816</v>
      </c>
      <c r="M245" s="21" t="n">
        <f aca="false">2_Matriz_decision!M244/M$5</f>
        <v>0.0426743685994531</v>
      </c>
      <c r="N245" s="21" t="n">
        <f aca="false">2_Matriz_decision!N244/N$5</f>
        <v>0.0224196086938067</v>
      </c>
      <c r="O245" s="21" t="n">
        <f aca="false">2_Matriz_decision!O244/O$5</f>
        <v>0.0304431282773992</v>
      </c>
      <c r="P245" s="21" t="n">
        <f aca="false">2_Matriz_decision!P244/P$5</f>
        <v>0.0264720767589686</v>
      </c>
      <c r="Q245" s="21" t="n">
        <f aca="false">2_Matriz_decision!Q244/Q$5</f>
        <v>0.066946942810462</v>
      </c>
    </row>
    <row r="246" customFormat="false" ht="15" hidden="false" customHeight="false" outlineLevel="0" collapsed="false">
      <c r="A246" s="15" t="n">
        <f aca="false">2_Matriz_decision!A245</f>
        <v>241</v>
      </c>
      <c r="B246" s="16" t="n">
        <f aca="false">2_Matriz_decision!B245</f>
        <v>24.347</v>
      </c>
      <c r="C246" s="21" t="n">
        <f aca="false">2_Matriz_decision!C245/C$5</f>
        <v>0.0439697451539424</v>
      </c>
      <c r="D246" s="21" t="n">
        <f aca="false">2_Matriz_decision!D245/D$5</f>
        <v>0.0418648306977948</v>
      </c>
      <c r="E246" s="21" t="n">
        <f aca="false">2_Matriz_decision!E245/E$5</f>
        <v>0.0400721949850431</v>
      </c>
      <c r="F246" s="21" t="n">
        <f aca="false">2_Matriz_decision!F245/F$5</f>
        <v>0.0494057638940627</v>
      </c>
      <c r="G246" s="21" t="n">
        <f aca="false">2_Matriz_decision!G245/G$5</f>
        <v>0.0411149420220302</v>
      </c>
      <c r="H246" s="21" t="n">
        <f aca="false">2_Matriz_decision!H245/H$5</f>
        <v>0.0384268159034261</v>
      </c>
      <c r="I246" s="21" t="n">
        <f aca="false">2_Matriz_decision!I245/I$5</f>
        <v>0.0148184741491462</v>
      </c>
      <c r="J246" s="21" t="n">
        <f aca="false">2_Matriz_decision!J245/J$5</f>
        <v>0.0351992440847949</v>
      </c>
      <c r="K246" s="21" t="n">
        <f aca="false">2_Matriz_decision!K245/K$5</f>
        <v>0.039014903418414</v>
      </c>
      <c r="L246" s="21" t="n">
        <f aca="false">2_Matriz_decision!L245/L$5</f>
        <v>0.0364637689789389</v>
      </c>
      <c r="M246" s="21" t="n">
        <f aca="false">2_Matriz_decision!M245/M$5</f>
        <v>0.039680645096877</v>
      </c>
      <c r="N246" s="21" t="n">
        <f aca="false">2_Matriz_decision!N245/N$5</f>
        <v>0.0224196086938067</v>
      </c>
      <c r="O246" s="21" t="n">
        <f aca="false">2_Matriz_decision!O245/O$5</f>
        <v>0.0304431282773992</v>
      </c>
      <c r="P246" s="21" t="n">
        <f aca="false">2_Matriz_decision!P245/P$5</f>
        <v>0.0264720767589686</v>
      </c>
      <c r="Q246" s="21" t="n">
        <f aca="false">2_Matriz_decision!Q245/Q$5</f>
        <v>0.0133893885620924</v>
      </c>
    </row>
    <row r="247" customFormat="false" ht="15" hidden="false" customHeight="false" outlineLevel="0" collapsed="false">
      <c r="A247" s="15" t="n">
        <f aca="false">2_Matriz_decision!A246</f>
        <v>242</v>
      </c>
      <c r="B247" s="16" t="n">
        <f aca="false">2_Matriz_decision!B246</f>
        <v>24.447</v>
      </c>
      <c r="C247" s="21" t="n">
        <f aca="false">2_Matriz_decision!C246/C$5</f>
        <v>0.0439697451539424</v>
      </c>
      <c r="D247" s="21" t="n">
        <f aca="false">2_Matriz_decision!D246/D$5</f>
        <v>0.0418648306977948</v>
      </c>
      <c r="E247" s="21" t="n">
        <f aca="false">2_Matriz_decision!E246/E$5</f>
        <v>0.0400721949850431</v>
      </c>
      <c r="F247" s="21" t="n">
        <f aca="false">2_Matriz_decision!F246/F$5</f>
        <v>0.0494057638940627</v>
      </c>
      <c r="G247" s="21" t="n">
        <f aca="false">2_Matriz_decision!G246/G$5</f>
        <v>0.0411149420220302</v>
      </c>
      <c r="H247" s="21" t="n">
        <f aca="false">2_Matriz_decision!H246/H$5</f>
        <v>0.0384268159034261</v>
      </c>
      <c r="I247" s="21" t="n">
        <f aca="false">2_Matriz_decision!I246/I$5</f>
        <v>0.0148184741491462</v>
      </c>
      <c r="J247" s="21" t="n">
        <f aca="false">2_Matriz_decision!J246/J$5</f>
        <v>0.0351992440847949</v>
      </c>
      <c r="K247" s="21" t="n">
        <f aca="false">2_Matriz_decision!K246/K$5</f>
        <v>0.039014903418414</v>
      </c>
      <c r="L247" s="21" t="n">
        <f aca="false">2_Matriz_decision!L246/L$5</f>
        <v>0.0371858238102051</v>
      </c>
      <c r="M247" s="21" t="n">
        <f aca="false">2_Matriz_decision!M246/M$5</f>
        <v>0.0406638236641437</v>
      </c>
      <c r="N247" s="21" t="n">
        <f aca="false">2_Matriz_decision!N246/N$5</f>
        <v>0.0224196086938067</v>
      </c>
      <c r="O247" s="21" t="n">
        <f aca="false">2_Matriz_decision!O246/O$5</f>
        <v>0.0304431282773992</v>
      </c>
      <c r="P247" s="21" t="n">
        <f aca="false">2_Matriz_decision!P246/P$5</f>
        <v>0.0264720767589686</v>
      </c>
      <c r="Q247" s="21" t="n">
        <f aca="false">2_Matriz_decision!Q246/Q$5</f>
        <v>0.066946942810462</v>
      </c>
    </row>
    <row r="248" customFormat="false" ht="15" hidden="false" customHeight="false" outlineLevel="0" collapsed="false">
      <c r="A248" s="15" t="n">
        <f aca="false">2_Matriz_decision!A247</f>
        <v>243</v>
      </c>
      <c r="B248" s="16" t="n">
        <f aca="false">2_Matriz_decision!B247</f>
        <v>24.547</v>
      </c>
      <c r="C248" s="21" t="n">
        <f aca="false">2_Matriz_decision!C247/C$5</f>
        <v>0.0439697451539424</v>
      </c>
      <c r="D248" s="21" t="n">
        <f aca="false">2_Matriz_decision!D247/D$5</f>
        <v>0.0418648306977948</v>
      </c>
      <c r="E248" s="21" t="n">
        <f aca="false">2_Matriz_decision!E247/E$5</f>
        <v>0.0400721949850431</v>
      </c>
      <c r="F248" s="21" t="n">
        <f aca="false">2_Matriz_decision!F247/F$5</f>
        <v>0.0494057638940627</v>
      </c>
      <c r="G248" s="21" t="n">
        <f aca="false">2_Matriz_decision!G247/G$5</f>
        <v>0.0411149420220302</v>
      </c>
      <c r="H248" s="21" t="n">
        <f aca="false">2_Matriz_decision!H247/H$5</f>
        <v>0.0384268159034261</v>
      </c>
      <c r="I248" s="21" t="n">
        <f aca="false">2_Matriz_decision!I247/I$5</f>
        <v>0.0148184741491462</v>
      </c>
      <c r="J248" s="21" t="n">
        <f aca="false">2_Matriz_decision!J247/J$5</f>
        <v>0.0351992440847949</v>
      </c>
      <c r="K248" s="21" t="n">
        <f aca="false">2_Matriz_decision!K247/K$5</f>
        <v>0.039014903418414</v>
      </c>
      <c r="L248" s="21" t="n">
        <f aca="false">2_Matriz_decision!L247/L$5</f>
        <v>0.0350597734736993</v>
      </c>
      <c r="M248" s="21" t="n">
        <f aca="false">2_Matriz_decision!M247/M$5</f>
        <v>0.0346321888582153</v>
      </c>
      <c r="N248" s="21" t="n">
        <f aca="false">2_Matriz_decision!N247/N$5</f>
        <v>0.0224196086938067</v>
      </c>
      <c r="O248" s="21" t="n">
        <f aca="false">2_Matriz_decision!O247/O$5</f>
        <v>0.0304431282773992</v>
      </c>
      <c r="P248" s="21" t="n">
        <f aca="false">2_Matriz_decision!P247/P$5</f>
        <v>0.0264720767589686</v>
      </c>
      <c r="Q248" s="21" t="n">
        <f aca="false">2_Matriz_decision!Q247/Q$5</f>
        <v>0.066946942810462</v>
      </c>
    </row>
    <row r="249" customFormat="false" ht="15" hidden="false" customHeight="false" outlineLevel="0" collapsed="false">
      <c r="A249" s="15" t="n">
        <f aca="false">2_Matriz_decision!A248</f>
        <v>244</v>
      </c>
      <c r="B249" s="16" t="n">
        <f aca="false">2_Matriz_decision!B248</f>
        <v>24.646</v>
      </c>
      <c r="C249" s="21" t="n">
        <f aca="false">2_Matriz_decision!C248/C$5</f>
        <v>0.0439697451539424</v>
      </c>
      <c r="D249" s="21" t="n">
        <f aca="false">2_Matriz_decision!D248/D$5</f>
        <v>0.0418648306977948</v>
      </c>
      <c r="E249" s="21" t="n">
        <f aca="false">2_Matriz_decision!E248/E$5</f>
        <v>0.0400721949850431</v>
      </c>
      <c r="F249" s="21" t="n">
        <f aca="false">2_Matriz_decision!F248/F$5</f>
        <v>0.0494057638940627</v>
      </c>
      <c r="G249" s="21" t="n">
        <f aca="false">2_Matriz_decision!G248/G$5</f>
        <v>0.0411149420220302</v>
      </c>
      <c r="H249" s="21" t="n">
        <f aca="false">2_Matriz_decision!H248/H$5</f>
        <v>0.0384268159034261</v>
      </c>
      <c r="I249" s="21" t="n">
        <f aca="false">2_Matriz_decision!I248/I$5</f>
        <v>0.0148184741491462</v>
      </c>
      <c r="J249" s="21" t="n">
        <f aca="false">2_Matriz_decision!J248/J$5</f>
        <v>0.0351992440847949</v>
      </c>
      <c r="K249" s="21" t="n">
        <f aca="false">2_Matriz_decision!K248/K$5</f>
        <v>0.039014903418414</v>
      </c>
      <c r="L249" s="21" t="n">
        <f aca="false">2_Matriz_decision!L248/L$5</f>
        <v>0.0368515391661004</v>
      </c>
      <c r="M249" s="21" t="n">
        <f aca="false">2_Matriz_decision!M248/M$5</f>
        <v>0.0357258369274221</v>
      </c>
      <c r="N249" s="21" t="n">
        <f aca="false">2_Matriz_decision!N248/N$5</f>
        <v>0.0224196086938067</v>
      </c>
      <c r="O249" s="21" t="n">
        <f aca="false">2_Matriz_decision!O248/O$5</f>
        <v>0.0304431282773992</v>
      </c>
      <c r="P249" s="21" t="n">
        <f aca="false">2_Matriz_decision!P248/P$5</f>
        <v>0.0264720767589686</v>
      </c>
      <c r="Q249" s="21" t="n">
        <f aca="false">2_Matriz_decision!Q248/Q$5</f>
        <v>0.066946942810462</v>
      </c>
    </row>
    <row r="250" customFormat="false" ht="15" hidden="false" customHeight="false" outlineLevel="0" collapsed="false">
      <c r="A250" s="15" t="n">
        <f aca="false">2_Matriz_decision!A249</f>
        <v>245</v>
      </c>
      <c r="B250" s="16" t="n">
        <f aca="false">2_Matriz_decision!B249</f>
        <v>24.745</v>
      </c>
      <c r="C250" s="21" t="n">
        <f aca="false">2_Matriz_decision!C249/C$5</f>
        <v>0.0439697451539424</v>
      </c>
      <c r="D250" s="21" t="n">
        <f aca="false">2_Matriz_decision!D249/D$5</f>
        <v>0.0418648306977948</v>
      </c>
      <c r="E250" s="21" t="n">
        <f aca="false">2_Matriz_decision!E249/E$5</f>
        <v>0.0400721949850431</v>
      </c>
      <c r="F250" s="21" t="n">
        <f aca="false">2_Matriz_decision!F249/F$5</f>
        <v>0.0494057638940627</v>
      </c>
      <c r="G250" s="21" t="n">
        <f aca="false">2_Matriz_decision!G249/G$5</f>
        <v>0.0411149420220302</v>
      </c>
      <c r="H250" s="21" t="n">
        <f aca="false">2_Matriz_decision!H249/H$5</f>
        <v>0.0384268159034261</v>
      </c>
      <c r="I250" s="21" t="n">
        <f aca="false">2_Matriz_decision!I249/I$5</f>
        <v>0.0148184741491462</v>
      </c>
      <c r="J250" s="21" t="n">
        <f aca="false">2_Matriz_decision!J249/J$5</f>
        <v>0.0351992440847949</v>
      </c>
      <c r="K250" s="21" t="n">
        <f aca="false">2_Matriz_decision!K249/K$5</f>
        <v>0.039014903418414</v>
      </c>
      <c r="L250" s="21" t="n">
        <f aca="false">2_Matriz_decision!L249/L$5</f>
        <v>0.0396729015623439</v>
      </c>
      <c r="M250" s="21" t="n">
        <f aca="false">2_Matriz_decision!M249/M$5</f>
        <v>0.0374602081078813</v>
      </c>
      <c r="N250" s="21" t="n">
        <f aca="false">2_Matriz_decision!N249/N$5</f>
        <v>0.0224196086938067</v>
      </c>
      <c r="O250" s="21" t="n">
        <f aca="false">2_Matriz_decision!O249/O$5</f>
        <v>0.0304431282773992</v>
      </c>
      <c r="P250" s="21" t="n">
        <f aca="false">2_Matriz_decision!P249/P$5</f>
        <v>0.0264720767589686</v>
      </c>
      <c r="Q250" s="21" t="n">
        <f aca="false">2_Matriz_decision!Q249/Q$5</f>
        <v>0.066946942810462</v>
      </c>
    </row>
    <row r="251" customFormat="false" ht="15" hidden="false" customHeight="false" outlineLevel="0" collapsed="false">
      <c r="A251" s="15" t="n">
        <f aca="false">2_Matriz_decision!A250</f>
        <v>246</v>
      </c>
      <c r="B251" s="16" t="n">
        <f aca="false">2_Matriz_decision!B250</f>
        <v>24.844</v>
      </c>
      <c r="C251" s="21" t="n">
        <f aca="false">2_Matriz_decision!C250/C$5</f>
        <v>0.0439697451539424</v>
      </c>
      <c r="D251" s="21" t="n">
        <f aca="false">2_Matriz_decision!D250/D$5</f>
        <v>0.0418648306977948</v>
      </c>
      <c r="E251" s="21" t="n">
        <f aca="false">2_Matriz_decision!E250/E$5</f>
        <v>0.0400721949850431</v>
      </c>
      <c r="F251" s="21" t="n">
        <f aca="false">2_Matriz_decision!F250/F$5</f>
        <v>0.0494057638940627</v>
      </c>
      <c r="G251" s="21" t="n">
        <f aca="false">2_Matriz_decision!G250/G$5</f>
        <v>0.0411149420220302</v>
      </c>
      <c r="H251" s="21" t="n">
        <f aca="false">2_Matriz_decision!H250/H$5</f>
        <v>0.0384268159034261</v>
      </c>
      <c r="I251" s="21" t="n">
        <f aca="false">2_Matriz_decision!I250/I$5</f>
        <v>0.0148184741491462</v>
      </c>
      <c r="J251" s="21" t="n">
        <f aca="false">2_Matriz_decision!J250/J$5</f>
        <v>0.0351992440847949</v>
      </c>
      <c r="K251" s="21" t="n">
        <f aca="false">2_Matriz_decision!K250/K$5</f>
        <v>0.039014903418414</v>
      </c>
      <c r="L251" s="21" t="n">
        <f aca="false">2_Matriz_decision!L250/L$5</f>
        <v>0.0419995226853125</v>
      </c>
      <c r="M251" s="21" t="n">
        <f aca="false">2_Matriz_decision!M250/M$5</f>
        <v>0.0404318377100695</v>
      </c>
      <c r="N251" s="21" t="n">
        <f aca="false">2_Matriz_decision!N250/N$5</f>
        <v>0.0224196086938067</v>
      </c>
      <c r="O251" s="21" t="n">
        <f aca="false">2_Matriz_decision!O250/O$5</f>
        <v>0.0304431282773992</v>
      </c>
      <c r="P251" s="21" t="n">
        <f aca="false">2_Matriz_decision!P250/P$5</f>
        <v>0.0264720767589686</v>
      </c>
      <c r="Q251" s="21" t="n">
        <f aca="false">2_Matriz_decision!Q250/Q$5</f>
        <v>0.066946942810462</v>
      </c>
    </row>
    <row r="252" customFormat="false" ht="15" hidden="false" customHeight="false" outlineLevel="0" collapsed="false">
      <c r="A252" s="15" t="n">
        <f aca="false">2_Matriz_decision!A251</f>
        <v>247</v>
      </c>
      <c r="B252" s="16" t="n">
        <f aca="false">2_Matriz_decision!B251</f>
        <v>24.944</v>
      </c>
      <c r="C252" s="21" t="n">
        <f aca="false">2_Matriz_decision!C251/C$5</f>
        <v>0.0439697451539424</v>
      </c>
      <c r="D252" s="21" t="n">
        <f aca="false">2_Matriz_decision!D251/D$5</f>
        <v>0.0418648306977948</v>
      </c>
      <c r="E252" s="21" t="n">
        <f aca="false">2_Matriz_decision!E251/E$5</f>
        <v>0.0400721949850431</v>
      </c>
      <c r="F252" s="21" t="n">
        <f aca="false">2_Matriz_decision!F251/F$5</f>
        <v>0.0494057638940627</v>
      </c>
      <c r="G252" s="21" t="n">
        <f aca="false">2_Matriz_decision!G251/G$5</f>
        <v>0.0411149420220302</v>
      </c>
      <c r="H252" s="21" t="n">
        <f aca="false">2_Matriz_decision!H251/H$5</f>
        <v>0.0384268159034261</v>
      </c>
      <c r="I252" s="21" t="n">
        <f aca="false">2_Matriz_decision!I251/I$5</f>
        <v>0.0148184741491462</v>
      </c>
      <c r="J252" s="21" t="n">
        <f aca="false">2_Matriz_decision!J251/J$5</f>
        <v>0.0351992440847949</v>
      </c>
      <c r="K252" s="21" t="n">
        <f aca="false">2_Matriz_decision!K251/K$5</f>
        <v>0.039014903418414</v>
      </c>
      <c r="L252" s="21" t="n">
        <f aca="false">2_Matriz_decision!L251/L$5</f>
        <v>0.0425611208874084</v>
      </c>
      <c r="M252" s="21" t="n">
        <f aca="false">2_Matriz_decision!M251/M$5</f>
        <v>0.0404870724610395</v>
      </c>
      <c r="N252" s="21" t="n">
        <f aca="false">2_Matriz_decision!N251/N$5</f>
        <v>0.0336294130407101</v>
      </c>
      <c r="O252" s="21" t="n">
        <f aca="false">2_Matriz_decision!O251/O$5</f>
        <v>0.0304431282773992</v>
      </c>
      <c r="P252" s="21" t="n">
        <f aca="false">2_Matriz_decision!P251/P$5</f>
        <v>0.0264720767589686</v>
      </c>
      <c r="Q252" s="21" t="n">
        <f aca="false">2_Matriz_decision!Q251/Q$5</f>
        <v>0.066946942810462</v>
      </c>
    </row>
    <row r="253" customFormat="false" ht="15" hidden="false" customHeight="false" outlineLevel="0" collapsed="false">
      <c r="A253" s="15" t="n">
        <f aca="false">2_Matriz_decision!A252</f>
        <v>248</v>
      </c>
      <c r="B253" s="16" t="n">
        <f aca="false">2_Matriz_decision!B252</f>
        <v>25.043</v>
      </c>
      <c r="C253" s="21" t="n">
        <f aca="false">2_Matriz_decision!C252/C$5</f>
        <v>0.0439697451539424</v>
      </c>
      <c r="D253" s="21" t="n">
        <f aca="false">2_Matriz_decision!D252/D$5</f>
        <v>0.0418648306977948</v>
      </c>
      <c r="E253" s="21" t="n">
        <f aca="false">2_Matriz_decision!E252/E$5</f>
        <v>0.0400721949850431</v>
      </c>
      <c r="F253" s="21" t="n">
        <f aca="false">2_Matriz_decision!F252/F$5</f>
        <v>0.0494057638940627</v>
      </c>
      <c r="G253" s="21" t="n">
        <f aca="false">2_Matriz_decision!G252/G$5</f>
        <v>0.0411149420220302</v>
      </c>
      <c r="H253" s="21" t="n">
        <f aca="false">2_Matriz_decision!H252/H$5</f>
        <v>0.0384268159034261</v>
      </c>
      <c r="I253" s="21" t="n">
        <f aca="false">2_Matriz_decision!I252/I$5</f>
        <v>0.0148184741491462</v>
      </c>
      <c r="J253" s="21" t="n">
        <f aca="false">2_Matriz_decision!J252/J$5</f>
        <v>0.0351992440847949</v>
      </c>
      <c r="K253" s="21" t="n">
        <f aca="false">2_Matriz_decision!K252/K$5</f>
        <v>0.039014903418414</v>
      </c>
      <c r="L253" s="21" t="n">
        <f aca="false">2_Matriz_decision!L252/L$5</f>
        <v>0.0475219050059219</v>
      </c>
      <c r="M253" s="21" t="n">
        <f aca="false">2_Matriz_decision!M252/M$5</f>
        <v>0.0417353778329624</v>
      </c>
      <c r="N253" s="21" t="n">
        <f aca="false">2_Matriz_decision!N252/N$5</f>
        <v>0.0336294130407101</v>
      </c>
      <c r="O253" s="21" t="n">
        <f aca="false">2_Matriz_decision!O252/O$5</f>
        <v>0.0304431282773992</v>
      </c>
      <c r="P253" s="21" t="n">
        <f aca="false">2_Matriz_decision!P252/P$5</f>
        <v>0.0264720767589686</v>
      </c>
      <c r="Q253" s="21" t="n">
        <f aca="false">2_Matriz_decision!Q252/Q$5</f>
        <v>0.0133893885620924</v>
      </c>
    </row>
    <row r="254" customFormat="false" ht="15" hidden="false" customHeight="false" outlineLevel="0" collapsed="false">
      <c r="A254" s="15" t="n">
        <f aca="false">2_Matriz_decision!A253</f>
        <v>249</v>
      </c>
      <c r="B254" s="16" t="n">
        <f aca="false">2_Matriz_decision!B253</f>
        <v>25.143</v>
      </c>
      <c r="C254" s="21" t="n">
        <f aca="false">2_Matriz_decision!C253/C$5</f>
        <v>0.0439697451539424</v>
      </c>
      <c r="D254" s="21" t="n">
        <f aca="false">2_Matriz_decision!D253/D$5</f>
        <v>0.0418648306977948</v>
      </c>
      <c r="E254" s="21" t="n">
        <f aca="false">2_Matriz_decision!E253/E$5</f>
        <v>0.0400721949850431</v>
      </c>
      <c r="F254" s="21" t="n">
        <f aca="false">2_Matriz_decision!F253/F$5</f>
        <v>0.0494057638940627</v>
      </c>
      <c r="G254" s="21" t="n">
        <f aca="false">2_Matriz_decision!G253/G$5</f>
        <v>0.0411149420220302</v>
      </c>
      <c r="H254" s="21" t="n">
        <f aca="false">2_Matriz_decision!H253/H$5</f>
        <v>0.0384268159034261</v>
      </c>
      <c r="I254" s="21" t="n">
        <f aca="false">2_Matriz_decision!I253/I$5</f>
        <v>0.0148184741491462</v>
      </c>
      <c r="J254" s="21" t="n">
        <f aca="false">2_Matriz_decision!J253/J$5</f>
        <v>0.0351992440847949</v>
      </c>
      <c r="K254" s="21" t="n">
        <f aca="false">2_Matriz_decision!K253/K$5</f>
        <v>0.039014903418414</v>
      </c>
      <c r="L254" s="21" t="n">
        <f aca="false">2_Matriz_decision!L253/L$5</f>
        <v>0.0315698417892464</v>
      </c>
      <c r="M254" s="21" t="n">
        <f aca="false">2_Matriz_decision!M253/M$5</f>
        <v>0.0399236780011451</v>
      </c>
      <c r="N254" s="21" t="n">
        <f aca="false">2_Matriz_decision!N253/N$5</f>
        <v>0.0336294130407101</v>
      </c>
      <c r="O254" s="21" t="n">
        <f aca="false">2_Matriz_decision!O253/O$5</f>
        <v>0.0304431282773992</v>
      </c>
      <c r="P254" s="21" t="n">
        <f aca="false">2_Matriz_decision!P253/P$5</f>
        <v>0.0264720767589686</v>
      </c>
      <c r="Q254" s="21" t="n">
        <f aca="false">2_Matriz_decision!Q253/Q$5</f>
        <v>0.0133893885620924</v>
      </c>
    </row>
    <row r="255" customFormat="false" ht="15" hidden="false" customHeight="false" outlineLevel="0" collapsed="false">
      <c r="A255" s="15" t="n">
        <f aca="false">2_Matriz_decision!A254</f>
        <v>250</v>
      </c>
      <c r="B255" s="16" t="n">
        <f aca="false">2_Matriz_decision!B254</f>
        <v>25.244</v>
      </c>
      <c r="C255" s="21" t="n">
        <f aca="false">2_Matriz_decision!C254/C$5</f>
        <v>0.0439697451539424</v>
      </c>
      <c r="D255" s="21" t="n">
        <f aca="false">2_Matriz_decision!D254/D$5</f>
        <v>0.0418648306977948</v>
      </c>
      <c r="E255" s="21" t="n">
        <f aca="false">2_Matriz_decision!E254/E$5</f>
        <v>0.0400721949850431</v>
      </c>
      <c r="F255" s="21" t="n">
        <f aca="false">2_Matriz_decision!F254/F$5</f>
        <v>0.0494057638940627</v>
      </c>
      <c r="G255" s="21" t="n">
        <f aca="false">2_Matriz_decision!G254/G$5</f>
        <v>0.0411149420220302</v>
      </c>
      <c r="H255" s="21" t="n">
        <f aca="false">2_Matriz_decision!H254/H$5</f>
        <v>0.0384268159034261</v>
      </c>
      <c r="I255" s="21" t="n">
        <f aca="false">2_Matriz_decision!I254/I$5</f>
        <v>0.0148184741491462</v>
      </c>
      <c r="J255" s="21" t="n">
        <f aca="false">2_Matriz_decision!J254/J$5</f>
        <v>0.0351992440847949</v>
      </c>
      <c r="K255" s="21" t="n">
        <f aca="false">2_Matriz_decision!K254/K$5</f>
        <v>0.039014903418414</v>
      </c>
      <c r="L255" s="21" t="n">
        <f aca="false">2_Matriz_decision!L254/L$5</f>
        <v>0.0371189668813841</v>
      </c>
      <c r="M255" s="21" t="n">
        <f aca="false">2_Matriz_decision!M254/M$5</f>
        <v>0.0399015841007571</v>
      </c>
      <c r="N255" s="21" t="n">
        <f aca="false">2_Matriz_decision!N254/N$5</f>
        <v>0.0336294130407101</v>
      </c>
      <c r="O255" s="21" t="n">
        <f aca="false">2_Matriz_decision!O254/O$5</f>
        <v>0.0304431282773992</v>
      </c>
      <c r="P255" s="21" t="n">
        <f aca="false">2_Matriz_decision!P254/P$5</f>
        <v>0.0264720767589686</v>
      </c>
      <c r="Q255" s="21" t="n">
        <f aca="false">2_Matriz_decision!Q254/Q$5</f>
        <v>0.0401681656862772</v>
      </c>
    </row>
    <row r="256" customFormat="false" ht="15" hidden="false" customHeight="false" outlineLevel="0" collapsed="false">
      <c r="A256" s="15" t="n">
        <f aca="false">2_Matriz_decision!A255</f>
        <v>251</v>
      </c>
      <c r="B256" s="16" t="n">
        <f aca="false">2_Matriz_decision!B255</f>
        <v>25.346</v>
      </c>
      <c r="C256" s="21" t="n">
        <f aca="false">2_Matriz_decision!C255/C$5</f>
        <v>0.0439697451539424</v>
      </c>
      <c r="D256" s="21" t="n">
        <f aca="false">2_Matriz_decision!D255/D$5</f>
        <v>0.0418648306977948</v>
      </c>
      <c r="E256" s="21" t="n">
        <f aca="false">2_Matriz_decision!E255/E$5</f>
        <v>0.0400721949850431</v>
      </c>
      <c r="F256" s="21" t="n">
        <f aca="false">2_Matriz_decision!F255/F$5</f>
        <v>0.0494057638940627</v>
      </c>
      <c r="G256" s="21" t="n">
        <f aca="false">2_Matriz_decision!G255/G$5</f>
        <v>0.0411149420220302</v>
      </c>
      <c r="H256" s="21" t="n">
        <f aca="false">2_Matriz_decision!H255/H$5</f>
        <v>0.0384268159034261</v>
      </c>
      <c r="I256" s="21" t="n">
        <f aca="false">2_Matriz_decision!I255/I$5</f>
        <v>0.0148184741491462</v>
      </c>
      <c r="J256" s="21" t="n">
        <f aca="false">2_Matriz_decision!J255/J$5</f>
        <v>0.0351992440847949</v>
      </c>
      <c r="K256" s="21" t="n">
        <f aca="false">2_Matriz_decision!K255/K$5</f>
        <v>0.039014903418414</v>
      </c>
      <c r="L256" s="21" t="n">
        <f aca="false">2_Matriz_decision!L255/L$5</f>
        <v>0.0486049872528211</v>
      </c>
      <c r="M256" s="21" t="n">
        <f aca="false">2_Matriz_decision!M255/M$5</f>
        <v>0.0318373104591312</v>
      </c>
      <c r="N256" s="21" t="n">
        <f aca="false">2_Matriz_decision!N255/N$5</f>
        <v>0.0336294130407101</v>
      </c>
      <c r="O256" s="21" t="n">
        <f aca="false">2_Matriz_decision!O255/O$5</f>
        <v>0.0304431282773992</v>
      </c>
      <c r="P256" s="21" t="n">
        <f aca="false">2_Matriz_decision!P255/P$5</f>
        <v>0.0264720767589686</v>
      </c>
      <c r="Q256" s="21" t="n">
        <f aca="false">2_Matriz_decision!Q255/Q$5</f>
        <v>0.066946942810462</v>
      </c>
    </row>
    <row r="257" customFormat="false" ht="15" hidden="false" customHeight="false" outlineLevel="0" collapsed="false">
      <c r="A257" s="15" t="n">
        <f aca="false">2_Matriz_decision!A256</f>
        <v>252</v>
      </c>
      <c r="B257" s="16" t="n">
        <f aca="false">2_Matriz_decision!B256</f>
        <v>25.448</v>
      </c>
      <c r="C257" s="21" t="n">
        <f aca="false">2_Matriz_decision!C256/C$5</f>
        <v>0.0439697451539424</v>
      </c>
      <c r="D257" s="21" t="n">
        <f aca="false">2_Matriz_decision!D256/D$5</f>
        <v>0.0418648306977948</v>
      </c>
      <c r="E257" s="21" t="n">
        <f aca="false">2_Matriz_decision!E256/E$5</f>
        <v>0.0400721949850431</v>
      </c>
      <c r="F257" s="21" t="n">
        <f aca="false">2_Matriz_decision!F256/F$5</f>
        <v>0.0494057638940627</v>
      </c>
      <c r="G257" s="21" t="n">
        <f aca="false">2_Matriz_decision!G256/G$5</f>
        <v>0.0411149420220302</v>
      </c>
      <c r="H257" s="21" t="n">
        <f aca="false">2_Matriz_decision!H256/H$5</f>
        <v>0.0384268159034261</v>
      </c>
      <c r="I257" s="21" t="n">
        <f aca="false">2_Matriz_decision!I256/I$5</f>
        <v>0.0148184741491462</v>
      </c>
      <c r="J257" s="21" t="n">
        <f aca="false">2_Matriz_decision!J256/J$5</f>
        <v>0.0351992440847949</v>
      </c>
      <c r="K257" s="21" t="n">
        <f aca="false">2_Matriz_decision!K256/K$5</f>
        <v>0.039014903418414</v>
      </c>
      <c r="L257" s="21" t="n">
        <f aca="false">2_Matriz_decision!L256/L$5</f>
        <v>0.0328668662083725</v>
      </c>
      <c r="M257" s="21" t="n">
        <f aca="false">2_Matriz_decision!M256/M$5</f>
        <v>0.0421109741395587</v>
      </c>
      <c r="N257" s="21" t="n">
        <f aca="false">2_Matriz_decision!N256/N$5</f>
        <v>0.0336294130407101</v>
      </c>
      <c r="O257" s="21" t="n">
        <f aca="false">2_Matriz_decision!O256/O$5</f>
        <v>0.0304431282773992</v>
      </c>
      <c r="P257" s="21" t="n">
        <f aca="false">2_Matriz_decision!P256/P$5</f>
        <v>0.0264720767589686</v>
      </c>
      <c r="Q257" s="21" t="n">
        <f aca="false">2_Matriz_decision!Q256/Q$5</f>
        <v>0.066946942810462</v>
      </c>
    </row>
    <row r="258" customFormat="false" ht="15" hidden="false" customHeight="false" outlineLevel="0" collapsed="false">
      <c r="A258" s="15" t="n">
        <f aca="false">2_Matriz_decision!A257</f>
        <v>253</v>
      </c>
      <c r="B258" s="16" t="n">
        <f aca="false">2_Matriz_decision!B257</f>
        <v>25.55</v>
      </c>
      <c r="C258" s="21" t="n">
        <f aca="false">2_Matriz_decision!C257/C$5</f>
        <v>0.0439697451539424</v>
      </c>
      <c r="D258" s="21" t="n">
        <f aca="false">2_Matriz_decision!D257/D$5</f>
        <v>0.0418648306977948</v>
      </c>
      <c r="E258" s="21" t="n">
        <f aca="false">2_Matriz_decision!E257/E$5</f>
        <v>0.0400721949850431</v>
      </c>
      <c r="F258" s="21" t="n">
        <f aca="false">2_Matriz_decision!F257/F$5</f>
        <v>0.0494057638940627</v>
      </c>
      <c r="G258" s="21" t="n">
        <f aca="false">2_Matriz_decision!G257/G$5</f>
        <v>0.0411149420220302</v>
      </c>
      <c r="H258" s="21" t="n">
        <f aca="false">2_Matriz_decision!H257/H$5</f>
        <v>0.0384268159034261</v>
      </c>
      <c r="I258" s="21" t="n">
        <f aca="false">2_Matriz_decision!I257/I$5</f>
        <v>0.0148184741491462</v>
      </c>
      <c r="J258" s="21" t="n">
        <f aca="false">2_Matriz_decision!J257/J$5</f>
        <v>0.0351992440847949</v>
      </c>
      <c r="K258" s="21" t="n">
        <f aca="false">2_Matriz_decision!K257/K$5</f>
        <v>0.039014903418414</v>
      </c>
      <c r="L258" s="21" t="n">
        <f aca="false">2_Matriz_decision!L257/L$5</f>
        <v>0.0174630298080287</v>
      </c>
      <c r="M258" s="21" t="n">
        <f aca="false">2_Matriz_decision!M257/M$5</f>
        <v>0.0440883782242862</v>
      </c>
      <c r="N258" s="21" t="n">
        <f aca="false">2_Matriz_decision!N257/N$5</f>
        <v>0.0336294130407101</v>
      </c>
      <c r="O258" s="21" t="n">
        <f aca="false">2_Matriz_decision!O257/O$5</f>
        <v>0.0304431282773992</v>
      </c>
      <c r="P258" s="21" t="n">
        <f aca="false">2_Matriz_decision!P257/P$5</f>
        <v>0.0264720767589686</v>
      </c>
      <c r="Q258" s="21" t="n">
        <f aca="false">2_Matriz_decision!Q257/Q$5</f>
        <v>0.0133893885620924</v>
      </c>
    </row>
    <row r="259" customFormat="false" ht="15" hidden="false" customHeight="false" outlineLevel="0" collapsed="false">
      <c r="A259" s="15" t="n">
        <f aca="false">2_Matriz_decision!A258</f>
        <v>254</v>
      </c>
      <c r="B259" s="16" t="n">
        <f aca="false">2_Matriz_decision!B258</f>
        <v>25.652</v>
      </c>
      <c r="C259" s="21" t="n">
        <f aca="false">2_Matriz_decision!C258/C$5</f>
        <v>0.0439697451539424</v>
      </c>
      <c r="D259" s="21" t="n">
        <f aca="false">2_Matriz_decision!D258/D$5</f>
        <v>0.0418648306977948</v>
      </c>
      <c r="E259" s="21" t="n">
        <f aca="false">2_Matriz_decision!E258/E$5</f>
        <v>0.0400721949850431</v>
      </c>
      <c r="F259" s="21" t="n">
        <f aca="false">2_Matriz_decision!F258/F$5</f>
        <v>0.0494057638940627</v>
      </c>
      <c r="G259" s="21" t="n">
        <f aca="false">2_Matriz_decision!G258/G$5</f>
        <v>0.0411149420220302</v>
      </c>
      <c r="H259" s="21" t="n">
        <f aca="false">2_Matriz_decision!H258/H$5</f>
        <v>0.0384268159034261</v>
      </c>
      <c r="I259" s="21" t="n">
        <f aca="false">2_Matriz_decision!I258/I$5</f>
        <v>0.0148184741491462</v>
      </c>
      <c r="J259" s="21" t="n">
        <f aca="false">2_Matriz_decision!J258/J$5</f>
        <v>0.0351992440847949</v>
      </c>
      <c r="K259" s="21" t="n">
        <f aca="false">2_Matriz_decision!K258/K$5</f>
        <v>0.039014903418414</v>
      </c>
      <c r="L259" s="21" t="n">
        <f aca="false">2_Matriz_decision!L258/L$5</f>
        <v>0.0280665387190293</v>
      </c>
      <c r="M259" s="21" t="n">
        <f aca="false">2_Matriz_decision!M258/M$5</f>
        <v>0.0402329926065773</v>
      </c>
      <c r="N259" s="21" t="n">
        <f aca="false">2_Matriz_decision!N258/N$5</f>
        <v>0.0336294130407101</v>
      </c>
      <c r="O259" s="21" t="n">
        <f aca="false">2_Matriz_decision!O258/O$5</f>
        <v>0.0304431282773992</v>
      </c>
      <c r="P259" s="21" t="n">
        <f aca="false">2_Matriz_decision!P258/P$5</f>
        <v>0.0264720767589686</v>
      </c>
      <c r="Q259" s="21" t="n">
        <f aca="false">2_Matriz_decision!Q258/Q$5</f>
        <v>0.0535575542483696</v>
      </c>
    </row>
    <row r="260" customFormat="false" ht="15" hidden="false" customHeight="false" outlineLevel="0" collapsed="false">
      <c r="A260" s="15" t="n">
        <f aca="false">2_Matriz_decision!A259</f>
        <v>255</v>
      </c>
      <c r="B260" s="16" t="n">
        <f aca="false">2_Matriz_decision!B259</f>
        <v>25.754</v>
      </c>
      <c r="C260" s="21" t="n">
        <f aca="false">2_Matriz_decision!C259/C$5</f>
        <v>0.0439697451539424</v>
      </c>
      <c r="D260" s="21" t="n">
        <f aca="false">2_Matriz_decision!D259/D$5</f>
        <v>0.0418648306977948</v>
      </c>
      <c r="E260" s="21" t="n">
        <f aca="false">2_Matriz_decision!E259/E$5</f>
        <v>0.0400721949850431</v>
      </c>
      <c r="F260" s="21" t="n">
        <f aca="false">2_Matriz_decision!F259/F$5</f>
        <v>0.0494057638940627</v>
      </c>
      <c r="G260" s="21" t="n">
        <f aca="false">2_Matriz_decision!G259/G$5</f>
        <v>0.0411149420220302</v>
      </c>
      <c r="H260" s="21" t="n">
        <f aca="false">2_Matriz_decision!H259/H$5</f>
        <v>0.0384268159034261</v>
      </c>
      <c r="I260" s="21" t="n">
        <f aca="false">2_Matriz_decision!I259/I$5</f>
        <v>0.0148184741491462</v>
      </c>
      <c r="J260" s="21" t="n">
        <f aca="false">2_Matriz_decision!J259/J$5</f>
        <v>0.0351992440847949</v>
      </c>
      <c r="K260" s="21" t="n">
        <f aca="false">2_Matriz_decision!K259/K$5</f>
        <v>0.039014903418414</v>
      </c>
      <c r="L260" s="21" t="n">
        <f aca="false">2_Matriz_decision!L259/L$5</f>
        <v>0.0344580611143108</v>
      </c>
      <c r="M260" s="21" t="n">
        <f aca="false">2_Matriz_decision!M259/M$5</f>
        <v>0.0394486591428028</v>
      </c>
      <c r="N260" s="21" t="n">
        <f aca="false">2_Matriz_decision!N259/N$5</f>
        <v>0.0336294130407101</v>
      </c>
      <c r="O260" s="21" t="n">
        <f aca="false">2_Matriz_decision!O259/O$5</f>
        <v>0.0304431282773992</v>
      </c>
      <c r="P260" s="21" t="n">
        <f aca="false">2_Matriz_decision!P259/P$5</f>
        <v>0.0264720767589686</v>
      </c>
      <c r="Q260" s="21" t="n">
        <f aca="false">2_Matriz_decision!Q259/Q$5</f>
        <v>0.0535575542483696</v>
      </c>
    </row>
    <row r="261" customFormat="false" ht="15" hidden="false" customHeight="false" outlineLevel="0" collapsed="false">
      <c r="A261" s="15" t="n">
        <f aca="false">2_Matriz_decision!A260</f>
        <v>256</v>
      </c>
      <c r="B261" s="16" t="n">
        <f aca="false">2_Matriz_decision!B260</f>
        <v>25.854</v>
      </c>
      <c r="C261" s="21" t="n">
        <f aca="false">2_Matriz_decision!C260/C$5</f>
        <v>0.0439697451539424</v>
      </c>
      <c r="D261" s="21" t="n">
        <f aca="false">2_Matriz_decision!D260/D$5</f>
        <v>0.0418648306977948</v>
      </c>
      <c r="E261" s="21" t="n">
        <f aca="false">2_Matriz_decision!E260/E$5</f>
        <v>0.0400721949850431</v>
      </c>
      <c r="F261" s="21" t="n">
        <f aca="false">2_Matriz_decision!F260/F$5</f>
        <v>0.0494057638940627</v>
      </c>
      <c r="G261" s="21" t="n">
        <f aca="false">2_Matriz_decision!G260/G$5</f>
        <v>0.0411149420220302</v>
      </c>
      <c r="H261" s="21" t="n">
        <f aca="false">2_Matriz_decision!H260/H$5</f>
        <v>0.0384268159034261</v>
      </c>
      <c r="I261" s="21" t="n">
        <f aca="false">2_Matriz_decision!I260/I$5</f>
        <v>0.0148184741491462</v>
      </c>
      <c r="J261" s="21" t="n">
        <f aca="false">2_Matriz_decision!J260/J$5</f>
        <v>0.0351992440847949</v>
      </c>
      <c r="K261" s="21" t="n">
        <f aca="false">2_Matriz_decision!K260/K$5</f>
        <v>0.039014903418414</v>
      </c>
      <c r="L261" s="21" t="n">
        <f aca="false">2_Matriz_decision!L260/L$5</f>
        <v>0.0432163187898536</v>
      </c>
      <c r="M261" s="21" t="n">
        <f aca="false">2_Matriz_decision!M260/M$5</f>
        <v>0.032897817677756</v>
      </c>
      <c r="N261" s="21" t="n">
        <f aca="false">2_Matriz_decision!N260/N$5</f>
        <v>0.0448392173876134</v>
      </c>
      <c r="O261" s="21" t="n">
        <f aca="false">2_Matriz_decision!O260/O$5</f>
        <v>0.0304431282773992</v>
      </c>
      <c r="P261" s="21" t="n">
        <f aca="false">2_Matriz_decision!P260/P$5</f>
        <v>0.0264720767589686</v>
      </c>
      <c r="Q261" s="21" t="n">
        <f aca="false">2_Matriz_decision!Q260/Q$5</f>
        <v>0.066946942810462</v>
      </c>
    </row>
    <row r="262" customFormat="false" ht="15" hidden="false" customHeight="false" outlineLevel="0" collapsed="false">
      <c r="A262" s="15" t="n">
        <f aca="false">2_Matriz_decision!A261</f>
        <v>257</v>
      </c>
      <c r="B262" s="16" t="n">
        <f aca="false">2_Matriz_decision!B261</f>
        <v>25.954</v>
      </c>
      <c r="C262" s="21" t="n">
        <f aca="false">2_Matriz_decision!C261/C$5</f>
        <v>0.0439697451539424</v>
      </c>
      <c r="D262" s="21" t="n">
        <f aca="false">2_Matriz_decision!D261/D$5</f>
        <v>0.0418648306977948</v>
      </c>
      <c r="E262" s="21" t="n">
        <f aca="false">2_Matriz_decision!E261/E$5</f>
        <v>0.0400721949850431</v>
      </c>
      <c r="F262" s="21" t="n">
        <f aca="false">2_Matriz_decision!F261/F$5</f>
        <v>0.0494057638940627</v>
      </c>
      <c r="G262" s="21" t="n">
        <f aca="false">2_Matriz_decision!G261/G$5</f>
        <v>0.0411149420220302</v>
      </c>
      <c r="H262" s="21" t="n">
        <f aca="false">2_Matriz_decision!H261/H$5</f>
        <v>0.0384268159034261</v>
      </c>
      <c r="I262" s="21" t="n">
        <f aca="false">2_Matriz_decision!I261/I$5</f>
        <v>0.0148184741491462</v>
      </c>
      <c r="J262" s="21" t="n">
        <f aca="false">2_Matriz_decision!J261/J$5</f>
        <v>0.0351992440847949</v>
      </c>
      <c r="K262" s="21" t="n">
        <f aca="false">2_Matriz_decision!K261/K$5</f>
        <v>0.039014903418414</v>
      </c>
      <c r="L262" s="21" t="n">
        <f aca="false">2_Matriz_decision!L261/L$5</f>
        <v>0.0394857021616453</v>
      </c>
      <c r="M262" s="21" t="n">
        <f aca="false">2_Matriz_decision!M261/M$5</f>
        <v>0.0352066302683037</v>
      </c>
      <c r="N262" s="21" t="n">
        <f aca="false">2_Matriz_decision!N261/N$5</f>
        <v>0.0448392173876134</v>
      </c>
      <c r="O262" s="21" t="n">
        <f aca="false">2_Matriz_decision!O261/O$5</f>
        <v>0.0304431282773992</v>
      </c>
      <c r="P262" s="21" t="n">
        <f aca="false">2_Matriz_decision!P261/P$5</f>
        <v>0.0264720767589686</v>
      </c>
      <c r="Q262" s="21" t="n">
        <f aca="false">2_Matriz_decision!Q261/Q$5</f>
        <v>0.066946942810462</v>
      </c>
    </row>
    <row r="263" customFormat="false" ht="15" hidden="false" customHeight="false" outlineLevel="0" collapsed="false">
      <c r="A263" s="15" t="n">
        <f aca="false">2_Matriz_decision!A262</f>
        <v>258</v>
      </c>
      <c r="B263" s="16" t="n">
        <f aca="false">2_Matriz_decision!B262</f>
        <v>26.053</v>
      </c>
      <c r="C263" s="21" t="n">
        <f aca="false">2_Matriz_decision!C262/C$5</f>
        <v>0.0439697451539424</v>
      </c>
      <c r="D263" s="21" t="n">
        <f aca="false">2_Matriz_decision!D262/D$5</f>
        <v>0.0418648306977948</v>
      </c>
      <c r="E263" s="21" t="n">
        <f aca="false">2_Matriz_decision!E262/E$5</f>
        <v>0.0400721949850431</v>
      </c>
      <c r="F263" s="21" t="n">
        <f aca="false">2_Matriz_decision!F262/F$5</f>
        <v>0.0395246111152501</v>
      </c>
      <c r="G263" s="21" t="n">
        <f aca="false">2_Matriz_decision!G262/G$5</f>
        <v>0.0411149420220302</v>
      </c>
      <c r="H263" s="21" t="n">
        <f aca="false">2_Matriz_decision!H262/H$5</f>
        <v>0.0384268159034261</v>
      </c>
      <c r="I263" s="21" t="n">
        <f aca="false">2_Matriz_decision!I262/I$5</f>
        <v>0.0148184741491462</v>
      </c>
      <c r="J263" s="21" t="n">
        <f aca="false">2_Matriz_decision!J262/J$5</f>
        <v>0.0351992440847949</v>
      </c>
      <c r="K263" s="21" t="n">
        <f aca="false">2_Matriz_decision!K262/K$5</f>
        <v>0.039014903418414</v>
      </c>
      <c r="L263" s="21" t="n">
        <f aca="false">2_Matriz_decision!L262/L$5</f>
        <v>0.0331342939236563</v>
      </c>
      <c r="M263" s="21" t="n">
        <f aca="false">2_Matriz_decision!M262/M$5</f>
        <v>0.0384986214261181</v>
      </c>
      <c r="N263" s="21" t="n">
        <f aca="false">2_Matriz_decision!N262/N$5</f>
        <v>0.0448392173876134</v>
      </c>
      <c r="O263" s="21" t="n">
        <f aca="false">2_Matriz_decision!O262/O$5</f>
        <v>0.0304431282773992</v>
      </c>
      <c r="P263" s="21" t="n">
        <f aca="false">2_Matriz_decision!P262/P$5</f>
        <v>0.0264720767589686</v>
      </c>
      <c r="Q263" s="21" t="n">
        <f aca="false">2_Matriz_decision!Q262/Q$5</f>
        <v>0.066946942810462</v>
      </c>
    </row>
    <row r="264" customFormat="false" ht="15" hidden="false" customHeight="false" outlineLevel="0" collapsed="false">
      <c r="A264" s="15" t="n">
        <f aca="false">2_Matriz_decision!A263</f>
        <v>259</v>
      </c>
      <c r="B264" s="16" t="n">
        <f aca="false">2_Matriz_decision!B263</f>
        <v>26.151</v>
      </c>
      <c r="C264" s="21" t="n">
        <f aca="false">2_Matriz_decision!C263/C$5</f>
        <v>0.0439697451539424</v>
      </c>
      <c r="D264" s="21" t="n">
        <f aca="false">2_Matriz_decision!D263/D$5</f>
        <v>0.0334918645582358</v>
      </c>
      <c r="E264" s="21" t="n">
        <f aca="false">2_Matriz_decision!E263/E$5</f>
        <v>0.0400721949850431</v>
      </c>
      <c r="F264" s="21" t="n">
        <f aca="false">2_Matriz_decision!F263/F$5</f>
        <v>0.0494057638940627</v>
      </c>
      <c r="G264" s="21" t="n">
        <f aca="false">2_Matriz_decision!G263/G$5</f>
        <v>0.0411149420220302</v>
      </c>
      <c r="H264" s="21" t="n">
        <f aca="false">2_Matriz_decision!H263/H$5</f>
        <v>0.0384268159034261</v>
      </c>
      <c r="I264" s="21" t="n">
        <f aca="false">2_Matriz_decision!I263/I$5</f>
        <v>0.0148184741491462</v>
      </c>
      <c r="J264" s="21" t="n">
        <f aca="false">2_Matriz_decision!J263/J$5</f>
        <v>0.0351992440847949</v>
      </c>
      <c r="K264" s="21" t="n">
        <f aca="false">2_Matriz_decision!K263/K$5</f>
        <v>0.039014903418414</v>
      </c>
      <c r="L264" s="21" t="n">
        <f aca="false">2_Matriz_decision!L263/L$5</f>
        <v>0.0307809300291593</v>
      </c>
      <c r="M264" s="21" t="n">
        <f aca="false">2_Matriz_decision!M263/M$5</f>
        <v>0.0432598569597356</v>
      </c>
      <c r="N264" s="21" t="n">
        <f aca="false">2_Matriz_decision!N263/N$5</f>
        <v>0.0448392173876134</v>
      </c>
      <c r="O264" s="21" t="n">
        <f aca="false">2_Matriz_decision!O263/O$5</f>
        <v>0.0304431282773992</v>
      </c>
      <c r="P264" s="21" t="n">
        <f aca="false">2_Matriz_decision!P263/P$5</f>
        <v>0.0264720767589686</v>
      </c>
      <c r="Q264" s="21" t="n">
        <f aca="false">2_Matriz_decision!Q263/Q$5</f>
        <v>0.0535575542483696</v>
      </c>
    </row>
    <row r="265" customFormat="false" ht="15" hidden="false" customHeight="false" outlineLevel="0" collapsed="false">
      <c r="A265" s="15" t="n">
        <f aca="false">2_Matriz_decision!A264</f>
        <v>260</v>
      </c>
      <c r="B265" s="16" t="n">
        <f aca="false">2_Matriz_decision!B264</f>
        <v>26.249</v>
      </c>
      <c r="C265" s="21" t="n">
        <f aca="false">2_Matriz_decision!C264/C$5</f>
        <v>0.0439697451539424</v>
      </c>
      <c r="D265" s="21" t="n">
        <f aca="false">2_Matriz_decision!D264/D$5</f>
        <v>0.0334918645582358</v>
      </c>
      <c r="E265" s="21" t="n">
        <f aca="false">2_Matriz_decision!E264/E$5</f>
        <v>0.0400721949850431</v>
      </c>
      <c r="F265" s="21" t="n">
        <f aca="false">2_Matriz_decision!F264/F$5</f>
        <v>0.0494057638940627</v>
      </c>
      <c r="G265" s="21" t="n">
        <f aca="false">2_Matriz_decision!G264/G$5</f>
        <v>0.0411149420220302</v>
      </c>
      <c r="H265" s="21" t="n">
        <f aca="false">2_Matriz_decision!H264/H$5</f>
        <v>0.0384268159034261</v>
      </c>
      <c r="I265" s="21" t="n">
        <f aca="false">2_Matriz_decision!I264/I$5</f>
        <v>0.0148184741491462</v>
      </c>
      <c r="J265" s="21" t="n">
        <f aca="false">2_Matriz_decision!J264/J$5</f>
        <v>0.0351992440847949</v>
      </c>
      <c r="K265" s="21" t="n">
        <f aca="false">2_Matriz_decision!K264/K$5</f>
        <v>0.039014903418414</v>
      </c>
      <c r="L265" s="21" t="n">
        <f aca="false">2_Matriz_decision!L264/L$5</f>
        <v>0.0170217740778105</v>
      </c>
      <c r="M265" s="21" t="n">
        <f aca="false">2_Matriz_decision!M264/M$5</f>
        <v>0.0441878007760322</v>
      </c>
      <c r="N265" s="21" t="n">
        <f aca="false">2_Matriz_decision!N264/N$5</f>
        <v>0.0448392173876134</v>
      </c>
      <c r="O265" s="21" t="n">
        <f aca="false">2_Matriz_decision!O264/O$5</f>
        <v>0.0304431282773992</v>
      </c>
      <c r="P265" s="21" t="n">
        <f aca="false">2_Matriz_decision!P264/P$5</f>
        <v>0.0264720767589686</v>
      </c>
      <c r="Q265" s="21" t="n">
        <f aca="false">2_Matriz_decision!Q264/Q$5</f>
        <v>0.0133893885620924</v>
      </c>
    </row>
    <row r="266" customFormat="false" ht="15" hidden="false" customHeight="false" outlineLevel="0" collapsed="false">
      <c r="A266" s="15" t="n">
        <f aca="false">2_Matriz_decision!A265</f>
        <v>261</v>
      </c>
      <c r="B266" s="16" t="n">
        <f aca="false">2_Matriz_decision!B265</f>
        <v>26.348</v>
      </c>
      <c r="C266" s="21" t="n">
        <f aca="false">2_Matriz_decision!C265/C$5</f>
        <v>0.0439697451539424</v>
      </c>
      <c r="D266" s="21" t="n">
        <f aca="false">2_Matriz_decision!D265/D$5</f>
        <v>0.0334918645582358</v>
      </c>
      <c r="E266" s="21" t="n">
        <f aca="false">2_Matriz_decision!E265/E$5</f>
        <v>0.0400721949850431</v>
      </c>
      <c r="F266" s="21" t="n">
        <f aca="false">2_Matriz_decision!F265/F$5</f>
        <v>0.0494057638940627</v>
      </c>
      <c r="G266" s="21" t="n">
        <f aca="false">2_Matriz_decision!G265/G$5</f>
        <v>0.0411149420220302</v>
      </c>
      <c r="H266" s="21" t="n">
        <f aca="false">2_Matriz_decision!H265/H$5</f>
        <v>0.0384268159034261</v>
      </c>
      <c r="I266" s="21" t="n">
        <f aca="false">2_Matriz_decision!I265/I$5</f>
        <v>0.0148184741491462</v>
      </c>
      <c r="J266" s="21" t="n">
        <f aca="false">2_Matriz_decision!J265/J$5</f>
        <v>0.0351992440847949</v>
      </c>
      <c r="K266" s="21" t="n">
        <f aca="false">2_Matriz_decision!K265/K$5</f>
        <v>0.039014903418414</v>
      </c>
      <c r="L266" s="21" t="n">
        <f aca="false">2_Matriz_decision!L265/L$5</f>
        <v>0.0162194909319593</v>
      </c>
      <c r="M266" s="21" t="n">
        <f aca="false">2_Matriz_decision!M265/M$5</f>
        <v>0.0441878007760322</v>
      </c>
      <c r="N266" s="21" t="n">
        <f aca="false">2_Matriz_decision!N265/N$5</f>
        <v>0.0448392173876134</v>
      </c>
      <c r="O266" s="21" t="n">
        <f aca="false">2_Matriz_decision!O265/O$5</f>
        <v>0.0304431282773992</v>
      </c>
      <c r="P266" s="21" t="n">
        <f aca="false">2_Matriz_decision!P265/P$5</f>
        <v>0.0264720767589686</v>
      </c>
      <c r="Q266" s="21" t="n">
        <f aca="false">2_Matriz_decision!Q265/Q$5</f>
        <v>0.0133893885620924</v>
      </c>
    </row>
    <row r="267" customFormat="false" ht="15" hidden="false" customHeight="false" outlineLevel="0" collapsed="false">
      <c r="A267" s="15" t="n">
        <f aca="false">2_Matriz_decision!A266</f>
        <v>262</v>
      </c>
      <c r="B267" s="16" t="n">
        <f aca="false">2_Matriz_decision!B266</f>
        <v>26.446</v>
      </c>
      <c r="C267" s="21" t="n">
        <f aca="false">2_Matriz_decision!C266/C$5</f>
        <v>0.0439697451539424</v>
      </c>
      <c r="D267" s="21" t="n">
        <f aca="false">2_Matriz_decision!D266/D$5</f>
        <v>0.0334918645582358</v>
      </c>
      <c r="E267" s="21" t="n">
        <f aca="false">2_Matriz_decision!E266/E$5</f>
        <v>0.0400721949850431</v>
      </c>
      <c r="F267" s="21" t="n">
        <f aca="false">2_Matriz_decision!F266/F$5</f>
        <v>0.0494057638940627</v>
      </c>
      <c r="G267" s="21" t="n">
        <f aca="false">2_Matriz_decision!G266/G$5</f>
        <v>0.0411149420220302</v>
      </c>
      <c r="H267" s="21" t="n">
        <f aca="false">2_Matriz_decision!H266/H$5</f>
        <v>0.0384268159034261</v>
      </c>
      <c r="I267" s="21" t="n">
        <f aca="false">2_Matriz_decision!I266/I$5</f>
        <v>0.0148184741491462</v>
      </c>
      <c r="J267" s="21" t="n">
        <f aca="false">2_Matriz_decision!J266/J$5</f>
        <v>0.0351992440847949</v>
      </c>
      <c r="K267" s="21" t="n">
        <f aca="false">2_Matriz_decision!K266/K$5</f>
        <v>0.039014903418414</v>
      </c>
      <c r="L267" s="21" t="n">
        <f aca="false">2_Matriz_decision!L266/L$5</f>
        <v>0.0182385701823516</v>
      </c>
      <c r="M267" s="21" t="n">
        <f aca="false">2_Matriz_decision!M266/M$5</f>
        <v>0.0441878007760322</v>
      </c>
      <c r="N267" s="21" t="n">
        <f aca="false">2_Matriz_decision!N266/N$5</f>
        <v>0.0560490217345168</v>
      </c>
      <c r="O267" s="21" t="n">
        <f aca="false">2_Matriz_decision!O266/O$5</f>
        <v>0.0304431282773992</v>
      </c>
      <c r="P267" s="21" t="n">
        <f aca="false">2_Matriz_decision!P266/P$5</f>
        <v>0.0264720767589686</v>
      </c>
      <c r="Q267" s="21" t="n">
        <f aca="false">2_Matriz_decision!Q266/Q$5</f>
        <v>0.0133893885620924</v>
      </c>
    </row>
    <row r="268" customFormat="false" ht="15" hidden="false" customHeight="false" outlineLevel="0" collapsed="false">
      <c r="A268" s="15" t="n">
        <f aca="false">2_Matriz_decision!A267</f>
        <v>263</v>
      </c>
      <c r="B268" s="16" t="n">
        <f aca="false">2_Matriz_decision!B267</f>
        <v>26.545</v>
      </c>
      <c r="C268" s="21" t="n">
        <f aca="false">2_Matriz_decision!C267/C$5</f>
        <v>0.0439697451539424</v>
      </c>
      <c r="D268" s="21" t="n">
        <f aca="false">2_Matriz_decision!D267/D$5</f>
        <v>0.0334918645582358</v>
      </c>
      <c r="E268" s="21" t="n">
        <f aca="false">2_Matriz_decision!E267/E$5</f>
        <v>0.0400721949850431</v>
      </c>
      <c r="F268" s="21" t="n">
        <f aca="false">2_Matriz_decision!F267/F$5</f>
        <v>0.0494057638940627</v>
      </c>
      <c r="G268" s="21" t="n">
        <f aca="false">2_Matriz_decision!G267/G$5</f>
        <v>0.0411149420220302</v>
      </c>
      <c r="H268" s="21" t="n">
        <f aca="false">2_Matriz_decision!H267/H$5</f>
        <v>0.0384268159034261</v>
      </c>
      <c r="I268" s="21" t="n">
        <f aca="false">2_Matriz_decision!I267/I$5</f>
        <v>0.0296369482982925</v>
      </c>
      <c r="J268" s="21" t="n">
        <f aca="false">2_Matriz_decision!J267/J$5</f>
        <v>0.0351992440847949</v>
      </c>
      <c r="K268" s="21" t="n">
        <f aca="false">2_Matriz_decision!K267/K$5</f>
        <v>0.039014903418414</v>
      </c>
      <c r="L268" s="21" t="n">
        <f aca="false">2_Matriz_decision!L267/L$5</f>
        <v>0.0370788527240916</v>
      </c>
      <c r="M268" s="21" t="n">
        <f aca="false">2_Matriz_decision!M267/M$5</f>
        <v>0.0441878007760322</v>
      </c>
      <c r="N268" s="21" t="n">
        <f aca="false">2_Matriz_decision!N267/N$5</f>
        <v>0.0560490217345168</v>
      </c>
      <c r="O268" s="21" t="n">
        <f aca="false">2_Matriz_decision!O267/O$5</f>
        <v>0.0304431282773992</v>
      </c>
      <c r="P268" s="21" t="n">
        <f aca="false">2_Matriz_decision!P267/P$5</f>
        <v>0.0264720767589686</v>
      </c>
      <c r="Q268" s="21" t="n">
        <f aca="false">2_Matriz_decision!Q267/Q$5</f>
        <v>0.0535575542483696</v>
      </c>
    </row>
    <row r="269" customFormat="false" ht="15" hidden="false" customHeight="false" outlineLevel="0" collapsed="false">
      <c r="A269" s="15" t="n">
        <f aca="false">2_Matriz_decision!A268</f>
        <v>264</v>
      </c>
      <c r="B269" s="16" t="n">
        <f aca="false">2_Matriz_decision!B268</f>
        <v>26.644</v>
      </c>
      <c r="C269" s="21" t="n">
        <f aca="false">2_Matriz_decision!C268/C$5</f>
        <v>0.0439697451539424</v>
      </c>
      <c r="D269" s="21" t="n">
        <f aca="false">2_Matriz_decision!D268/D$5</f>
        <v>0.0334918645582358</v>
      </c>
      <c r="E269" s="21" t="n">
        <f aca="false">2_Matriz_decision!E268/E$5</f>
        <v>0.0400721949850431</v>
      </c>
      <c r="F269" s="21" t="n">
        <f aca="false">2_Matriz_decision!F268/F$5</f>
        <v>0.0494057638940627</v>
      </c>
      <c r="G269" s="21" t="n">
        <f aca="false">2_Matriz_decision!G268/G$5</f>
        <v>0.0411149420220302</v>
      </c>
      <c r="H269" s="21" t="n">
        <f aca="false">2_Matriz_decision!H268/H$5</f>
        <v>0.0384268159034261</v>
      </c>
      <c r="I269" s="21" t="n">
        <f aca="false">2_Matriz_decision!I268/I$5</f>
        <v>0.0148184741491462</v>
      </c>
      <c r="J269" s="21" t="n">
        <f aca="false">2_Matriz_decision!J268/J$5</f>
        <v>0.0351992440847949</v>
      </c>
      <c r="K269" s="21" t="n">
        <f aca="false">2_Matriz_decision!K268/K$5</f>
        <v>0.039014903418414</v>
      </c>
      <c r="L269" s="21" t="n">
        <f aca="false">2_Matriz_decision!L268/L$5</f>
        <v>0.0248306633640959</v>
      </c>
      <c r="M269" s="21" t="n">
        <f aca="false">2_Matriz_decision!M268/M$5</f>
        <v>0.0425970399480951</v>
      </c>
      <c r="N269" s="21" t="n">
        <f aca="false">2_Matriz_decision!N268/N$5</f>
        <v>0.0560490217345168</v>
      </c>
      <c r="O269" s="21" t="n">
        <f aca="false">2_Matriz_decision!O268/O$5</f>
        <v>0.0304431282773992</v>
      </c>
      <c r="P269" s="21" t="n">
        <f aca="false">2_Matriz_decision!P268/P$5</f>
        <v>0.0264720767589686</v>
      </c>
      <c r="Q269" s="21" t="n">
        <f aca="false">2_Matriz_decision!Q268/Q$5</f>
        <v>0.0133893885620924</v>
      </c>
    </row>
    <row r="270" customFormat="false" ht="15" hidden="false" customHeight="false" outlineLevel="0" collapsed="false">
      <c r="A270" s="15" t="n">
        <f aca="false">2_Matriz_decision!A269</f>
        <v>265</v>
      </c>
      <c r="B270" s="16" t="n">
        <f aca="false">2_Matriz_decision!B269</f>
        <v>26.743</v>
      </c>
      <c r="C270" s="21" t="n">
        <f aca="false">2_Matriz_decision!C269/C$5</f>
        <v>0.0439697451539424</v>
      </c>
      <c r="D270" s="21" t="n">
        <f aca="false">2_Matriz_decision!D269/D$5</f>
        <v>0.0334918645582358</v>
      </c>
      <c r="E270" s="21" t="n">
        <f aca="false">2_Matriz_decision!E269/E$5</f>
        <v>0.0400721949850431</v>
      </c>
      <c r="F270" s="21" t="n">
        <f aca="false">2_Matriz_decision!F269/F$5</f>
        <v>0.0494057638940627</v>
      </c>
      <c r="G270" s="21" t="n">
        <f aca="false">2_Matriz_decision!G269/G$5</f>
        <v>0.0411149420220302</v>
      </c>
      <c r="H270" s="21" t="n">
        <f aca="false">2_Matriz_decision!H269/H$5</f>
        <v>0.0384268159034261</v>
      </c>
      <c r="I270" s="21" t="n">
        <f aca="false">2_Matriz_decision!I269/I$5</f>
        <v>0.0148184741491462</v>
      </c>
      <c r="J270" s="21" t="n">
        <f aca="false">2_Matriz_decision!J269/J$5</f>
        <v>0.0351992440847949</v>
      </c>
      <c r="K270" s="21" t="n">
        <f aca="false">2_Matriz_decision!K269/K$5</f>
        <v>0.039014903418414</v>
      </c>
      <c r="L270" s="21" t="n">
        <f aca="false">2_Matriz_decision!L269/L$5</f>
        <v>0.0192414241146656</v>
      </c>
      <c r="M270" s="21" t="n">
        <f aca="false">2_Matriz_decision!M269/M$5</f>
        <v>0.041083607771516</v>
      </c>
      <c r="N270" s="21" t="n">
        <f aca="false">2_Matriz_decision!N269/N$5</f>
        <v>0.0560490217345168</v>
      </c>
      <c r="O270" s="21" t="n">
        <f aca="false">2_Matriz_decision!O269/O$5</f>
        <v>0.0304431282773992</v>
      </c>
      <c r="P270" s="21" t="n">
        <f aca="false">2_Matriz_decision!P269/P$5</f>
        <v>0.0264720767589686</v>
      </c>
      <c r="Q270" s="21" t="n">
        <f aca="false">2_Matriz_decision!Q269/Q$5</f>
        <v>0.0133893885620924</v>
      </c>
    </row>
    <row r="271" customFormat="false" ht="15" hidden="false" customHeight="false" outlineLevel="0" collapsed="false">
      <c r="A271" s="15" t="n">
        <f aca="false">2_Matriz_decision!A270</f>
        <v>266</v>
      </c>
      <c r="B271" s="16" t="n">
        <f aca="false">2_Matriz_decision!B270</f>
        <v>26.84</v>
      </c>
      <c r="C271" s="21" t="n">
        <f aca="false">2_Matriz_decision!C270/C$5</f>
        <v>0.0439697451539424</v>
      </c>
      <c r="D271" s="21" t="n">
        <f aca="false">2_Matriz_decision!D270/D$5</f>
        <v>0.0334918645582358</v>
      </c>
      <c r="E271" s="21" t="n">
        <f aca="false">2_Matriz_decision!E270/E$5</f>
        <v>0.0400721949850431</v>
      </c>
      <c r="F271" s="21" t="n">
        <f aca="false">2_Matriz_decision!F270/F$5</f>
        <v>0.0494057638940627</v>
      </c>
      <c r="G271" s="21" t="n">
        <f aca="false">2_Matriz_decision!G270/G$5</f>
        <v>0.0411149420220302</v>
      </c>
      <c r="H271" s="21" t="n">
        <f aca="false">2_Matriz_decision!H270/H$5</f>
        <v>0.0384268159034261</v>
      </c>
      <c r="I271" s="21" t="n">
        <f aca="false">2_Matriz_decision!I270/I$5</f>
        <v>0.0148184741491462</v>
      </c>
      <c r="J271" s="21" t="n">
        <f aca="false">2_Matriz_decision!J270/J$5</f>
        <v>0.0351992440847949</v>
      </c>
      <c r="K271" s="21" t="n">
        <f aca="false">2_Matriz_decision!K270/K$5</f>
        <v>0.039014903418414</v>
      </c>
      <c r="L271" s="21" t="n">
        <f aca="false">2_Matriz_decision!L270/L$5</f>
        <v>0.0212872461365863</v>
      </c>
      <c r="M271" s="21" t="n">
        <f aca="false">2_Matriz_decision!M270/M$5</f>
        <v>0.0433150917107056</v>
      </c>
      <c r="N271" s="21" t="n">
        <f aca="false">2_Matriz_decision!N270/N$5</f>
        <v>0.0560490217345168</v>
      </c>
      <c r="O271" s="21" t="n">
        <f aca="false">2_Matriz_decision!O270/O$5</f>
        <v>0.0304431282773992</v>
      </c>
      <c r="P271" s="21" t="n">
        <f aca="false">2_Matriz_decision!P270/P$5</f>
        <v>0.0264720767589686</v>
      </c>
      <c r="Q271" s="21" t="n">
        <f aca="false">2_Matriz_decision!Q270/Q$5</f>
        <v>0.066946942810462</v>
      </c>
    </row>
    <row r="272" customFormat="false" ht="15" hidden="false" customHeight="false" outlineLevel="0" collapsed="false">
      <c r="A272" s="15" t="n">
        <f aca="false">2_Matriz_decision!A271</f>
        <v>267</v>
      </c>
      <c r="B272" s="16" t="n">
        <f aca="false">2_Matriz_decision!B271</f>
        <v>26.936</v>
      </c>
      <c r="C272" s="21" t="n">
        <f aca="false">2_Matriz_decision!C271/C$5</f>
        <v>0.0439697451539424</v>
      </c>
      <c r="D272" s="21" t="n">
        <f aca="false">2_Matriz_decision!D271/D$5</f>
        <v>0.0334918645582358</v>
      </c>
      <c r="E272" s="21" t="n">
        <f aca="false">2_Matriz_decision!E271/E$5</f>
        <v>0.0400721949850431</v>
      </c>
      <c r="F272" s="21" t="n">
        <f aca="false">2_Matriz_decision!F271/F$5</f>
        <v>0.0494057638940627</v>
      </c>
      <c r="G272" s="21" t="n">
        <f aca="false">2_Matriz_decision!G271/G$5</f>
        <v>0.0411149420220302</v>
      </c>
      <c r="H272" s="21" t="n">
        <f aca="false">2_Matriz_decision!H271/H$5</f>
        <v>0.0384268159034261</v>
      </c>
      <c r="I272" s="21" t="n">
        <f aca="false">2_Matriz_decision!I271/I$5</f>
        <v>0.0148184741491462</v>
      </c>
      <c r="J272" s="21" t="n">
        <f aca="false">2_Matriz_decision!J271/J$5</f>
        <v>0.0351992440847949</v>
      </c>
      <c r="K272" s="21" t="n">
        <f aca="false">2_Matriz_decision!K271/K$5</f>
        <v>0.039014903418414</v>
      </c>
      <c r="L272" s="21" t="n">
        <f aca="false">2_Matriz_decision!L271/L$5</f>
        <v>0.0333482360958833</v>
      </c>
      <c r="M272" s="21" t="n">
        <f aca="false">2_Matriz_decision!M271/M$5</f>
        <v>0.041050466920934</v>
      </c>
      <c r="N272" s="21" t="n">
        <f aca="false">2_Matriz_decision!N271/N$5</f>
        <v>0.0560490217345168</v>
      </c>
      <c r="O272" s="21" t="n">
        <f aca="false">2_Matriz_decision!O271/O$5</f>
        <v>0.0304431282773992</v>
      </c>
      <c r="P272" s="21" t="n">
        <f aca="false">2_Matriz_decision!P271/P$5</f>
        <v>0.0264720767589686</v>
      </c>
      <c r="Q272" s="21" t="n">
        <f aca="false">2_Matriz_decision!Q271/Q$5</f>
        <v>0.0133893885620924</v>
      </c>
    </row>
    <row r="273" customFormat="false" ht="15" hidden="false" customHeight="false" outlineLevel="0" collapsed="false">
      <c r="A273" s="15" t="n">
        <f aca="false">2_Matriz_decision!A272</f>
        <v>268</v>
      </c>
      <c r="B273" s="16" t="n">
        <f aca="false">2_Matriz_decision!B272</f>
        <v>27.031</v>
      </c>
      <c r="C273" s="21" t="n">
        <f aca="false">2_Matriz_decision!C272/C$5</f>
        <v>0.0439697451539424</v>
      </c>
      <c r="D273" s="21" t="n">
        <f aca="false">2_Matriz_decision!D272/D$5</f>
        <v>0.0334918645582358</v>
      </c>
      <c r="E273" s="21" t="n">
        <f aca="false">2_Matriz_decision!E272/E$5</f>
        <v>0.0400721949850431</v>
      </c>
      <c r="F273" s="21" t="n">
        <f aca="false">2_Matriz_decision!F272/F$5</f>
        <v>0.0494057638940627</v>
      </c>
      <c r="G273" s="21" t="n">
        <f aca="false">2_Matriz_decision!G272/G$5</f>
        <v>0.0411149420220302</v>
      </c>
      <c r="H273" s="21" t="n">
        <f aca="false">2_Matriz_decision!H272/H$5</f>
        <v>0.0384268159034261</v>
      </c>
      <c r="I273" s="21" t="n">
        <f aca="false">2_Matriz_decision!I272/I$5</f>
        <v>0.0148184741491462</v>
      </c>
      <c r="J273" s="21" t="n">
        <f aca="false">2_Matriz_decision!J272/J$5</f>
        <v>0.0351992440847949</v>
      </c>
      <c r="K273" s="21" t="n">
        <f aca="false">2_Matriz_decision!K272/K$5</f>
        <v>0.039014903418414</v>
      </c>
      <c r="L273" s="21" t="n">
        <f aca="false">2_Matriz_decision!L272/L$5</f>
        <v>0.0273043697304706</v>
      </c>
      <c r="M273" s="21" t="n">
        <f aca="false">2_Matriz_decision!M272/M$5</f>
        <v>0.0437238288678839</v>
      </c>
      <c r="N273" s="21" t="n">
        <f aca="false">2_Matriz_decision!N272/N$5</f>
        <v>0.0560490217345168</v>
      </c>
      <c r="O273" s="21" t="n">
        <f aca="false">2_Matriz_decision!O272/O$5</f>
        <v>0.0304431282773992</v>
      </c>
      <c r="P273" s="21" t="n">
        <f aca="false">2_Matriz_decision!P272/P$5</f>
        <v>0.0264720767589686</v>
      </c>
      <c r="Q273" s="21" t="n">
        <f aca="false">2_Matriz_decision!Q272/Q$5</f>
        <v>0.066946942810462</v>
      </c>
    </row>
    <row r="274" customFormat="false" ht="15" hidden="false" customHeight="false" outlineLevel="0" collapsed="false">
      <c r="A274" s="15" t="n">
        <f aca="false">2_Matriz_decision!A273</f>
        <v>269</v>
      </c>
      <c r="B274" s="16" t="n">
        <f aca="false">2_Matriz_decision!B273</f>
        <v>27.124</v>
      </c>
      <c r="C274" s="21" t="n">
        <f aca="false">2_Matriz_decision!C273/C$5</f>
        <v>0.0439697451539424</v>
      </c>
      <c r="D274" s="21" t="n">
        <f aca="false">2_Matriz_decision!D273/D$5</f>
        <v>0.0334918645582358</v>
      </c>
      <c r="E274" s="21" t="n">
        <f aca="false">2_Matriz_decision!E273/E$5</f>
        <v>0.0400721949850431</v>
      </c>
      <c r="F274" s="21" t="n">
        <f aca="false">2_Matriz_decision!F273/F$5</f>
        <v>0.0494057638940627</v>
      </c>
      <c r="G274" s="21" t="n">
        <f aca="false">2_Matriz_decision!G273/G$5</f>
        <v>0.0411149420220302</v>
      </c>
      <c r="H274" s="21" t="n">
        <f aca="false">2_Matriz_decision!H273/H$5</f>
        <v>0.0384268159034261</v>
      </c>
      <c r="I274" s="21" t="n">
        <f aca="false">2_Matriz_decision!I273/I$5</f>
        <v>0.0148184741491462</v>
      </c>
      <c r="J274" s="21" t="n">
        <f aca="false">2_Matriz_decision!J273/J$5</f>
        <v>0.0351992440847949</v>
      </c>
      <c r="K274" s="21" t="n">
        <f aca="false">2_Matriz_decision!K273/K$5</f>
        <v>0.039014903418414</v>
      </c>
      <c r="L274" s="21" t="n">
        <f aca="false">2_Matriz_decision!L273/L$5</f>
        <v>0.0350330307021709</v>
      </c>
      <c r="M274" s="21" t="n">
        <f aca="false">2_Matriz_decision!M273/M$5</f>
        <v>0.0406748706143377</v>
      </c>
      <c r="N274" s="21" t="n">
        <f aca="false">2_Matriz_decision!N273/N$5</f>
        <v>0.0560490217345168</v>
      </c>
      <c r="O274" s="21" t="n">
        <f aca="false">2_Matriz_decision!O273/O$5</f>
        <v>0.0304431282773992</v>
      </c>
      <c r="P274" s="21" t="n">
        <f aca="false">2_Matriz_decision!P273/P$5</f>
        <v>0.0264720767589686</v>
      </c>
      <c r="Q274" s="21" t="n">
        <f aca="false">2_Matriz_decision!Q273/Q$5</f>
        <v>0.0133893885620924</v>
      </c>
    </row>
    <row r="275" customFormat="false" ht="15" hidden="false" customHeight="false" outlineLevel="0" collapsed="false">
      <c r="A275" s="15" t="n">
        <f aca="false">2_Matriz_decision!A274</f>
        <v>270</v>
      </c>
      <c r="B275" s="16" t="n">
        <f aca="false">2_Matriz_decision!B274</f>
        <v>27.218</v>
      </c>
      <c r="C275" s="21" t="n">
        <f aca="false">2_Matriz_decision!C274/C$5</f>
        <v>0.0439697451539424</v>
      </c>
      <c r="D275" s="21" t="n">
        <f aca="false">2_Matriz_decision!D274/D$5</f>
        <v>0.0334918645582358</v>
      </c>
      <c r="E275" s="21" t="n">
        <f aca="false">2_Matriz_decision!E274/E$5</f>
        <v>0.0400721949850431</v>
      </c>
      <c r="F275" s="21" t="n">
        <f aca="false">2_Matriz_decision!F274/F$5</f>
        <v>0.0494057638940627</v>
      </c>
      <c r="G275" s="21" t="n">
        <f aca="false">2_Matriz_decision!G274/G$5</f>
        <v>0.0411149420220302</v>
      </c>
      <c r="H275" s="21" t="n">
        <f aca="false">2_Matriz_decision!H274/H$5</f>
        <v>0.0384268159034261</v>
      </c>
      <c r="I275" s="21" t="n">
        <f aca="false">2_Matriz_decision!I274/I$5</f>
        <v>0.0296369482982925</v>
      </c>
      <c r="J275" s="21" t="n">
        <f aca="false">2_Matriz_decision!J274/J$5</f>
        <v>0.0351992440847949</v>
      </c>
      <c r="K275" s="21" t="n">
        <f aca="false">2_Matriz_decision!K274/K$5</f>
        <v>0.039014903418414</v>
      </c>
      <c r="L275" s="21" t="n">
        <f aca="false">2_Matriz_decision!L274/L$5</f>
        <v>0.0350597734736993</v>
      </c>
      <c r="M275" s="21" t="n">
        <f aca="false">2_Matriz_decision!M274/M$5</f>
        <v>0.0373607855561353</v>
      </c>
      <c r="N275" s="21" t="n">
        <f aca="false">2_Matriz_decision!N274/N$5</f>
        <v>0.0560490217345168</v>
      </c>
      <c r="O275" s="21" t="n">
        <f aca="false">2_Matriz_decision!O274/O$5</f>
        <v>0.0304431282773992</v>
      </c>
      <c r="P275" s="21" t="n">
        <f aca="false">2_Matriz_decision!P274/P$5</f>
        <v>0.0264720767589686</v>
      </c>
      <c r="Q275" s="21" t="n">
        <f aca="false">2_Matriz_decision!Q274/Q$5</f>
        <v>0.0535575542483696</v>
      </c>
    </row>
    <row r="276" customFormat="false" ht="15" hidden="false" customHeight="false" outlineLevel="0" collapsed="false">
      <c r="A276" s="15" t="n">
        <f aca="false">2_Matriz_decision!A275</f>
        <v>271</v>
      </c>
      <c r="B276" s="16" t="n">
        <f aca="false">2_Matriz_decision!B275</f>
        <v>27.311</v>
      </c>
      <c r="C276" s="21" t="n">
        <f aca="false">2_Matriz_decision!C275/C$5</f>
        <v>0.0439697451539424</v>
      </c>
      <c r="D276" s="21" t="n">
        <f aca="false">2_Matriz_decision!D275/D$5</f>
        <v>0.0334918645582358</v>
      </c>
      <c r="E276" s="21" t="n">
        <f aca="false">2_Matriz_decision!E275/E$5</f>
        <v>0.0400721949850431</v>
      </c>
      <c r="F276" s="21" t="n">
        <f aca="false">2_Matriz_decision!F275/F$5</f>
        <v>0.0494057638940627</v>
      </c>
      <c r="G276" s="21" t="n">
        <f aca="false">2_Matriz_decision!G275/G$5</f>
        <v>0.0411149420220302</v>
      </c>
      <c r="H276" s="21" t="n">
        <f aca="false">2_Matriz_decision!H275/H$5</f>
        <v>0.0384268159034261</v>
      </c>
      <c r="I276" s="21" t="n">
        <f aca="false">2_Matriz_decision!I275/I$5</f>
        <v>0.0296369482982925</v>
      </c>
      <c r="J276" s="21" t="n">
        <f aca="false">2_Matriz_decision!J275/J$5</f>
        <v>0.0351992440847949</v>
      </c>
      <c r="K276" s="21" t="n">
        <f aca="false">2_Matriz_decision!K275/K$5</f>
        <v>0.039014903418414</v>
      </c>
      <c r="L276" s="21" t="n">
        <f aca="false">2_Matriz_decision!L275/L$5</f>
        <v>0.0331610366951847</v>
      </c>
      <c r="M276" s="21" t="n">
        <f aca="false">2_Matriz_decision!M275/M$5</f>
        <v>0.0368526258472109</v>
      </c>
      <c r="N276" s="21" t="n">
        <f aca="false">2_Matriz_decision!N275/N$5</f>
        <v>0.0560490217345168</v>
      </c>
      <c r="O276" s="21" t="n">
        <f aca="false">2_Matriz_decision!O275/O$5</f>
        <v>0.0304431282773992</v>
      </c>
      <c r="P276" s="21" t="n">
        <f aca="false">2_Matriz_decision!P275/P$5</f>
        <v>0.0264720767589686</v>
      </c>
      <c r="Q276" s="21" t="n">
        <f aca="false">2_Matriz_decision!Q275/Q$5</f>
        <v>0.0267787771241848</v>
      </c>
    </row>
    <row r="277" customFormat="false" ht="15" hidden="false" customHeight="false" outlineLevel="0" collapsed="false">
      <c r="A277" s="15" t="n">
        <f aca="false">2_Matriz_decision!A276</f>
        <v>272</v>
      </c>
      <c r="B277" s="16" t="n">
        <f aca="false">2_Matriz_decision!B276</f>
        <v>27.404</v>
      </c>
      <c r="C277" s="21" t="n">
        <f aca="false">2_Matriz_decision!C276/C$5</f>
        <v>0.0439697451539424</v>
      </c>
      <c r="D277" s="21" t="n">
        <f aca="false">2_Matriz_decision!D276/D$5</f>
        <v>0.0334918645582358</v>
      </c>
      <c r="E277" s="21" t="n">
        <f aca="false">2_Matriz_decision!E276/E$5</f>
        <v>0.0400721949850431</v>
      </c>
      <c r="F277" s="21" t="n">
        <f aca="false">2_Matriz_decision!F276/F$5</f>
        <v>0.0494057638940627</v>
      </c>
      <c r="G277" s="21" t="n">
        <f aca="false">2_Matriz_decision!G276/G$5</f>
        <v>0.0411149420220302</v>
      </c>
      <c r="H277" s="21" t="n">
        <f aca="false">2_Matriz_decision!H276/H$5</f>
        <v>0.0384268159034261</v>
      </c>
      <c r="I277" s="21" t="n">
        <f aca="false">2_Matriz_decision!I276/I$5</f>
        <v>0.0444554224474387</v>
      </c>
      <c r="J277" s="21" t="n">
        <f aca="false">2_Matriz_decision!J276/J$5</f>
        <v>0.0351992440847949</v>
      </c>
      <c r="K277" s="21" t="n">
        <f aca="false">2_Matriz_decision!K276/K$5</f>
        <v>0.039014903418414</v>
      </c>
      <c r="L277" s="21" t="n">
        <f aca="false">2_Matriz_decision!L276/L$5</f>
        <v>0.0196158229160629</v>
      </c>
      <c r="M277" s="21" t="n">
        <f aca="false">2_Matriz_decision!M276/M$5</f>
        <v>0.0400562414034732</v>
      </c>
      <c r="N277" s="21" t="n">
        <f aca="false">2_Matriz_decision!N276/N$5</f>
        <v>0.0560490217345168</v>
      </c>
      <c r="O277" s="21" t="n">
        <f aca="false">2_Matriz_decision!O276/O$5</f>
        <v>0.0304431282773992</v>
      </c>
      <c r="P277" s="21" t="n">
        <f aca="false">2_Matriz_decision!P276/P$5</f>
        <v>0.0264720767589686</v>
      </c>
      <c r="Q277" s="21" t="n">
        <f aca="false">2_Matriz_decision!Q276/Q$5</f>
        <v>0.0133893885620924</v>
      </c>
    </row>
    <row r="278" customFormat="false" ht="15" hidden="false" customHeight="false" outlineLevel="0" collapsed="false">
      <c r="A278" s="15" t="n">
        <f aca="false">2_Matriz_decision!A277</f>
        <v>273</v>
      </c>
      <c r="B278" s="16" t="n">
        <f aca="false">2_Matriz_decision!B277</f>
        <v>27.498</v>
      </c>
      <c r="C278" s="21" t="n">
        <f aca="false">2_Matriz_decision!C277/C$5</f>
        <v>0.0439697451539424</v>
      </c>
      <c r="D278" s="21" t="n">
        <f aca="false">2_Matriz_decision!D277/D$5</f>
        <v>0.0334918645582358</v>
      </c>
      <c r="E278" s="21" t="n">
        <f aca="false">2_Matriz_decision!E277/E$5</f>
        <v>0.0400721949850431</v>
      </c>
      <c r="F278" s="21" t="n">
        <f aca="false">2_Matriz_decision!F277/F$5</f>
        <v>0.0494057638940627</v>
      </c>
      <c r="G278" s="21" t="n">
        <f aca="false">2_Matriz_decision!G277/G$5</f>
        <v>0.0411149420220302</v>
      </c>
      <c r="H278" s="21" t="n">
        <f aca="false">2_Matriz_decision!H277/H$5</f>
        <v>0.0384268159034261</v>
      </c>
      <c r="I278" s="21" t="n">
        <f aca="false">2_Matriz_decision!I277/I$5</f>
        <v>0.0444554224474387</v>
      </c>
      <c r="J278" s="21" t="n">
        <f aca="false">2_Matriz_decision!J277/J$5</f>
        <v>0.0351992440847949</v>
      </c>
      <c r="K278" s="21" t="n">
        <f aca="false">2_Matriz_decision!K277/K$5</f>
        <v>0.039014903418414</v>
      </c>
      <c r="L278" s="21" t="n">
        <f aca="false">2_Matriz_decision!L277/L$5</f>
        <v>0.0194687376726568</v>
      </c>
      <c r="M278" s="21" t="n">
        <f aca="false">2_Matriz_decision!M277/M$5</f>
        <v>0.0393713304914447</v>
      </c>
      <c r="N278" s="21" t="n">
        <f aca="false">2_Matriz_decision!N277/N$5</f>
        <v>0.0560490217345168</v>
      </c>
      <c r="O278" s="21" t="n">
        <f aca="false">2_Matriz_decision!O277/O$5</f>
        <v>0.0304431282773992</v>
      </c>
      <c r="P278" s="21" t="n">
        <f aca="false">2_Matriz_decision!P277/P$5</f>
        <v>0.0264720767589686</v>
      </c>
      <c r="Q278" s="21" t="n">
        <f aca="false">2_Matriz_decision!Q277/Q$5</f>
        <v>0.0133893885620924</v>
      </c>
    </row>
    <row r="279" customFormat="false" ht="15" hidden="false" customHeight="false" outlineLevel="0" collapsed="false">
      <c r="A279" s="15" t="n">
        <f aca="false">2_Matriz_decision!A278</f>
        <v>274</v>
      </c>
      <c r="B279" s="16" t="n">
        <f aca="false">2_Matriz_decision!B278</f>
        <v>27.593</v>
      </c>
      <c r="C279" s="21" t="n">
        <f aca="false">2_Matriz_decision!C278/C$5</f>
        <v>0.0439697451539424</v>
      </c>
      <c r="D279" s="21" t="n">
        <f aca="false">2_Matriz_decision!D278/D$5</f>
        <v>0.0334918645582358</v>
      </c>
      <c r="E279" s="21" t="n">
        <f aca="false">2_Matriz_decision!E278/E$5</f>
        <v>0.0500902437313038</v>
      </c>
      <c r="F279" s="21" t="n">
        <f aca="false">2_Matriz_decision!F278/F$5</f>
        <v>0.0395246111152501</v>
      </c>
      <c r="G279" s="21" t="n">
        <f aca="false">2_Matriz_decision!G278/G$5</f>
        <v>0.0411149420220302</v>
      </c>
      <c r="H279" s="21" t="n">
        <f aca="false">2_Matriz_decision!H278/H$5</f>
        <v>0.0384268159034261</v>
      </c>
      <c r="I279" s="21" t="n">
        <f aca="false">2_Matriz_decision!I278/I$5</f>
        <v>0.0592738965965849</v>
      </c>
      <c r="J279" s="21" t="n">
        <f aca="false">2_Matriz_decision!J278/J$5</f>
        <v>0.0351992440847949</v>
      </c>
      <c r="K279" s="21" t="n">
        <f aca="false">2_Matriz_decision!K278/K$5</f>
        <v>0.039014903418414</v>
      </c>
      <c r="L279" s="21" t="n">
        <f aca="false">2_Matriz_decision!L278/L$5</f>
        <v>0.0218889584959747</v>
      </c>
      <c r="M279" s="21" t="n">
        <f aca="false">2_Matriz_decision!M278/M$5</f>
        <v>0.0373055508051652</v>
      </c>
      <c r="N279" s="21" t="n">
        <f aca="false">2_Matriz_decision!N278/N$5</f>
        <v>0.0560490217345168</v>
      </c>
      <c r="O279" s="21" t="n">
        <f aca="false">2_Matriz_decision!O278/O$5</f>
        <v>0.0304431282773992</v>
      </c>
      <c r="P279" s="21" t="n">
        <f aca="false">2_Matriz_decision!P278/P$5</f>
        <v>0.0264720767589686</v>
      </c>
      <c r="Q279" s="21" t="n">
        <f aca="false">2_Matriz_decision!Q278/Q$5</f>
        <v>0.0133893885620924</v>
      </c>
    </row>
    <row r="280" customFormat="false" ht="15" hidden="false" customHeight="false" outlineLevel="0" collapsed="false">
      <c r="A280" s="15" t="n">
        <f aca="false">2_Matriz_decision!A279</f>
        <v>275</v>
      </c>
      <c r="B280" s="16" t="n">
        <f aca="false">2_Matriz_decision!B279</f>
        <v>27.691</v>
      </c>
      <c r="C280" s="21" t="n">
        <f aca="false">2_Matriz_decision!C279/C$5</f>
        <v>0.0439697451539424</v>
      </c>
      <c r="D280" s="21" t="n">
        <f aca="false">2_Matriz_decision!D279/D$5</f>
        <v>0.0334918645582358</v>
      </c>
      <c r="E280" s="21" t="n">
        <f aca="false">2_Matriz_decision!E279/E$5</f>
        <v>0.0500902437313038</v>
      </c>
      <c r="F280" s="21" t="n">
        <f aca="false">2_Matriz_decision!F279/F$5</f>
        <v>0.0296434583364376</v>
      </c>
      <c r="G280" s="21" t="n">
        <f aca="false">2_Matriz_decision!G279/G$5</f>
        <v>0.0411149420220302</v>
      </c>
      <c r="H280" s="21" t="n">
        <f aca="false">2_Matriz_decision!H279/H$5</f>
        <v>0.0384268159034261</v>
      </c>
      <c r="I280" s="21" t="n">
        <f aca="false">2_Matriz_decision!I279/I$5</f>
        <v>0.0592738965965849</v>
      </c>
      <c r="J280" s="21" t="n">
        <f aca="false">2_Matriz_decision!J279/J$5</f>
        <v>0.0351992440847949</v>
      </c>
      <c r="K280" s="21" t="n">
        <f aca="false">2_Matriz_decision!K279/K$5</f>
        <v>0.039014903418414</v>
      </c>
      <c r="L280" s="21" t="n">
        <f aca="false">2_Matriz_decision!L279/L$5</f>
        <v>0.0167944605198193</v>
      </c>
      <c r="M280" s="21" t="n">
        <f aca="false">2_Matriz_decision!M279/M$5</f>
        <v>0.0375596306596274</v>
      </c>
      <c r="N280" s="21" t="n">
        <f aca="false">2_Matriz_decision!N279/N$5</f>
        <v>0.0560490217345168</v>
      </c>
      <c r="O280" s="21" t="n">
        <f aca="false">2_Matriz_decision!O279/O$5</f>
        <v>0.0304431282773992</v>
      </c>
      <c r="P280" s="21" t="n">
        <f aca="false">2_Matriz_decision!P279/P$5</f>
        <v>0.0264720767589686</v>
      </c>
      <c r="Q280" s="21" t="n">
        <f aca="false">2_Matriz_decision!Q279/Q$5</f>
        <v>0.0133893885620924</v>
      </c>
    </row>
    <row r="281" customFormat="false" ht="15" hidden="false" customHeight="false" outlineLevel="0" collapsed="false">
      <c r="A281" s="15" t="n">
        <f aca="false">2_Matriz_decision!A280</f>
        <v>276</v>
      </c>
      <c r="B281" s="16" t="n">
        <f aca="false">2_Matriz_decision!B280</f>
        <v>27.791</v>
      </c>
      <c r="C281" s="21" t="n">
        <f aca="false">2_Matriz_decision!C280/C$5</f>
        <v>0.0439697451539424</v>
      </c>
      <c r="D281" s="21" t="n">
        <f aca="false">2_Matriz_decision!D280/D$5</f>
        <v>0.0334918645582358</v>
      </c>
      <c r="E281" s="21" t="n">
        <f aca="false">2_Matriz_decision!E280/E$5</f>
        <v>0.0500902437313038</v>
      </c>
      <c r="F281" s="21" t="n">
        <f aca="false">2_Matriz_decision!F280/F$5</f>
        <v>0.00988115277881254</v>
      </c>
      <c r="G281" s="21" t="n">
        <f aca="false">2_Matriz_decision!G280/G$5</f>
        <v>0.0411149420220302</v>
      </c>
      <c r="H281" s="21" t="n">
        <f aca="false">2_Matriz_decision!H280/H$5</f>
        <v>0.0384268159034261</v>
      </c>
      <c r="I281" s="21" t="n">
        <f aca="false">2_Matriz_decision!I280/I$5</f>
        <v>0.0740923707457312</v>
      </c>
      <c r="J281" s="21" t="n">
        <f aca="false">2_Matriz_decision!J280/J$5</f>
        <v>0.0351992440847949</v>
      </c>
      <c r="K281" s="21" t="n">
        <f aca="false">2_Matriz_decision!K280/K$5</f>
        <v>0.039014903418414</v>
      </c>
      <c r="L281" s="21" t="n">
        <f aca="false">2_Matriz_decision!L280/L$5</f>
        <v>0.0237876952744893</v>
      </c>
      <c r="M281" s="21" t="n">
        <f aca="false">2_Matriz_decision!M280/M$5</f>
        <v>0.0420336454882007</v>
      </c>
      <c r="N281" s="21" t="n">
        <f aca="false">2_Matriz_decision!N280/N$5</f>
        <v>0.0560490217345168</v>
      </c>
      <c r="O281" s="21" t="n">
        <f aca="false">2_Matriz_decision!O280/O$5</f>
        <v>0.0304431282773992</v>
      </c>
      <c r="P281" s="21" t="n">
        <f aca="false">2_Matriz_decision!P280/P$5</f>
        <v>0.0264720767589686</v>
      </c>
      <c r="Q281" s="21" t="n">
        <f aca="false">2_Matriz_decision!Q280/Q$5</f>
        <v>0.0133893885620924</v>
      </c>
    </row>
    <row r="282" customFormat="false" ht="15" hidden="false" customHeight="false" outlineLevel="0" collapsed="false">
      <c r="A282" s="15" t="n">
        <f aca="false">2_Matriz_decision!A281</f>
        <v>277</v>
      </c>
      <c r="B282" s="16" t="n">
        <f aca="false">2_Matriz_decision!B281</f>
        <v>27.894</v>
      </c>
      <c r="C282" s="21" t="n">
        <f aca="false">2_Matriz_decision!C281/C$5</f>
        <v>0.0439697451539424</v>
      </c>
      <c r="D282" s="21" t="n">
        <f aca="false">2_Matriz_decision!D281/D$5</f>
        <v>0.0334918645582358</v>
      </c>
      <c r="E282" s="21" t="n">
        <f aca="false">2_Matriz_decision!E281/E$5</f>
        <v>0.0500902437313038</v>
      </c>
      <c r="F282" s="21" t="n">
        <f aca="false">2_Matriz_decision!F281/F$5</f>
        <v>0.0395246111152501</v>
      </c>
      <c r="G282" s="21" t="n">
        <f aca="false">2_Matriz_decision!G281/G$5</f>
        <v>0.0411149420220302</v>
      </c>
      <c r="H282" s="21" t="n">
        <f aca="false">2_Matriz_decision!H281/H$5</f>
        <v>0.0384268159034261</v>
      </c>
      <c r="I282" s="21" t="n">
        <f aca="false">2_Matriz_decision!I281/I$5</f>
        <v>0.0740923707457312</v>
      </c>
      <c r="J282" s="21" t="n">
        <f aca="false">2_Matriz_decision!J281/J$5</f>
        <v>0.0351992440847949</v>
      </c>
      <c r="K282" s="21" t="n">
        <f aca="false">2_Matriz_decision!K281/K$5</f>
        <v>0.039014903418414</v>
      </c>
      <c r="L282" s="21" t="n">
        <f aca="false">2_Matriz_decision!L281/L$5</f>
        <v>0.0231191259862799</v>
      </c>
      <c r="M282" s="21" t="n">
        <f aca="false">2_Matriz_decision!M281/M$5</f>
        <v>0.0441878007760322</v>
      </c>
      <c r="N282" s="21" t="n">
        <f aca="false">2_Matriz_decision!N281/N$5</f>
        <v>0.0560490217345168</v>
      </c>
      <c r="O282" s="21" t="n">
        <f aca="false">2_Matriz_decision!O281/O$5</f>
        <v>0.0304431282773992</v>
      </c>
      <c r="P282" s="21" t="n">
        <f aca="false">2_Matriz_decision!P281/P$5</f>
        <v>0.0264720767589686</v>
      </c>
      <c r="Q282" s="21" t="n">
        <f aca="false">2_Matriz_decision!Q281/Q$5</f>
        <v>0.0133893885620924</v>
      </c>
    </row>
    <row r="283" customFormat="false" ht="15" hidden="false" customHeight="false" outlineLevel="0" collapsed="false">
      <c r="A283" s="15" t="n">
        <f aca="false">2_Matriz_decision!A282</f>
        <v>278</v>
      </c>
      <c r="B283" s="16" t="n">
        <f aca="false">2_Matriz_decision!B282</f>
        <v>27.999</v>
      </c>
      <c r="C283" s="21" t="n">
        <f aca="false">2_Matriz_decision!C282/C$5</f>
        <v>0.0439697451539424</v>
      </c>
      <c r="D283" s="21" t="n">
        <f aca="false">2_Matriz_decision!D282/D$5</f>
        <v>0.0334918645582358</v>
      </c>
      <c r="E283" s="21" t="n">
        <f aca="false">2_Matriz_decision!E282/E$5</f>
        <v>0.0500902437313038</v>
      </c>
      <c r="F283" s="21" t="n">
        <f aca="false">2_Matriz_decision!F282/F$5</f>
        <v>0.0395246111152501</v>
      </c>
      <c r="G283" s="21" t="n">
        <f aca="false">2_Matriz_decision!G282/G$5</f>
        <v>0.0411149420220302</v>
      </c>
      <c r="H283" s="21" t="n">
        <f aca="false">2_Matriz_decision!H282/H$5</f>
        <v>0.0384268159034261</v>
      </c>
      <c r="I283" s="21" t="n">
        <f aca="false">2_Matriz_decision!I282/I$5</f>
        <v>0.0444554224474387</v>
      </c>
      <c r="J283" s="21" t="n">
        <f aca="false">2_Matriz_decision!J282/J$5</f>
        <v>0.0351992440847949</v>
      </c>
      <c r="K283" s="21" t="n">
        <f aca="false">2_Matriz_decision!K282/K$5</f>
        <v>0.039014903418414</v>
      </c>
      <c r="L283" s="21" t="n">
        <f aca="false">2_Matriz_decision!L282/L$5</f>
        <v>0.0186798259125697</v>
      </c>
      <c r="M283" s="21" t="n">
        <f aca="false">2_Matriz_decision!M282/M$5</f>
        <v>0.043834298369824</v>
      </c>
      <c r="N283" s="21" t="n">
        <f aca="false">2_Matriz_decision!N282/N$5</f>
        <v>0.0560490217345168</v>
      </c>
      <c r="O283" s="21" t="n">
        <f aca="false">2_Matriz_decision!O282/O$5</f>
        <v>0.0304431282773992</v>
      </c>
      <c r="P283" s="21" t="n">
        <f aca="false">2_Matriz_decision!P282/P$5</f>
        <v>0.0264720767589686</v>
      </c>
      <c r="Q283" s="21" t="n">
        <f aca="false">2_Matriz_decision!Q282/Q$5</f>
        <v>0.0133893885620924</v>
      </c>
    </row>
    <row r="284" customFormat="false" ht="15" hidden="false" customHeight="false" outlineLevel="0" collapsed="false">
      <c r="A284" s="15" t="n">
        <f aca="false">2_Matriz_decision!A283</f>
        <v>279</v>
      </c>
      <c r="B284" s="16" t="n">
        <f aca="false">2_Matriz_decision!B283</f>
        <v>28.108</v>
      </c>
      <c r="C284" s="21" t="n">
        <f aca="false">2_Matriz_decision!C283/C$5</f>
        <v>0.0439697451539424</v>
      </c>
      <c r="D284" s="21" t="n">
        <f aca="false">2_Matriz_decision!D283/D$5</f>
        <v>0.0334918645582358</v>
      </c>
      <c r="E284" s="21" t="n">
        <f aca="false">2_Matriz_decision!E283/E$5</f>
        <v>0.0400721949850431</v>
      </c>
      <c r="F284" s="21" t="n">
        <f aca="false">2_Matriz_decision!F283/F$5</f>
        <v>0.0296434583364376</v>
      </c>
      <c r="G284" s="21" t="n">
        <f aca="false">2_Matriz_decision!G283/G$5</f>
        <v>0.0411149420220302</v>
      </c>
      <c r="H284" s="21" t="n">
        <f aca="false">2_Matriz_decision!H283/H$5</f>
        <v>0.0384268159034261</v>
      </c>
      <c r="I284" s="21" t="n">
        <f aca="false">2_Matriz_decision!I283/I$5</f>
        <v>0.0296369482982925</v>
      </c>
      <c r="J284" s="21" t="n">
        <f aca="false">2_Matriz_decision!J283/J$5</f>
        <v>0.0351992440847949</v>
      </c>
      <c r="K284" s="21" t="n">
        <f aca="false">2_Matriz_decision!K283/K$5</f>
        <v>0.039014903418414</v>
      </c>
      <c r="L284" s="21" t="n">
        <f aca="false">2_Matriz_decision!L283/L$5</f>
        <v>0.0197896509309973</v>
      </c>
      <c r="M284" s="21" t="n">
        <f aca="false">2_Matriz_decision!M283/M$5</f>
        <v>0.0426743685994531</v>
      </c>
      <c r="N284" s="21" t="n">
        <f aca="false">2_Matriz_decision!N283/N$5</f>
        <v>0.0560490217345168</v>
      </c>
      <c r="O284" s="21" t="n">
        <f aca="false">2_Matriz_decision!O283/O$5</f>
        <v>0.0304431282773992</v>
      </c>
      <c r="P284" s="21" t="n">
        <f aca="false">2_Matriz_decision!P283/P$5</f>
        <v>0.0264720767589686</v>
      </c>
      <c r="Q284" s="21" t="n">
        <f aca="false">2_Matriz_decision!Q283/Q$5</f>
        <v>0.0133893885620924</v>
      </c>
    </row>
    <row r="285" customFormat="false" ht="15" hidden="false" customHeight="false" outlineLevel="0" collapsed="false">
      <c r="A285" s="15" t="n">
        <f aca="false">2_Matriz_decision!A284</f>
        <v>280</v>
      </c>
      <c r="B285" s="16" t="n">
        <f aca="false">2_Matriz_decision!B284</f>
        <v>28.219</v>
      </c>
      <c r="C285" s="21" t="n">
        <f aca="false">2_Matriz_decision!C284/C$5</f>
        <v>0.0439697451539424</v>
      </c>
      <c r="D285" s="21" t="n">
        <f aca="false">2_Matriz_decision!D284/D$5</f>
        <v>0.0334918645582358</v>
      </c>
      <c r="E285" s="21" t="n">
        <f aca="false">2_Matriz_decision!E284/E$5</f>
        <v>0.0400721949850431</v>
      </c>
      <c r="F285" s="21" t="n">
        <f aca="false">2_Matriz_decision!F284/F$5</f>
        <v>0.0395246111152501</v>
      </c>
      <c r="G285" s="21" t="n">
        <f aca="false">2_Matriz_decision!G284/G$5</f>
        <v>0.0411149420220302</v>
      </c>
      <c r="H285" s="21" t="n">
        <f aca="false">2_Matriz_decision!H284/H$5</f>
        <v>0.0384268159034261</v>
      </c>
      <c r="I285" s="21" t="n">
        <f aca="false">2_Matriz_decision!I284/I$5</f>
        <v>0.0148184741491462</v>
      </c>
      <c r="J285" s="21" t="n">
        <f aca="false">2_Matriz_decision!J284/J$5</f>
        <v>0.0351992440847949</v>
      </c>
      <c r="K285" s="21" t="n">
        <f aca="false">2_Matriz_decision!K284/K$5</f>
        <v>0.039014903418414</v>
      </c>
      <c r="L285" s="21" t="n">
        <f aca="false">2_Matriz_decision!L284/L$5</f>
        <v>0.0251114624651439</v>
      </c>
      <c r="M285" s="21" t="n">
        <f aca="false">2_Matriz_decision!M284/M$5</f>
        <v>0.0393050487902807</v>
      </c>
      <c r="N285" s="21" t="n">
        <f aca="false">2_Matriz_decision!N284/N$5</f>
        <v>0.0560490217345168</v>
      </c>
      <c r="O285" s="21" t="n">
        <f aca="false">2_Matriz_decision!O284/O$5</f>
        <v>0.0304431282773992</v>
      </c>
      <c r="P285" s="21" t="n">
        <f aca="false">2_Matriz_decision!P284/P$5</f>
        <v>0.0264720767589686</v>
      </c>
      <c r="Q285" s="21" t="n">
        <f aca="false">2_Matriz_decision!Q284/Q$5</f>
        <v>0.0133893885620924</v>
      </c>
    </row>
    <row r="286" customFormat="false" ht="15" hidden="false" customHeight="false" outlineLevel="0" collapsed="false">
      <c r="A286" s="15" t="n">
        <f aca="false">2_Matriz_decision!A285</f>
        <v>281</v>
      </c>
      <c r="B286" s="16" t="n">
        <f aca="false">2_Matriz_decision!B285</f>
        <v>28.331</v>
      </c>
      <c r="C286" s="21" t="n">
        <f aca="false">2_Matriz_decision!C285/C$5</f>
        <v>0.0439697451539424</v>
      </c>
      <c r="D286" s="21" t="n">
        <f aca="false">2_Matriz_decision!D285/D$5</f>
        <v>0.0334918645582358</v>
      </c>
      <c r="E286" s="21" t="n">
        <f aca="false">2_Matriz_decision!E285/E$5</f>
        <v>0.0400721949850431</v>
      </c>
      <c r="F286" s="21" t="n">
        <f aca="false">2_Matriz_decision!F285/F$5</f>
        <v>0.0395246111152501</v>
      </c>
      <c r="G286" s="21" t="n">
        <f aca="false">2_Matriz_decision!G285/G$5</f>
        <v>0.0411149420220302</v>
      </c>
      <c r="H286" s="21" t="n">
        <f aca="false">2_Matriz_decision!H285/H$5</f>
        <v>0.0384268159034261</v>
      </c>
      <c r="I286" s="21" t="n">
        <f aca="false">2_Matriz_decision!I285/I$5</f>
        <v>0.0148184741491462</v>
      </c>
      <c r="J286" s="21" t="n">
        <f aca="false">2_Matriz_decision!J285/J$5</f>
        <v>0.0351992440847949</v>
      </c>
      <c r="K286" s="21" t="n">
        <f aca="false">2_Matriz_decision!K285/K$5</f>
        <v>0.039014903418414</v>
      </c>
      <c r="L286" s="21" t="n">
        <f aca="false">2_Matriz_decision!L285/L$5</f>
        <v>0.0238679235890744</v>
      </c>
      <c r="M286" s="21" t="n">
        <f aca="false">2_Matriz_decision!M285/M$5</f>
        <v>0.0419121290360666</v>
      </c>
      <c r="N286" s="21" t="n">
        <f aca="false">2_Matriz_decision!N285/N$5</f>
        <v>0.0560490217345168</v>
      </c>
      <c r="O286" s="21" t="n">
        <f aca="false">2_Matriz_decision!O285/O$5</f>
        <v>0.0304431282773992</v>
      </c>
      <c r="P286" s="21" t="n">
        <f aca="false">2_Matriz_decision!P285/P$5</f>
        <v>0.0264720767589686</v>
      </c>
      <c r="Q286" s="21" t="n">
        <f aca="false">2_Matriz_decision!Q285/Q$5</f>
        <v>0.0133893885620924</v>
      </c>
    </row>
    <row r="287" customFormat="false" ht="15" hidden="false" customHeight="false" outlineLevel="0" collapsed="false">
      <c r="A287" s="15" t="n">
        <f aca="false">2_Matriz_decision!A286</f>
        <v>282</v>
      </c>
      <c r="B287" s="16" t="n">
        <f aca="false">2_Matriz_decision!B286</f>
        <v>28.442</v>
      </c>
      <c r="C287" s="21" t="n">
        <f aca="false">2_Matriz_decision!C286/C$5</f>
        <v>0.0439697451539424</v>
      </c>
      <c r="D287" s="21" t="n">
        <f aca="false">2_Matriz_decision!D286/D$5</f>
        <v>0.0334918645582358</v>
      </c>
      <c r="E287" s="21" t="n">
        <f aca="false">2_Matriz_decision!E286/E$5</f>
        <v>0.0400721949850431</v>
      </c>
      <c r="F287" s="21" t="n">
        <f aca="false">2_Matriz_decision!F286/F$5</f>
        <v>0.0395246111152501</v>
      </c>
      <c r="G287" s="21" t="n">
        <f aca="false">2_Matriz_decision!G286/G$5</f>
        <v>0.0411149420220302</v>
      </c>
      <c r="H287" s="21" t="n">
        <f aca="false">2_Matriz_decision!H286/H$5</f>
        <v>0.0384268159034261</v>
      </c>
      <c r="I287" s="21" t="n">
        <f aca="false">2_Matriz_decision!I286/I$5</f>
        <v>0.0296369482982925</v>
      </c>
      <c r="J287" s="21" t="n">
        <f aca="false">2_Matriz_decision!J286/J$5</f>
        <v>0.0351992440847949</v>
      </c>
      <c r="K287" s="21" t="n">
        <f aca="false">2_Matriz_decision!K286/K$5</f>
        <v>0.039014903418414</v>
      </c>
      <c r="L287" s="21" t="n">
        <f aca="false">2_Matriz_decision!L286/L$5</f>
        <v>0.0312221857593775</v>
      </c>
      <c r="M287" s="21" t="n">
        <f aca="false">2_Matriz_decision!M286/M$5</f>
        <v>0.043889533120794</v>
      </c>
      <c r="N287" s="21" t="n">
        <f aca="false">2_Matriz_decision!N286/N$5</f>
        <v>0.0560490217345168</v>
      </c>
      <c r="O287" s="21" t="n">
        <f aca="false">2_Matriz_decision!O286/O$5</f>
        <v>0.0304431282773992</v>
      </c>
      <c r="P287" s="21" t="n">
        <f aca="false">2_Matriz_decision!P286/P$5</f>
        <v>0.0264720767589686</v>
      </c>
      <c r="Q287" s="21" t="n">
        <f aca="false">2_Matriz_decision!Q286/Q$5</f>
        <v>0.0133893885620924</v>
      </c>
    </row>
    <row r="288" customFormat="false" ht="15" hidden="false" customHeight="false" outlineLevel="0" collapsed="false">
      <c r="A288" s="15" t="n">
        <f aca="false">2_Matriz_decision!A287</f>
        <v>283</v>
      </c>
      <c r="B288" s="16" t="n">
        <f aca="false">2_Matriz_decision!B287</f>
        <v>28.552</v>
      </c>
      <c r="C288" s="21" t="n">
        <f aca="false">2_Matriz_decision!C287/C$5</f>
        <v>0.0439697451539424</v>
      </c>
      <c r="D288" s="21" t="n">
        <f aca="false">2_Matriz_decision!D287/D$5</f>
        <v>0.0334918645582358</v>
      </c>
      <c r="E288" s="21" t="n">
        <f aca="false">2_Matriz_decision!E287/E$5</f>
        <v>0.0400721949850431</v>
      </c>
      <c r="F288" s="21" t="n">
        <f aca="false">2_Matriz_decision!F287/F$5</f>
        <v>0.0197623055576251</v>
      </c>
      <c r="G288" s="21" t="n">
        <f aca="false">2_Matriz_decision!G287/G$5</f>
        <v>0.0411149420220302</v>
      </c>
      <c r="H288" s="21" t="n">
        <f aca="false">2_Matriz_decision!H287/H$5</f>
        <v>0.0384268159034261</v>
      </c>
      <c r="I288" s="21" t="n">
        <f aca="false">2_Matriz_decision!I287/I$5</f>
        <v>0.0148184741491462</v>
      </c>
      <c r="J288" s="21" t="n">
        <f aca="false">2_Matriz_decision!J287/J$5</f>
        <v>0.0351992440847949</v>
      </c>
      <c r="K288" s="21" t="n">
        <f aca="false">2_Matriz_decision!K287/K$5</f>
        <v>0.039014903418414</v>
      </c>
      <c r="L288" s="21" t="n">
        <f aca="false">2_Matriz_decision!L287/L$5</f>
        <v>0.0334552071819968</v>
      </c>
      <c r="M288" s="21" t="n">
        <f aca="false">2_Matriz_decision!M287/M$5</f>
        <v>0.0403103212579354</v>
      </c>
      <c r="N288" s="21" t="n">
        <f aca="false">2_Matriz_decision!N287/N$5</f>
        <v>0.0560490217345168</v>
      </c>
      <c r="O288" s="21" t="n">
        <f aca="false">2_Matriz_decision!O287/O$5</f>
        <v>0.0304431282773992</v>
      </c>
      <c r="P288" s="21" t="n">
        <f aca="false">2_Matriz_decision!P287/P$5</f>
        <v>0.0264720767589686</v>
      </c>
      <c r="Q288" s="21" t="n">
        <f aca="false">2_Matriz_decision!Q287/Q$5</f>
        <v>0.0133893885620924</v>
      </c>
    </row>
    <row r="289" customFormat="false" ht="15" hidden="false" customHeight="false" outlineLevel="0" collapsed="false">
      <c r="A289" s="15" t="n">
        <f aca="false">2_Matriz_decision!A288</f>
        <v>284</v>
      </c>
      <c r="B289" s="16" t="n">
        <f aca="false">2_Matriz_decision!B288</f>
        <v>28.658</v>
      </c>
      <c r="C289" s="21" t="n">
        <f aca="false">2_Matriz_decision!C288/C$5</f>
        <v>0.0439697451539424</v>
      </c>
      <c r="D289" s="21" t="n">
        <f aca="false">2_Matriz_decision!D288/D$5</f>
        <v>0.0334918645582358</v>
      </c>
      <c r="E289" s="21" t="n">
        <f aca="false">2_Matriz_decision!E288/E$5</f>
        <v>0.0400721949850431</v>
      </c>
      <c r="F289" s="21" t="n">
        <f aca="false">2_Matriz_decision!F288/F$5</f>
        <v>0.0296434583364376</v>
      </c>
      <c r="G289" s="21" t="n">
        <f aca="false">2_Matriz_decision!G288/G$5</f>
        <v>0.0411149420220302</v>
      </c>
      <c r="H289" s="21" t="n">
        <f aca="false">2_Matriz_decision!H288/H$5</f>
        <v>0.0384268159034261</v>
      </c>
      <c r="I289" s="21" t="n">
        <f aca="false">2_Matriz_decision!I288/I$5</f>
        <v>0.0148184741491462</v>
      </c>
      <c r="J289" s="21" t="n">
        <f aca="false">2_Matriz_decision!J288/J$5</f>
        <v>0.0351992440847949</v>
      </c>
      <c r="K289" s="21" t="n">
        <f aca="false">2_Matriz_decision!K288/K$5</f>
        <v>0.039014903418414</v>
      </c>
      <c r="L289" s="21" t="n">
        <f aca="false">2_Matriz_decision!L288/L$5</f>
        <v>0.0252852904800783</v>
      </c>
      <c r="M289" s="21" t="n">
        <f aca="false">2_Matriz_decision!M288/M$5</f>
        <v>0.0366648276939127</v>
      </c>
      <c r="N289" s="21" t="n">
        <f aca="false">2_Matriz_decision!N288/N$5</f>
        <v>0.0560490217345168</v>
      </c>
      <c r="O289" s="21" t="n">
        <f aca="false">2_Matriz_decision!O288/O$5</f>
        <v>0.0304431282773992</v>
      </c>
      <c r="P289" s="21" t="n">
        <f aca="false">2_Matriz_decision!P288/P$5</f>
        <v>0.0264720767589686</v>
      </c>
      <c r="Q289" s="21" t="n">
        <f aca="false">2_Matriz_decision!Q288/Q$5</f>
        <v>0.0133893885620924</v>
      </c>
    </row>
    <row r="290" customFormat="false" ht="15" hidden="false" customHeight="false" outlineLevel="0" collapsed="false">
      <c r="A290" s="15" t="n">
        <f aca="false">2_Matriz_decision!A289</f>
        <v>285</v>
      </c>
      <c r="B290" s="16" t="n">
        <f aca="false">2_Matriz_decision!B289</f>
        <v>28.761</v>
      </c>
      <c r="C290" s="21" t="n">
        <f aca="false">2_Matriz_decision!C289/C$5</f>
        <v>0.0439697451539424</v>
      </c>
      <c r="D290" s="21" t="n">
        <f aca="false">2_Matriz_decision!D289/D$5</f>
        <v>0.0334918645582358</v>
      </c>
      <c r="E290" s="21" t="n">
        <f aca="false">2_Matriz_decision!E289/E$5</f>
        <v>0.0400721949850431</v>
      </c>
      <c r="F290" s="21" t="n">
        <f aca="false">2_Matriz_decision!F289/F$5</f>
        <v>0.0296434583364376</v>
      </c>
      <c r="G290" s="21" t="n">
        <f aca="false">2_Matriz_decision!G289/G$5</f>
        <v>0.0411149420220302</v>
      </c>
      <c r="H290" s="21" t="n">
        <f aca="false">2_Matriz_decision!H289/H$5</f>
        <v>0.0384268159034261</v>
      </c>
      <c r="I290" s="21" t="n">
        <f aca="false">2_Matriz_decision!I289/I$5</f>
        <v>0.0148184741491462</v>
      </c>
      <c r="J290" s="21" t="n">
        <f aca="false">2_Matriz_decision!J289/J$5</f>
        <v>0.0351992440847949</v>
      </c>
      <c r="K290" s="21" t="n">
        <f aca="false">2_Matriz_decision!K289/K$5</f>
        <v>0.039014903418414</v>
      </c>
      <c r="L290" s="21" t="n">
        <f aca="false">2_Matriz_decision!L289/L$5</f>
        <v>0.0282136239624353</v>
      </c>
      <c r="M290" s="21" t="n">
        <f aca="false">2_Matriz_decision!M289/M$5</f>
        <v>0.0278935492398703</v>
      </c>
      <c r="N290" s="21" t="n">
        <f aca="false">2_Matriz_decision!N289/N$5</f>
        <v>0.0560490217345168</v>
      </c>
      <c r="O290" s="21" t="n">
        <f aca="false">2_Matriz_decision!O289/O$5</f>
        <v>0.0304431282773992</v>
      </c>
      <c r="P290" s="21" t="n">
        <f aca="false">2_Matriz_decision!P289/P$5</f>
        <v>0.0264720767589686</v>
      </c>
      <c r="Q290" s="21" t="n">
        <f aca="false">2_Matriz_decision!Q289/Q$5</f>
        <v>0.0133893885620924</v>
      </c>
    </row>
    <row r="291" customFormat="false" ht="15" hidden="false" customHeight="false" outlineLevel="0" collapsed="false">
      <c r="A291" s="15" t="n">
        <f aca="false">2_Matriz_decision!A290</f>
        <v>286</v>
      </c>
      <c r="B291" s="16" t="n">
        <f aca="false">2_Matriz_decision!B290</f>
        <v>28.863</v>
      </c>
      <c r="C291" s="21" t="n">
        <f aca="false">2_Matriz_decision!C290/C$5</f>
        <v>0.0439697451539424</v>
      </c>
      <c r="D291" s="21" t="n">
        <f aca="false">2_Matriz_decision!D290/D$5</f>
        <v>0.0334918645582358</v>
      </c>
      <c r="E291" s="21" t="n">
        <f aca="false">2_Matriz_decision!E290/E$5</f>
        <v>0.0400721949850431</v>
      </c>
      <c r="F291" s="21" t="n">
        <f aca="false">2_Matriz_decision!F290/F$5</f>
        <v>0.0395246111152501</v>
      </c>
      <c r="G291" s="21" t="n">
        <f aca="false">2_Matriz_decision!G290/G$5</f>
        <v>0.0411149420220302</v>
      </c>
      <c r="H291" s="21" t="n">
        <f aca="false">2_Matriz_decision!H290/H$5</f>
        <v>0.0384268159034261</v>
      </c>
      <c r="I291" s="21" t="n">
        <f aca="false">2_Matriz_decision!I290/I$5</f>
        <v>0.0148184741491462</v>
      </c>
      <c r="J291" s="21" t="n">
        <f aca="false">2_Matriz_decision!J290/J$5</f>
        <v>0.0351992440847949</v>
      </c>
      <c r="K291" s="21" t="n">
        <f aca="false">2_Matriz_decision!K290/K$5</f>
        <v>0.039014903418414</v>
      </c>
      <c r="L291" s="21" t="n">
        <f aca="false">2_Matriz_decision!L290/L$5</f>
        <v>0.035113259016756</v>
      </c>
      <c r="M291" s="21" t="n">
        <f aca="false">2_Matriz_decision!M290/M$5</f>
        <v>0.0325553622217418</v>
      </c>
      <c r="N291" s="21" t="n">
        <f aca="false">2_Matriz_decision!N290/N$5</f>
        <v>0.0560490217345168</v>
      </c>
      <c r="O291" s="21" t="n">
        <f aca="false">2_Matriz_decision!O290/O$5</f>
        <v>0.0304431282773992</v>
      </c>
      <c r="P291" s="21" t="n">
        <f aca="false">2_Matriz_decision!P290/P$5</f>
        <v>0.0264720767589686</v>
      </c>
      <c r="Q291" s="21" t="n">
        <f aca="false">2_Matriz_decision!Q290/Q$5</f>
        <v>0.0133893885620924</v>
      </c>
    </row>
    <row r="292" customFormat="false" ht="15" hidden="false" customHeight="false" outlineLevel="0" collapsed="false">
      <c r="A292" s="15" t="n">
        <f aca="false">2_Matriz_decision!A291</f>
        <v>287</v>
      </c>
      <c r="B292" s="16" t="n">
        <f aca="false">2_Matriz_decision!B291</f>
        <v>28.962</v>
      </c>
      <c r="C292" s="21" t="n">
        <f aca="false">2_Matriz_decision!C291/C$5</f>
        <v>0.0439697451539424</v>
      </c>
      <c r="D292" s="21" t="n">
        <f aca="false">2_Matriz_decision!D291/D$5</f>
        <v>0.0334918645582358</v>
      </c>
      <c r="E292" s="21" t="n">
        <f aca="false">2_Matriz_decision!E291/E$5</f>
        <v>0.0400721949850431</v>
      </c>
      <c r="F292" s="21" t="n">
        <f aca="false">2_Matriz_decision!F291/F$5</f>
        <v>0.0395246111152501</v>
      </c>
      <c r="G292" s="21" t="n">
        <f aca="false">2_Matriz_decision!G291/G$5</f>
        <v>0.0411149420220302</v>
      </c>
      <c r="H292" s="21" t="n">
        <f aca="false">2_Matriz_decision!H291/H$5</f>
        <v>0.0384268159034261</v>
      </c>
      <c r="I292" s="21" t="n">
        <f aca="false">2_Matriz_decision!I291/I$5</f>
        <v>0.0148184741491462</v>
      </c>
      <c r="J292" s="21" t="n">
        <f aca="false">2_Matriz_decision!J291/J$5</f>
        <v>0.0351992440847949</v>
      </c>
      <c r="K292" s="21" t="n">
        <f aca="false">2_Matriz_decision!K291/K$5</f>
        <v>0.039014903418414</v>
      </c>
      <c r="L292" s="21" t="n">
        <f aca="false">2_Matriz_decision!L291/L$5</f>
        <v>0.0299519041117797</v>
      </c>
      <c r="M292" s="21" t="n">
        <f aca="false">2_Matriz_decision!M291/M$5</f>
        <v>0.0324890805205777</v>
      </c>
      <c r="N292" s="21" t="n">
        <f aca="false">2_Matriz_decision!N291/N$5</f>
        <v>0.0560490217345168</v>
      </c>
      <c r="O292" s="21" t="n">
        <f aca="false">2_Matriz_decision!O291/O$5</f>
        <v>0.0304431282773992</v>
      </c>
      <c r="P292" s="21" t="n">
        <f aca="false">2_Matriz_decision!P291/P$5</f>
        <v>0.0264720767589686</v>
      </c>
      <c r="Q292" s="21" t="n">
        <f aca="false">2_Matriz_decision!Q291/Q$5</f>
        <v>0.066946942810462</v>
      </c>
    </row>
    <row r="293" customFormat="false" ht="15" hidden="false" customHeight="false" outlineLevel="0" collapsed="false">
      <c r="A293" s="15" t="n">
        <f aca="false">2_Matriz_decision!A292</f>
        <v>288</v>
      </c>
      <c r="B293" s="16" t="n">
        <f aca="false">2_Matriz_decision!B292</f>
        <v>29.061</v>
      </c>
      <c r="C293" s="21" t="n">
        <f aca="false">2_Matriz_decision!C292/C$5</f>
        <v>0.0439697451539424</v>
      </c>
      <c r="D293" s="21" t="n">
        <f aca="false">2_Matriz_decision!D292/D$5</f>
        <v>0.0334918645582358</v>
      </c>
      <c r="E293" s="21" t="n">
        <f aca="false">2_Matriz_decision!E292/E$5</f>
        <v>0.0400721949850431</v>
      </c>
      <c r="F293" s="21" t="n">
        <f aca="false">2_Matriz_decision!F292/F$5</f>
        <v>0.0395246111152501</v>
      </c>
      <c r="G293" s="21" t="n">
        <f aca="false">2_Matriz_decision!G292/G$5</f>
        <v>0.0411149420220302</v>
      </c>
      <c r="H293" s="21" t="n">
        <f aca="false">2_Matriz_decision!H292/H$5</f>
        <v>0.0384268159034261</v>
      </c>
      <c r="I293" s="21" t="n">
        <f aca="false">2_Matriz_decision!I292/I$5</f>
        <v>0.0148184741491462</v>
      </c>
      <c r="J293" s="21" t="n">
        <f aca="false">2_Matriz_decision!J292/J$5</f>
        <v>0.0351992440847949</v>
      </c>
      <c r="K293" s="21" t="n">
        <f aca="false">2_Matriz_decision!K292/K$5</f>
        <v>0.039014903418414</v>
      </c>
      <c r="L293" s="21" t="n">
        <f aca="false">2_Matriz_decision!L292/L$5</f>
        <v>0.0312890426881984</v>
      </c>
      <c r="M293" s="21" t="n">
        <f aca="false">2_Matriz_decision!M292/M$5</f>
        <v>0.0347868461609314</v>
      </c>
      <c r="N293" s="21" t="n">
        <f aca="false">2_Matriz_decision!N292/N$5</f>
        <v>0.0560490217345168</v>
      </c>
      <c r="O293" s="21" t="n">
        <f aca="false">2_Matriz_decision!O292/O$5</f>
        <v>0.0304431282773992</v>
      </c>
      <c r="P293" s="21" t="n">
        <f aca="false">2_Matriz_decision!P292/P$5</f>
        <v>0.0264720767589686</v>
      </c>
      <c r="Q293" s="21" t="n">
        <f aca="false">2_Matriz_decision!Q292/Q$5</f>
        <v>0.0535575542483696</v>
      </c>
    </row>
    <row r="294" customFormat="false" ht="15" hidden="false" customHeight="false" outlineLevel="0" collapsed="false">
      <c r="A294" s="15" t="n">
        <f aca="false">2_Matriz_decision!A293</f>
        <v>289</v>
      </c>
      <c r="B294" s="16" t="n">
        <f aca="false">2_Matriz_decision!B293</f>
        <v>29.159</v>
      </c>
      <c r="C294" s="21" t="n">
        <f aca="false">2_Matriz_decision!C293/C$5</f>
        <v>0.0439697451539424</v>
      </c>
      <c r="D294" s="21" t="n">
        <f aca="false">2_Matriz_decision!D293/D$5</f>
        <v>0.0334918645582358</v>
      </c>
      <c r="E294" s="21" t="n">
        <f aca="false">2_Matriz_decision!E293/E$5</f>
        <v>0.0400721949850431</v>
      </c>
      <c r="F294" s="21" t="n">
        <f aca="false">2_Matriz_decision!F293/F$5</f>
        <v>0.0395246111152501</v>
      </c>
      <c r="G294" s="21" t="n">
        <f aca="false">2_Matriz_decision!G293/G$5</f>
        <v>0.0411149420220302</v>
      </c>
      <c r="H294" s="21" t="n">
        <f aca="false">2_Matriz_decision!H293/H$5</f>
        <v>0.0384268159034261</v>
      </c>
      <c r="I294" s="21" t="n">
        <f aca="false">2_Matriz_decision!I293/I$5</f>
        <v>0.0148184741491462</v>
      </c>
      <c r="J294" s="21" t="n">
        <f aca="false">2_Matriz_decision!J293/J$5</f>
        <v>0.0351992440847949</v>
      </c>
      <c r="K294" s="21" t="n">
        <f aca="false">2_Matriz_decision!K293/K$5</f>
        <v>0.039014903418414</v>
      </c>
      <c r="L294" s="21" t="n">
        <f aca="false">2_Matriz_decision!L293/L$5</f>
        <v>0.0317169270326524</v>
      </c>
      <c r="M294" s="21" t="n">
        <f aca="false">2_Matriz_decision!M293/M$5</f>
        <v>0.0385759500774761</v>
      </c>
      <c r="N294" s="21" t="n">
        <f aca="false">2_Matriz_decision!N293/N$5</f>
        <v>0.0560490217345168</v>
      </c>
      <c r="O294" s="21" t="n">
        <f aca="false">2_Matriz_decision!O293/O$5</f>
        <v>0.0304431282773992</v>
      </c>
      <c r="P294" s="21" t="n">
        <f aca="false">2_Matriz_decision!P293/P$5</f>
        <v>0.0264720767589686</v>
      </c>
      <c r="Q294" s="21" t="n">
        <f aca="false">2_Matriz_decision!Q293/Q$5</f>
        <v>0.066946942810462</v>
      </c>
    </row>
    <row r="295" customFormat="false" ht="15" hidden="false" customHeight="false" outlineLevel="0" collapsed="false">
      <c r="A295" s="15" t="n">
        <f aca="false">2_Matriz_decision!A294</f>
        <v>290</v>
      </c>
      <c r="B295" s="16" t="n">
        <f aca="false">2_Matriz_decision!B294</f>
        <v>29.257</v>
      </c>
      <c r="C295" s="21" t="n">
        <f aca="false">2_Matriz_decision!C294/C$5</f>
        <v>0.0439697451539424</v>
      </c>
      <c r="D295" s="21" t="n">
        <f aca="false">2_Matriz_decision!D294/D$5</f>
        <v>0.0334918645582358</v>
      </c>
      <c r="E295" s="21" t="n">
        <f aca="false">2_Matriz_decision!E294/E$5</f>
        <v>0.0400721949850431</v>
      </c>
      <c r="F295" s="21" t="n">
        <f aca="false">2_Matriz_decision!F294/F$5</f>
        <v>0.0395246111152501</v>
      </c>
      <c r="G295" s="21" t="n">
        <f aca="false">2_Matriz_decision!G294/G$5</f>
        <v>0.0411149420220302</v>
      </c>
      <c r="H295" s="21" t="n">
        <f aca="false">2_Matriz_decision!H294/H$5</f>
        <v>0.0384268159034261</v>
      </c>
      <c r="I295" s="21" t="n">
        <f aca="false">2_Matriz_decision!I294/I$5</f>
        <v>0.0148184741491462</v>
      </c>
      <c r="J295" s="21" t="n">
        <f aca="false">2_Matriz_decision!J294/J$5</f>
        <v>0.0351992440847949</v>
      </c>
      <c r="K295" s="21" t="n">
        <f aca="false">2_Matriz_decision!K294/K$5</f>
        <v>0.039014903418414</v>
      </c>
      <c r="L295" s="21" t="n">
        <f aca="false">2_Matriz_decision!L294/L$5</f>
        <v>0.0308210441864519</v>
      </c>
      <c r="M295" s="21" t="n">
        <f aca="false">2_Matriz_decision!M294/M$5</f>
        <v>0.0376038184604034</v>
      </c>
      <c r="N295" s="21" t="n">
        <f aca="false">2_Matriz_decision!N294/N$5</f>
        <v>0.0560490217345168</v>
      </c>
      <c r="O295" s="21" t="n">
        <f aca="false">2_Matriz_decision!O294/O$5</f>
        <v>0.0304431282773992</v>
      </c>
      <c r="P295" s="21" t="n">
        <f aca="false">2_Matriz_decision!P294/P$5</f>
        <v>0.0264720767589686</v>
      </c>
      <c r="Q295" s="21" t="n">
        <f aca="false">2_Matriz_decision!Q294/Q$5</f>
        <v>0.066946942810462</v>
      </c>
    </row>
    <row r="296" customFormat="false" ht="15" hidden="false" customHeight="false" outlineLevel="0" collapsed="false">
      <c r="A296" s="15" t="n">
        <f aca="false">2_Matriz_decision!A295</f>
        <v>291</v>
      </c>
      <c r="B296" s="16" t="n">
        <f aca="false">2_Matriz_decision!B295</f>
        <v>29.355</v>
      </c>
      <c r="C296" s="21" t="n">
        <f aca="false">2_Matriz_decision!C295/C$5</f>
        <v>0.0439697451539424</v>
      </c>
      <c r="D296" s="21" t="n">
        <f aca="false">2_Matriz_decision!D295/D$5</f>
        <v>0.0334918645582358</v>
      </c>
      <c r="E296" s="21" t="n">
        <f aca="false">2_Matriz_decision!E295/E$5</f>
        <v>0.0400721949850431</v>
      </c>
      <c r="F296" s="21" t="n">
        <f aca="false">2_Matriz_decision!F295/F$5</f>
        <v>0.0494057638940627</v>
      </c>
      <c r="G296" s="21" t="n">
        <f aca="false">2_Matriz_decision!G295/G$5</f>
        <v>0.0411149420220302</v>
      </c>
      <c r="H296" s="21" t="n">
        <f aca="false">2_Matriz_decision!H295/H$5</f>
        <v>0.0384268159034261</v>
      </c>
      <c r="I296" s="21" t="n">
        <f aca="false">2_Matriz_decision!I295/I$5</f>
        <v>0.0148184741491462</v>
      </c>
      <c r="J296" s="21" t="n">
        <f aca="false">2_Matriz_decision!J295/J$5</f>
        <v>0.0351992440847949</v>
      </c>
      <c r="K296" s="21" t="n">
        <f aca="false">2_Matriz_decision!K295/K$5</f>
        <v>0.039014903418414</v>
      </c>
      <c r="L296" s="21" t="n">
        <f aca="false">2_Matriz_decision!L295/L$5</f>
        <v>0.0246167211918689</v>
      </c>
      <c r="M296" s="21" t="n">
        <f aca="false">2_Matriz_decision!M295/M$5</f>
        <v>0.0352729119694677</v>
      </c>
      <c r="N296" s="21" t="n">
        <f aca="false">2_Matriz_decision!N295/N$5</f>
        <v>0.0560490217345168</v>
      </c>
      <c r="O296" s="21" t="n">
        <f aca="false">2_Matriz_decision!O295/O$5</f>
        <v>0.0304431282773992</v>
      </c>
      <c r="P296" s="21" t="n">
        <f aca="false">2_Matriz_decision!P295/P$5</f>
        <v>0.0264720767589686</v>
      </c>
      <c r="Q296" s="21" t="n">
        <f aca="false">2_Matriz_decision!Q295/Q$5</f>
        <v>0.0133893885620924</v>
      </c>
    </row>
    <row r="297" customFormat="false" ht="15" hidden="false" customHeight="false" outlineLevel="0" collapsed="false">
      <c r="A297" s="15" t="n">
        <f aca="false">2_Matriz_decision!A296</f>
        <v>292</v>
      </c>
      <c r="B297" s="16" t="n">
        <f aca="false">2_Matriz_decision!B296</f>
        <v>29.453</v>
      </c>
      <c r="C297" s="21" t="n">
        <f aca="false">2_Matriz_decision!C296/C$5</f>
        <v>0.0439697451539424</v>
      </c>
      <c r="D297" s="21" t="n">
        <f aca="false">2_Matriz_decision!D296/D$5</f>
        <v>0.0334918645582358</v>
      </c>
      <c r="E297" s="21" t="n">
        <f aca="false">2_Matriz_decision!E296/E$5</f>
        <v>0.0400721949850431</v>
      </c>
      <c r="F297" s="21" t="n">
        <f aca="false">2_Matriz_decision!F296/F$5</f>
        <v>0.0494057638940627</v>
      </c>
      <c r="G297" s="21" t="n">
        <f aca="false">2_Matriz_decision!G296/G$5</f>
        <v>0.0411149420220302</v>
      </c>
      <c r="H297" s="21" t="n">
        <f aca="false">2_Matriz_decision!H296/H$5</f>
        <v>0.0384268159034261</v>
      </c>
      <c r="I297" s="21" t="n">
        <f aca="false">2_Matriz_decision!I296/I$5</f>
        <v>0.0148184741491462</v>
      </c>
      <c r="J297" s="21" t="n">
        <f aca="false">2_Matriz_decision!J296/J$5</f>
        <v>0.0351992440847949</v>
      </c>
      <c r="K297" s="21" t="n">
        <f aca="false">2_Matriz_decision!K296/K$5</f>
        <v>0.039014903418414</v>
      </c>
      <c r="L297" s="21" t="n">
        <f aca="false">2_Matriz_decision!L296/L$5</f>
        <v>0.0353405725747472</v>
      </c>
      <c r="M297" s="21" t="n">
        <f aca="false">2_Matriz_decision!M296/M$5</f>
        <v>0.0304453947346862</v>
      </c>
      <c r="N297" s="21" t="n">
        <f aca="false">2_Matriz_decision!N296/N$5</f>
        <v>0.0560490217345168</v>
      </c>
      <c r="O297" s="21" t="n">
        <f aca="false">2_Matriz_decision!O296/O$5</f>
        <v>0.0304431282773992</v>
      </c>
      <c r="P297" s="21" t="n">
        <f aca="false">2_Matriz_decision!P296/P$5</f>
        <v>0.0264720767589686</v>
      </c>
      <c r="Q297" s="21" t="n">
        <f aca="false">2_Matriz_decision!Q296/Q$5</f>
        <v>0.066946942810462</v>
      </c>
    </row>
    <row r="298" customFormat="false" ht="15" hidden="false" customHeight="false" outlineLevel="0" collapsed="false">
      <c r="A298" s="15" t="n">
        <f aca="false">2_Matriz_decision!A297</f>
        <v>293</v>
      </c>
      <c r="B298" s="16" t="n">
        <f aca="false">2_Matriz_decision!B297</f>
        <v>29.552</v>
      </c>
      <c r="C298" s="21" t="n">
        <f aca="false">2_Matriz_decision!C297/C$5</f>
        <v>0.0439697451539424</v>
      </c>
      <c r="D298" s="21" t="n">
        <f aca="false">2_Matriz_decision!D297/D$5</f>
        <v>0.0334918645582358</v>
      </c>
      <c r="E298" s="21" t="n">
        <f aca="false">2_Matriz_decision!E297/E$5</f>
        <v>0.0400721949850431</v>
      </c>
      <c r="F298" s="21" t="n">
        <f aca="false">2_Matriz_decision!F297/F$5</f>
        <v>0.0494057638940627</v>
      </c>
      <c r="G298" s="21" t="n">
        <f aca="false">2_Matriz_decision!G297/G$5</f>
        <v>0.0411149420220302</v>
      </c>
      <c r="H298" s="21" t="n">
        <f aca="false">2_Matriz_decision!H297/H$5</f>
        <v>0.0384268159034261</v>
      </c>
      <c r="I298" s="21" t="n">
        <f aca="false">2_Matriz_decision!I297/I$5</f>
        <v>0.0148184741491462</v>
      </c>
      <c r="J298" s="21" t="n">
        <f aca="false">2_Matriz_decision!J297/J$5</f>
        <v>0.0351992440847949</v>
      </c>
      <c r="K298" s="21" t="n">
        <f aca="false">2_Matriz_decision!K297/K$5</f>
        <v>0.039014903418414</v>
      </c>
      <c r="L298" s="21" t="n">
        <f aca="false">2_Matriz_decision!L297/L$5</f>
        <v>0.0379747355702921</v>
      </c>
      <c r="M298" s="21" t="n">
        <f aca="false">2_Matriz_decision!M297/M$5</f>
        <v>0.0306442398381784</v>
      </c>
      <c r="N298" s="21" t="n">
        <f aca="false">2_Matriz_decision!N297/N$5</f>
        <v>0.0448392173876134</v>
      </c>
      <c r="O298" s="21" t="n">
        <f aca="false">2_Matriz_decision!O297/O$5</f>
        <v>0.0304431282773992</v>
      </c>
      <c r="P298" s="21" t="n">
        <f aca="false">2_Matriz_decision!P297/P$5</f>
        <v>0.0264720767589686</v>
      </c>
      <c r="Q298" s="21" t="n">
        <f aca="false">2_Matriz_decision!Q297/Q$5</f>
        <v>0.066946942810462</v>
      </c>
    </row>
    <row r="299" customFormat="false" ht="15" hidden="false" customHeight="false" outlineLevel="0" collapsed="false">
      <c r="A299" s="15" t="n">
        <f aca="false">2_Matriz_decision!A298</f>
        <v>294</v>
      </c>
      <c r="B299" s="16" t="n">
        <f aca="false">2_Matriz_decision!B298</f>
        <v>29.65</v>
      </c>
      <c r="C299" s="21" t="n">
        <f aca="false">2_Matriz_decision!C298/C$5</f>
        <v>0.0439697451539424</v>
      </c>
      <c r="D299" s="21" t="n">
        <f aca="false">2_Matriz_decision!D298/D$5</f>
        <v>0.0334918645582358</v>
      </c>
      <c r="E299" s="21" t="n">
        <f aca="false">2_Matriz_decision!E298/E$5</f>
        <v>0.0400721949850431</v>
      </c>
      <c r="F299" s="21" t="n">
        <f aca="false">2_Matriz_decision!F298/F$5</f>
        <v>0.0494057638940627</v>
      </c>
      <c r="G299" s="21" t="n">
        <f aca="false">2_Matriz_decision!G298/G$5</f>
        <v>0.0411149420220302</v>
      </c>
      <c r="H299" s="21" t="n">
        <f aca="false">2_Matriz_decision!H298/H$5</f>
        <v>0.0384268159034261</v>
      </c>
      <c r="I299" s="21" t="n">
        <f aca="false">2_Matriz_decision!I298/I$5</f>
        <v>0.0148184741491462</v>
      </c>
      <c r="J299" s="21" t="n">
        <f aca="false">2_Matriz_decision!J298/J$5</f>
        <v>0.0351992440847949</v>
      </c>
      <c r="K299" s="21" t="n">
        <f aca="false">2_Matriz_decision!K298/K$5</f>
        <v>0.039014903418414</v>
      </c>
      <c r="L299" s="21" t="n">
        <f aca="false">2_Matriz_decision!L298/L$5</f>
        <v>0.0439918591641764</v>
      </c>
      <c r="M299" s="21" t="n">
        <f aca="false">2_Matriz_decision!M298/M$5</f>
        <v>0.0268330420212456</v>
      </c>
      <c r="N299" s="21" t="n">
        <f aca="false">2_Matriz_decision!N298/N$5</f>
        <v>0.0448392173876134</v>
      </c>
      <c r="O299" s="21" t="n">
        <f aca="false">2_Matriz_decision!O298/O$5</f>
        <v>0.0304431282773992</v>
      </c>
      <c r="P299" s="21" t="n">
        <f aca="false">2_Matriz_decision!P298/P$5</f>
        <v>0.0264720767589686</v>
      </c>
      <c r="Q299" s="21" t="n">
        <f aca="false">2_Matriz_decision!Q298/Q$5</f>
        <v>0.066946942810462</v>
      </c>
    </row>
    <row r="300" customFormat="false" ht="15" hidden="false" customHeight="false" outlineLevel="0" collapsed="false">
      <c r="A300" s="15" t="n">
        <f aca="false">2_Matriz_decision!A299</f>
        <v>295</v>
      </c>
      <c r="B300" s="16" t="n">
        <f aca="false">2_Matriz_decision!B299</f>
        <v>29.749</v>
      </c>
      <c r="C300" s="21" t="n">
        <f aca="false">2_Matriz_decision!C299/C$5</f>
        <v>0.0439697451539424</v>
      </c>
      <c r="D300" s="21" t="n">
        <f aca="false">2_Matriz_decision!D299/D$5</f>
        <v>0.0334918645582358</v>
      </c>
      <c r="E300" s="21" t="n">
        <f aca="false">2_Matriz_decision!E299/E$5</f>
        <v>0.0400721949850431</v>
      </c>
      <c r="F300" s="21" t="n">
        <f aca="false">2_Matriz_decision!F299/F$5</f>
        <v>0.0494057638940627</v>
      </c>
      <c r="G300" s="21" t="n">
        <f aca="false">2_Matriz_decision!G299/G$5</f>
        <v>0.0411149420220302</v>
      </c>
      <c r="H300" s="21" t="n">
        <f aca="false">2_Matriz_decision!H299/H$5</f>
        <v>0.0384268159034261</v>
      </c>
      <c r="I300" s="21" t="n">
        <f aca="false">2_Matriz_decision!I299/I$5</f>
        <v>0.0148184741491462</v>
      </c>
      <c r="J300" s="21" t="n">
        <f aca="false">2_Matriz_decision!J299/J$5</f>
        <v>0.0351992440847949</v>
      </c>
      <c r="K300" s="21" t="n">
        <f aca="false">2_Matriz_decision!K299/K$5</f>
        <v>0.039014903418414</v>
      </c>
      <c r="L300" s="21" t="n">
        <f aca="false">2_Matriz_decision!L299/L$5</f>
        <v>0.0427349489023428</v>
      </c>
      <c r="M300" s="21" t="n">
        <f aca="false">2_Matriz_decision!M299/M$5</f>
        <v>0.0248335440361301</v>
      </c>
      <c r="N300" s="21" t="n">
        <f aca="false">2_Matriz_decision!N299/N$5</f>
        <v>0.0448392173876134</v>
      </c>
      <c r="O300" s="21" t="n">
        <f aca="false">2_Matriz_decision!O299/O$5</f>
        <v>0.0304431282773992</v>
      </c>
      <c r="P300" s="21" t="n">
        <f aca="false">2_Matriz_decision!P299/P$5</f>
        <v>0.0264720767589686</v>
      </c>
      <c r="Q300" s="21" t="n">
        <f aca="false">2_Matriz_decision!Q299/Q$5</f>
        <v>0.0535575542483696</v>
      </c>
    </row>
    <row r="301" customFormat="false" ht="15" hidden="false" customHeight="false" outlineLevel="0" collapsed="false">
      <c r="A301" s="15" t="n">
        <f aca="false">2_Matriz_decision!A300</f>
        <v>296</v>
      </c>
      <c r="B301" s="16" t="n">
        <f aca="false">2_Matriz_decision!B300</f>
        <v>29.847</v>
      </c>
      <c r="C301" s="21" t="n">
        <f aca="false">2_Matriz_decision!C300/C$5</f>
        <v>0.0439697451539424</v>
      </c>
      <c r="D301" s="21" t="n">
        <f aca="false">2_Matriz_decision!D300/D$5</f>
        <v>0.0334918645582358</v>
      </c>
      <c r="E301" s="21" t="n">
        <f aca="false">2_Matriz_decision!E300/E$5</f>
        <v>0.0400721949850431</v>
      </c>
      <c r="F301" s="21" t="n">
        <f aca="false">2_Matriz_decision!F300/F$5</f>
        <v>0.0494057638940627</v>
      </c>
      <c r="G301" s="21" t="n">
        <f aca="false">2_Matriz_decision!G300/G$5</f>
        <v>0.0411149420220302</v>
      </c>
      <c r="H301" s="21" t="n">
        <f aca="false">2_Matriz_decision!H300/H$5</f>
        <v>0.0384268159034261</v>
      </c>
      <c r="I301" s="21" t="n">
        <f aca="false">2_Matriz_decision!I300/I$5</f>
        <v>0.0148184741491462</v>
      </c>
      <c r="J301" s="21" t="n">
        <f aca="false">2_Matriz_decision!J300/J$5</f>
        <v>0.0351992440847949</v>
      </c>
      <c r="K301" s="21" t="n">
        <f aca="false">2_Matriz_decision!K300/K$5</f>
        <v>0.039014903418414</v>
      </c>
      <c r="L301" s="21" t="n">
        <f aca="false">2_Matriz_decision!L300/L$5</f>
        <v>0.0404751847081951</v>
      </c>
      <c r="M301" s="21" t="n">
        <f aca="false">2_Matriz_decision!M300/M$5</f>
        <v>0.0262365067107691</v>
      </c>
      <c r="N301" s="21" t="n">
        <f aca="false">2_Matriz_decision!N300/N$5</f>
        <v>0.0448392173876134</v>
      </c>
      <c r="O301" s="21" t="n">
        <f aca="false">2_Matriz_decision!O300/O$5</f>
        <v>0.0304431282773992</v>
      </c>
      <c r="P301" s="21" t="n">
        <f aca="false">2_Matriz_decision!P300/P$5</f>
        <v>0.0264720767589686</v>
      </c>
      <c r="Q301" s="21" t="n">
        <f aca="false">2_Matriz_decision!Q300/Q$5</f>
        <v>0.066946942810462</v>
      </c>
    </row>
    <row r="302" customFormat="false" ht="15" hidden="false" customHeight="false" outlineLevel="0" collapsed="false">
      <c r="A302" s="15" t="n">
        <f aca="false">2_Matriz_decision!A301</f>
        <v>297</v>
      </c>
      <c r="B302" s="16" t="n">
        <f aca="false">2_Matriz_decision!B301</f>
        <v>29.946</v>
      </c>
      <c r="C302" s="21" t="n">
        <f aca="false">2_Matriz_decision!C301/C$5</f>
        <v>0.0439697451539424</v>
      </c>
      <c r="D302" s="21" t="n">
        <f aca="false">2_Matriz_decision!D301/D$5</f>
        <v>0.0334918645582358</v>
      </c>
      <c r="E302" s="21" t="n">
        <f aca="false">2_Matriz_decision!E301/E$5</f>
        <v>0.0400721949850431</v>
      </c>
      <c r="F302" s="21" t="n">
        <f aca="false">2_Matriz_decision!F301/F$5</f>
        <v>0.0395246111152501</v>
      </c>
      <c r="G302" s="21" t="n">
        <f aca="false">2_Matriz_decision!G301/G$5</f>
        <v>0.0411149420220302</v>
      </c>
      <c r="H302" s="21" t="n">
        <f aca="false">2_Matriz_decision!H301/H$5</f>
        <v>0.0384268159034261</v>
      </c>
      <c r="I302" s="21" t="n">
        <f aca="false">2_Matriz_decision!I301/I$5</f>
        <v>0.0148184741491462</v>
      </c>
      <c r="J302" s="21" t="n">
        <f aca="false">2_Matriz_decision!J301/J$5</f>
        <v>0.0351992440847949</v>
      </c>
      <c r="K302" s="21" t="n">
        <f aca="false">2_Matriz_decision!K301/K$5</f>
        <v>0.039014903418414</v>
      </c>
      <c r="L302" s="21" t="n">
        <f aca="false">2_Matriz_decision!L301/L$5</f>
        <v>0.0223034714546645</v>
      </c>
      <c r="M302" s="21" t="n">
        <f aca="false">2_Matriz_decision!M301/M$5</f>
        <v>0.0284790376001528</v>
      </c>
      <c r="N302" s="21" t="n">
        <f aca="false">2_Matriz_decision!N301/N$5</f>
        <v>0.0448392173876134</v>
      </c>
      <c r="O302" s="21" t="n">
        <f aca="false">2_Matriz_decision!O301/O$5</f>
        <v>0.0304431282773992</v>
      </c>
      <c r="P302" s="21" t="n">
        <f aca="false">2_Matriz_decision!P301/P$5</f>
        <v>0.0264720767589686</v>
      </c>
      <c r="Q302" s="21" t="n">
        <f aca="false">2_Matriz_decision!Q301/Q$5</f>
        <v>0.066946942810462</v>
      </c>
    </row>
    <row r="303" customFormat="false" ht="15" hidden="false" customHeight="false" outlineLevel="0" collapsed="false">
      <c r="A303" s="15" t="n">
        <f aca="false">2_Matriz_decision!A302</f>
        <v>298</v>
      </c>
      <c r="B303" s="16" t="n">
        <f aca="false">2_Matriz_decision!B302</f>
        <v>30.044</v>
      </c>
      <c r="C303" s="21" t="n">
        <f aca="false">2_Matriz_decision!C302/C$5</f>
        <v>0.0439697451539424</v>
      </c>
      <c r="D303" s="21" t="n">
        <f aca="false">2_Matriz_decision!D302/D$5</f>
        <v>0.0334918645582358</v>
      </c>
      <c r="E303" s="21" t="n">
        <f aca="false">2_Matriz_decision!E302/E$5</f>
        <v>0.0400721949850431</v>
      </c>
      <c r="F303" s="21" t="n">
        <f aca="false">2_Matriz_decision!F302/F$5</f>
        <v>0.0395246111152501</v>
      </c>
      <c r="G303" s="21" t="n">
        <f aca="false">2_Matriz_decision!G302/G$5</f>
        <v>0.0411149420220302</v>
      </c>
      <c r="H303" s="21" t="n">
        <f aca="false">2_Matriz_decision!H302/H$5</f>
        <v>0.0384268159034261</v>
      </c>
      <c r="I303" s="21" t="n">
        <f aca="false">2_Matriz_decision!I302/I$5</f>
        <v>0.0148184741491462</v>
      </c>
      <c r="J303" s="21" t="n">
        <f aca="false">2_Matriz_decision!J302/J$5</f>
        <v>0.0351992440847949</v>
      </c>
      <c r="K303" s="21" t="n">
        <f aca="false">2_Matriz_decision!K302/K$5</f>
        <v>0.039014903418414</v>
      </c>
      <c r="L303" s="21" t="n">
        <f aca="false">2_Matriz_decision!L302/L$5</f>
        <v>0.026689285985318</v>
      </c>
      <c r="M303" s="21" t="n">
        <f aca="false">2_Matriz_decision!M302/M$5</f>
        <v>0.0362339966363464</v>
      </c>
      <c r="N303" s="21" t="n">
        <f aca="false">2_Matriz_decision!N302/N$5</f>
        <v>0.0336294130407101</v>
      </c>
      <c r="O303" s="21" t="n">
        <f aca="false">2_Matriz_decision!O302/O$5</f>
        <v>0.0304431282773992</v>
      </c>
      <c r="P303" s="21" t="n">
        <f aca="false">2_Matriz_decision!P302/P$5</f>
        <v>0.0264720767589686</v>
      </c>
      <c r="Q303" s="21" t="n">
        <f aca="false">2_Matriz_decision!Q302/Q$5</f>
        <v>0.0133893885620924</v>
      </c>
    </row>
    <row r="304" customFormat="false" ht="15" hidden="false" customHeight="false" outlineLevel="0" collapsed="false">
      <c r="A304" s="15" t="n">
        <f aca="false">2_Matriz_decision!A303</f>
        <v>299</v>
      </c>
      <c r="B304" s="16" t="n">
        <f aca="false">2_Matriz_decision!B303</f>
        <v>30.143</v>
      </c>
      <c r="C304" s="21" t="n">
        <f aca="false">2_Matriz_decision!C303/C$5</f>
        <v>0.0439697451539424</v>
      </c>
      <c r="D304" s="21" t="n">
        <f aca="false">2_Matriz_decision!D303/D$5</f>
        <v>0.0334918645582358</v>
      </c>
      <c r="E304" s="21" t="n">
        <f aca="false">2_Matriz_decision!E303/E$5</f>
        <v>0.0400721949850431</v>
      </c>
      <c r="F304" s="21" t="n">
        <f aca="false">2_Matriz_decision!F303/F$5</f>
        <v>0.0395246111152501</v>
      </c>
      <c r="G304" s="21" t="n">
        <f aca="false">2_Matriz_decision!G303/G$5</f>
        <v>0.0411149420220302</v>
      </c>
      <c r="H304" s="21" t="n">
        <f aca="false">2_Matriz_decision!H303/H$5</f>
        <v>0.0384268159034261</v>
      </c>
      <c r="I304" s="21" t="n">
        <f aca="false">2_Matriz_decision!I303/I$5</f>
        <v>0.0148184741491462</v>
      </c>
      <c r="J304" s="21" t="n">
        <f aca="false">2_Matriz_decision!J303/J$5</f>
        <v>0.0351992440847949</v>
      </c>
      <c r="K304" s="21" t="n">
        <f aca="false">2_Matriz_decision!K303/K$5</f>
        <v>0.039014903418414</v>
      </c>
      <c r="L304" s="21" t="n">
        <f aca="false">2_Matriz_decision!L303/L$5</f>
        <v>0.0340569195413852</v>
      </c>
      <c r="M304" s="21" t="n">
        <f aca="false">2_Matriz_decision!M303/M$5</f>
        <v>0.0365764520923607</v>
      </c>
      <c r="N304" s="21" t="n">
        <f aca="false">2_Matriz_decision!N303/N$5</f>
        <v>0.0336294130407101</v>
      </c>
      <c r="O304" s="21" t="n">
        <f aca="false">2_Matriz_decision!O303/O$5</f>
        <v>0.0304431282773992</v>
      </c>
      <c r="P304" s="21" t="n">
        <f aca="false">2_Matriz_decision!P303/P$5</f>
        <v>0.0264720767589686</v>
      </c>
      <c r="Q304" s="21" t="n">
        <f aca="false">2_Matriz_decision!Q303/Q$5</f>
        <v>0.0267787771241848</v>
      </c>
    </row>
    <row r="305" customFormat="false" ht="15" hidden="false" customHeight="false" outlineLevel="0" collapsed="false">
      <c r="A305" s="15" t="n">
        <f aca="false">2_Matriz_decision!A304</f>
        <v>300</v>
      </c>
      <c r="B305" s="16" t="n">
        <f aca="false">2_Matriz_decision!B304</f>
        <v>30.243</v>
      </c>
      <c r="C305" s="21" t="n">
        <f aca="false">2_Matriz_decision!C304/C$5</f>
        <v>0.0439697451539424</v>
      </c>
      <c r="D305" s="21" t="n">
        <f aca="false">2_Matriz_decision!D304/D$5</f>
        <v>0.0334918645582358</v>
      </c>
      <c r="E305" s="21" t="n">
        <f aca="false">2_Matriz_decision!E304/E$5</f>
        <v>0.0300541462387823</v>
      </c>
      <c r="F305" s="21" t="n">
        <f aca="false">2_Matriz_decision!F304/F$5</f>
        <v>0.0395246111152501</v>
      </c>
      <c r="G305" s="21" t="n">
        <f aca="false">2_Matriz_decision!G304/G$5</f>
        <v>0.0411149420220302</v>
      </c>
      <c r="H305" s="21" t="n">
        <f aca="false">2_Matriz_decision!H304/H$5</f>
        <v>0.0384268159034261</v>
      </c>
      <c r="I305" s="21" t="n">
        <f aca="false">2_Matriz_decision!I304/I$5</f>
        <v>0.0148184741491462</v>
      </c>
      <c r="J305" s="21" t="n">
        <f aca="false">2_Matriz_decision!J304/J$5</f>
        <v>0.0351992440847949</v>
      </c>
      <c r="K305" s="21" t="n">
        <f aca="false">2_Matriz_decision!K304/K$5</f>
        <v>0.039014903418414</v>
      </c>
      <c r="L305" s="21" t="n">
        <f aca="false">2_Matriz_decision!L304/L$5</f>
        <v>0.0306204733999891</v>
      </c>
      <c r="M305" s="21" t="n">
        <f aca="false">2_Matriz_decision!M304/M$5</f>
        <v>0.0286999766040329</v>
      </c>
      <c r="N305" s="21" t="n">
        <f aca="false">2_Matriz_decision!N304/N$5</f>
        <v>0.0336294130407101</v>
      </c>
      <c r="O305" s="21" t="n">
        <f aca="false">2_Matriz_decision!O304/O$5</f>
        <v>0.0304431282773992</v>
      </c>
      <c r="P305" s="21" t="n">
        <f aca="false">2_Matriz_decision!P304/P$5</f>
        <v>0.0264720767589686</v>
      </c>
      <c r="Q305" s="21" t="n">
        <f aca="false">2_Matriz_decision!Q304/Q$5</f>
        <v>0.066946942810462</v>
      </c>
    </row>
    <row r="306" customFormat="false" ht="15" hidden="false" customHeight="false" outlineLevel="0" collapsed="false">
      <c r="A306" s="15" t="n">
        <f aca="false">2_Matriz_decision!A305</f>
        <v>301</v>
      </c>
      <c r="B306" s="16" t="n">
        <f aca="false">2_Matriz_decision!B305</f>
        <v>30.342</v>
      </c>
      <c r="C306" s="21" t="n">
        <f aca="false">2_Matriz_decision!C305/C$5</f>
        <v>0.0439697451539424</v>
      </c>
      <c r="D306" s="21" t="n">
        <f aca="false">2_Matriz_decision!D305/D$5</f>
        <v>0.0334918645582358</v>
      </c>
      <c r="E306" s="21" t="n">
        <f aca="false">2_Matriz_decision!E305/E$5</f>
        <v>0.0300541462387823</v>
      </c>
      <c r="F306" s="21" t="n">
        <f aca="false">2_Matriz_decision!F305/F$5</f>
        <v>0.0296434583364376</v>
      </c>
      <c r="G306" s="21" t="n">
        <f aca="false">2_Matriz_decision!G305/G$5</f>
        <v>0.0411149420220302</v>
      </c>
      <c r="H306" s="21" t="n">
        <f aca="false">2_Matriz_decision!H305/H$5</f>
        <v>0.0384268159034261</v>
      </c>
      <c r="I306" s="21" t="n">
        <f aca="false">2_Matriz_decision!I305/I$5</f>
        <v>0.0148184741491462</v>
      </c>
      <c r="J306" s="21" t="n">
        <f aca="false">2_Matriz_decision!J305/J$5</f>
        <v>0.0351992440847949</v>
      </c>
      <c r="K306" s="21" t="n">
        <f aca="false">2_Matriz_decision!K305/K$5</f>
        <v>0.039014903418414</v>
      </c>
      <c r="L306" s="21" t="n">
        <f aca="false">2_Matriz_decision!L305/L$5</f>
        <v>0.0350062879306425</v>
      </c>
      <c r="M306" s="21" t="n">
        <f aca="false">2_Matriz_decision!M305/M$5</f>
        <v>0.0348420809119014</v>
      </c>
      <c r="N306" s="21" t="n">
        <f aca="false">2_Matriz_decision!N305/N$5</f>
        <v>0.0336294130407101</v>
      </c>
      <c r="O306" s="21" t="n">
        <f aca="false">2_Matriz_decision!O305/O$5</f>
        <v>0.0304431282773992</v>
      </c>
      <c r="P306" s="21" t="n">
        <f aca="false">2_Matriz_decision!P305/P$5</f>
        <v>0.0264720767589686</v>
      </c>
      <c r="Q306" s="21" t="n">
        <f aca="false">2_Matriz_decision!Q305/Q$5</f>
        <v>0.0133893885620924</v>
      </c>
    </row>
    <row r="307" customFormat="false" ht="15" hidden="false" customHeight="false" outlineLevel="0" collapsed="false">
      <c r="A307" s="15" t="n">
        <f aca="false">2_Matriz_decision!A306</f>
        <v>302</v>
      </c>
      <c r="B307" s="16" t="n">
        <f aca="false">2_Matriz_decision!B306</f>
        <v>30.441</v>
      </c>
      <c r="C307" s="21" t="n">
        <f aca="false">2_Matriz_decision!C306/C$5</f>
        <v>0.0439697451539424</v>
      </c>
      <c r="D307" s="21" t="n">
        <f aca="false">2_Matriz_decision!D306/D$5</f>
        <v>0.0334918645582358</v>
      </c>
      <c r="E307" s="21" t="n">
        <f aca="false">2_Matriz_decision!E306/E$5</f>
        <v>0.0300541462387823</v>
      </c>
      <c r="F307" s="21" t="n">
        <f aca="false">2_Matriz_decision!F306/F$5</f>
        <v>0.0296434583364376</v>
      </c>
      <c r="G307" s="21" t="n">
        <f aca="false">2_Matriz_decision!G306/G$5</f>
        <v>0.0411149420220302</v>
      </c>
      <c r="H307" s="21" t="n">
        <f aca="false">2_Matriz_decision!H306/H$5</f>
        <v>0.0384268159034261</v>
      </c>
      <c r="I307" s="21" t="n">
        <f aca="false">2_Matriz_decision!I306/I$5</f>
        <v>0.0148184741491462</v>
      </c>
      <c r="J307" s="21" t="n">
        <f aca="false">2_Matriz_decision!J306/J$5</f>
        <v>0.0351992440847949</v>
      </c>
      <c r="K307" s="21" t="n">
        <f aca="false">2_Matriz_decision!K306/K$5</f>
        <v>0.039014903418414</v>
      </c>
      <c r="L307" s="21" t="n">
        <f aca="false">2_Matriz_decision!L306/L$5</f>
        <v>0.0385229623866238</v>
      </c>
      <c r="M307" s="21" t="n">
        <f aca="false">2_Matriz_decision!M306/M$5</f>
        <v>0.0359578228814962</v>
      </c>
      <c r="N307" s="21" t="n">
        <f aca="false">2_Matriz_decision!N306/N$5</f>
        <v>0.0336294130407101</v>
      </c>
      <c r="O307" s="21" t="n">
        <f aca="false">2_Matriz_decision!O306/O$5</f>
        <v>0.0304431282773992</v>
      </c>
      <c r="P307" s="21" t="n">
        <f aca="false">2_Matriz_decision!P306/P$5</f>
        <v>0.0264720767589686</v>
      </c>
      <c r="Q307" s="21" t="n">
        <f aca="false">2_Matriz_decision!Q306/Q$5</f>
        <v>0.0133893885620924</v>
      </c>
    </row>
    <row r="308" customFormat="false" ht="15" hidden="false" customHeight="false" outlineLevel="0" collapsed="false">
      <c r="A308" s="15" t="n">
        <f aca="false">2_Matriz_decision!A307</f>
        <v>303</v>
      </c>
      <c r="B308" s="16" t="n">
        <f aca="false">2_Matriz_decision!B307</f>
        <v>30.541</v>
      </c>
      <c r="C308" s="21" t="n">
        <f aca="false">2_Matriz_decision!C307/C$5</f>
        <v>0.0439697451539424</v>
      </c>
      <c r="D308" s="21" t="n">
        <f aca="false">2_Matriz_decision!D307/D$5</f>
        <v>0.0334918645582358</v>
      </c>
      <c r="E308" s="21" t="n">
        <f aca="false">2_Matriz_decision!E307/E$5</f>
        <v>0.0200360974925215</v>
      </c>
      <c r="F308" s="21" t="n">
        <f aca="false">2_Matriz_decision!F307/F$5</f>
        <v>0.0296434583364376</v>
      </c>
      <c r="G308" s="21" t="n">
        <f aca="false">2_Matriz_decision!G307/G$5</f>
        <v>0.0411149420220302</v>
      </c>
      <c r="H308" s="21" t="n">
        <f aca="false">2_Matriz_decision!H307/H$5</f>
        <v>0.0384268159034261</v>
      </c>
      <c r="I308" s="21" t="n">
        <f aca="false">2_Matriz_decision!I307/I$5</f>
        <v>0.0148184741491462</v>
      </c>
      <c r="J308" s="21" t="n">
        <f aca="false">2_Matriz_decision!J307/J$5</f>
        <v>0.0351992440847949</v>
      </c>
      <c r="K308" s="21" t="n">
        <f aca="false">2_Matriz_decision!K307/K$5</f>
        <v>0.039014903418414</v>
      </c>
      <c r="L308" s="21" t="n">
        <f aca="false">2_Matriz_decision!L307/L$5</f>
        <v>0.04524876942601</v>
      </c>
      <c r="M308" s="21" t="n">
        <f aca="false">2_Matriz_decision!M307/M$5</f>
        <v>0.0286336949028689</v>
      </c>
      <c r="N308" s="21" t="n">
        <f aca="false">2_Matriz_decision!N307/N$5</f>
        <v>0.0336294130407101</v>
      </c>
      <c r="O308" s="21" t="n">
        <f aca="false">2_Matriz_decision!O307/O$5</f>
        <v>0.0304431282773992</v>
      </c>
      <c r="P308" s="21" t="n">
        <f aca="false">2_Matriz_decision!P307/P$5</f>
        <v>0.0264720767589686</v>
      </c>
      <c r="Q308" s="21" t="n">
        <f aca="false">2_Matriz_decision!Q307/Q$5</f>
        <v>0.0401681656862772</v>
      </c>
    </row>
    <row r="309" customFormat="false" ht="15" hidden="false" customHeight="false" outlineLevel="0" collapsed="false">
      <c r="A309" s="15" t="n">
        <f aca="false">2_Matriz_decision!A308</f>
        <v>304</v>
      </c>
      <c r="B309" s="16" t="n">
        <f aca="false">2_Matriz_decision!B308</f>
        <v>30.64</v>
      </c>
      <c r="C309" s="21" t="n">
        <f aca="false">2_Matriz_decision!C308/C$5</f>
        <v>0.0439697451539424</v>
      </c>
      <c r="D309" s="21" t="n">
        <f aca="false">2_Matriz_decision!D308/D$5</f>
        <v>0.0334918645582358</v>
      </c>
      <c r="E309" s="21" t="n">
        <f aca="false">2_Matriz_decision!E308/E$5</f>
        <v>0.0200360974925215</v>
      </c>
      <c r="F309" s="21" t="n">
        <f aca="false">2_Matriz_decision!F308/F$5</f>
        <v>0.0296434583364376</v>
      </c>
      <c r="G309" s="21" t="n">
        <f aca="false">2_Matriz_decision!G308/G$5</f>
        <v>0.0411149420220302</v>
      </c>
      <c r="H309" s="21" t="n">
        <f aca="false">2_Matriz_decision!H308/H$5</f>
        <v>0.0384268159034261</v>
      </c>
      <c r="I309" s="21" t="n">
        <f aca="false">2_Matriz_decision!I308/I$5</f>
        <v>0.0148184741491462</v>
      </c>
      <c r="J309" s="21" t="n">
        <f aca="false">2_Matriz_decision!J308/J$5</f>
        <v>0.0351992440847949</v>
      </c>
      <c r="K309" s="21" t="n">
        <f aca="false">2_Matriz_decision!K308/K$5</f>
        <v>0.039014903418414</v>
      </c>
      <c r="L309" s="21" t="n">
        <f aca="false">2_Matriz_decision!L308/L$5</f>
        <v>0.0464655655305511</v>
      </c>
      <c r="M309" s="21" t="n">
        <f aca="false">2_Matriz_decision!M308/M$5</f>
        <v>0.0270981688259018</v>
      </c>
      <c r="N309" s="21" t="n">
        <f aca="false">2_Matriz_decision!N308/N$5</f>
        <v>0.0336294130407101</v>
      </c>
      <c r="O309" s="21" t="n">
        <f aca="false">2_Matriz_decision!O308/O$5</f>
        <v>0.0304431282773992</v>
      </c>
      <c r="P309" s="21" t="n">
        <f aca="false">2_Matriz_decision!P308/P$5</f>
        <v>0.0264720767589686</v>
      </c>
      <c r="Q309" s="21" t="n">
        <f aca="false">2_Matriz_decision!Q308/Q$5</f>
        <v>0.0401681656862772</v>
      </c>
    </row>
    <row r="310" customFormat="false" ht="15" hidden="false" customHeight="false" outlineLevel="0" collapsed="false">
      <c r="A310" s="15" t="n">
        <f aca="false">2_Matriz_decision!A309</f>
        <v>305</v>
      </c>
      <c r="B310" s="16" t="n">
        <f aca="false">2_Matriz_decision!B309</f>
        <v>30.739</v>
      </c>
      <c r="C310" s="21" t="n">
        <f aca="false">2_Matriz_decision!C309/C$5</f>
        <v>0.0439697451539424</v>
      </c>
      <c r="D310" s="21" t="n">
        <f aca="false">2_Matriz_decision!D309/D$5</f>
        <v>0.0418648306977948</v>
      </c>
      <c r="E310" s="21" t="n">
        <f aca="false">2_Matriz_decision!E309/E$5</f>
        <v>0.0200360974925215</v>
      </c>
      <c r="F310" s="21" t="n">
        <f aca="false">2_Matriz_decision!F309/F$5</f>
        <v>0.0296434583364376</v>
      </c>
      <c r="G310" s="21" t="n">
        <f aca="false">2_Matriz_decision!G309/G$5</f>
        <v>0.0411149420220302</v>
      </c>
      <c r="H310" s="21" t="n">
        <f aca="false">2_Matriz_decision!H309/H$5</f>
        <v>0.0384268159034261</v>
      </c>
      <c r="I310" s="21" t="n">
        <f aca="false">2_Matriz_decision!I309/I$5</f>
        <v>0.0148184741491462</v>
      </c>
      <c r="J310" s="21" t="n">
        <f aca="false">2_Matriz_decision!J309/J$5</f>
        <v>0.0351992440847949</v>
      </c>
      <c r="K310" s="21" t="n">
        <f aca="false">2_Matriz_decision!K309/K$5</f>
        <v>0.039014903418414</v>
      </c>
      <c r="L310" s="21" t="n">
        <f aca="false">2_Matriz_decision!L309/L$5</f>
        <v>0.0397263871054007</v>
      </c>
      <c r="M310" s="21" t="n">
        <f aca="false">2_Matriz_decision!M309/M$5</f>
        <v>0.0300808453782839</v>
      </c>
      <c r="N310" s="21" t="n">
        <f aca="false">2_Matriz_decision!N309/N$5</f>
        <v>0.0336294130407101</v>
      </c>
      <c r="O310" s="21" t="n">
        <f aca="false">2_Matriz_decision!O309/O$5</f>
        <v>0.0304431282773992</v>
      </c>
      <c r="P310" s="21" t="n">
        <f aca="false">2_Matriz_decision!P309/P$5</f>
        <v>0.0264720767589686</v>
      </c>
      <c r="Q310" s="21" t="n">
        <f aca="false">2_Matriz_decision!Q309/Q$5</f>
        <v>0.0267787771241848</v>
      </c>
    </row>
    <row r="311" customFormat="false" ht="15" hidden="false" customHeight="false" outlineLevel="0" collapsed="false">
      <c r="A311" s="15" t="n">
        <f aca="false">2_Matriz_decision!A310</f>
        <v>306</v>
      </c>
      <c r="B311" s="16" t="n">
        <f aca="false">2_Matriz_decision!B310</f>
        <v>30.838</v>
      </c>
      <c r="C311" s="21" t="n">
        <f aca="false">2_Matriz_decision!C310/C$5</f>
        <v>0.0439697451539424</v>
      </c>
      <c r="D311" s="21" t="n">
        <f aca="false">2_Matriz_decision!D310/D$5</f>
        <v>0.0418648306977948</v>
      </c>
      <c r="E311" s="21" t="n">
        <f aca="false">2_Matriz_decision!E310/E$5</f>
        <v>0.0300541462387823</v>
      </c>
      <c r="F311" s="21" t="n">
        <f aca="false">2_Matriz_decision!F310/F$5</f>
        <v>0.0197623055576251</v>
      </c>
      <c r="G311" s="21" t="n">
        <f aca="false">2_Matriz_decision!G310/G$5</f>
        <v>0.0411149420220302</v>
      </c>
      <c r="H311" s="21" t="n">
        <f aca="false">2_Matriz_decision!H310/H$5</f>
        <v>0.0384268159034261</v>
      </c>
      <c r="I311" s="21" t="n">
        <f aca="false">2_Matriz_decision!I310/I$5</f>
        <v>0.0148184741491462</v>
      </c>
      <c r="J311" s="21" t="n">
        <f aca="false">2_Matriz_decision!J310/J$5</f>
        <v>0.0351992440847949</v>
      </c>
      <c r="K311" s="21" t="n">
        <f aca="false">2_Matriz_decision!K310/K$5</f>
        <v>0.039014903418414</v>
      </c>
      <c r="L311" s="21" t="n">
        <f aca="false">2_Matriz_decision!L310/L$5</f>
        <v>0.0345650322004243</v>
      </c>
      <c r="M311" s="21" t="n">
        <f aca="false">2_Matriz_decision!M310/M$5</f>
        <v>0.0337373858925006</v>
      </c>
      <c r="N311" s="21" t="n">
        <f aca="false">2_Matriz_decision!N310/N$5</f>
        <v>0.0336294130407101</v>
      </c>
      <c r="O311" s="21" t="n">
        <f aca="false">2_Matriz_decision!O310/O$5</f>
        <v>0.0304431282773992</v>
      </c>
      <c r="P311" s="21" t="n">
        <f aca="false">2_Matriz_decision!P310/P$5</f>
        <v>0.0264720767589686</v>
      </c>
      <c r="Q311" s="21" t="n">
        <f aca="false">2_Matriz_decision!Q310/Q$5</f>
        <v>0.0267787771241848</v>
      </c>
    </row>
    <row r="312" customFormat="false" ht="15" hidden="false" customHeight="false" outlineLevel="0" collapsed="false">
      <c r="A312" s="15" t="n">
        <f aca="false">2_Matriz_decision!A311</f>
        <v>307</v>
      </c>
      <c r="B312" s="16" t="n">
        <f aca="false">2_Matriz_decision!B311</f>
        <v>30.937</v>
      </c>
      <c r="C312" s="21" t="n">
        <f aca="false">2_Matriz_decision!C311/C$5</f>
        <v>0.0439697451539424</v>
      </c>
      <c r="D312" s="21" t="n">
        <f aca="false">2_Matriz_decision!D311/D$5</f>
        <v>0.0418648306977948</v>
      </c>
      <c r="E312" s="21" t="n">
        <f aca="false">2_Matriz_decision!E311/E$5</f>
        <v>0.0300541462387823</v>
      </c>
      <c r="F312" s="21" t="n">
        <f aca="false">2_Matriz_decision!F311/F$5</f>
        <v>0.0197623055576251</v>
      </c>
      <c r="G312" s="21" t="n">
        <f aca="false">2_Matriz_decision!G311/G$5</f>
        <v>0.0411149420220302</v>
      </c>
      <c r="H312" s="21" t="n">
        <f aca="false">2_Matriz_decision!H311/H$5</f>
        <v>0.0384268159034261</v>
      </c>
      <c r="I312" s="21" t="n">
        <f aca="false">2_Matriz_decision!I311/I$5</f>
        <v>0.0148184741491462</v>
      </c>
      <c r="J312" s="21" t="n">
        <f aca="false">2_Matriz_decision!J311/J$5</f>
        <v>0.0351992440847949</v>
      </c>
      <c r="K312" s="21" t="n">
        <f aca="false">2_Matriz_decision!K311/K$5</f>
        <v>0.039014903418414</v>
      </c>
      <c r="L312" s="21" t="n">
        <f aca="false">2_Matriz_decision!L311/L$5</f>
        <v>0.0296309908534392</v>
      </c>
      <c r="M312" s="21" t="n">
        <f aca="false">2_Matriz_decision!M311/M$5</f>
        <v>0.0391614384377586</v>
      </c>
      <c r="N312" s="21" t="n">
        <f aca="false">2_Matriz_decision!N311/N$5</f>
        <v>0.0336294130407101</v>
      </c>
      <c r="O312" s="21" t="n">
        <f aca="false">2_Matriz_decision!O311/O$5</f>
        <v>0.0304431282773992</v>
      </c>
      <c r="P312" s="21" t="n">
        <f aca="false">2_Matriz_decision!P311/P$5</f>
        <v>0.0264720767589686</v>
      </c>
      <c r="Q312" s="21" t="n">
        <f aca="false">2_Matriz_decision!Q311/Q$5</f>
        <v>0.0133893885620924</v>
      </c>
    </row>
    <row r="313" customFormat="false" ht="15" hidden="false" customHeight="false" outlineLevel="0" collapsed="false">
      <c r="A313" s="15" t="n">
        <f aca="false">2_Matriz_decision!A312</f>
        <v>308</v>
      </c>
      <c r="B313" s="16" t="n">
        <f aca="false">2_Matriz_decision!B312</f>
        <v>31.036</v>
      </c>
      <c r="C313" s="21" t="n">
        <f aca="false">2_Matriz_decision!C312/C$5</f>
        <v>0.0439697451539424</v>
      </c>
      <c r="D313" s="21" t="n">
        <f aca="false">2_Matriz_decision!D312/D$5</f>
        <v>0.0334918645582358</v>
      </c>
      <c r="E313" s="21" t="n">
        <f aca="false">2_Matriz_decision!E312/E$5</f>
        <v>0.0300541462387823</v>
      </c>
      <c r="F313" s="21" t="n">
        <f aca="false">2_Matriz_decision!F312/F$5</f>
        <v>0.0296434583364376</v>
      </c>
      <c r="G313" s="21" t="n">
        <f aca="false">2_Matriz_decision!G312/G$5</f>
        <v>0.0411149420220302</v>
      </c>
      <c r="H313" s="21" t="n">
        <f aca="false">2_Matriz_decision!H312/H$5</f>
        <v>0.0384268159034261</v>
      </c>
      <c r="I313" s="21" t="n">
        <f aca="false">2_Matriz_decision!I312/I$5</f>
        <v>0.0148184741491462</v>
      </c>
      <c r="J313" s="21" t="n">
        <f aca="false">2_Matriz_decision!J312/J$5</f>
        <v>0.0351992440847949</v>
      </c>
      <c r="K313" s="21" t="n">
        <f aca="false">2_Matriz_decision!K312/K$5</f>
        <v>0.039014903418414</v>
      </c>
      <c r="L313" s="21" t="n">
        <f aca="false">2_Matriz_decision!L312/L$5</f>
        <v>0.0415047814120376</v>
      </c>
      <c r="M313" s="21" t="n">
        <f aca="false">2_Matriz_decision!M312/M$5</f>
        <v>0.0330082871796961</v>
      </c>
      <c r="N313" s="21" t="n">
        <f aca="false">2_Matriz_decision!N312/N$5</f>
        <v>0.0336294130407101</v>
      </c>
      <c r="O313" s="21" t="n">
        <f aca="false">2_Matriz_decision!O312/O$5</f>
        <v>0.0304431282773992</v>
      </c>
      <c r="P313" s="21" t="n">
        <f aca="false">2_Matriz_decision!P312/P$5</f>
        <v>0.0264720767589686</v>
      </c>
      <c r="Q313" s="21" t="n">
        <f aca="false">2_Matriz_decision!Q312/Q$5</f>
        <v>0.0401681656862772</v>
      </c>
    </row>
    <row r="314" customFormat="false" ht="15" hidden="false" customHeight="false" outlineLevel="0" collapsed="false">
      <c r="A314" s="15" t="n">
        <f aca="false">2_Matriz_decision!A313</f>
        <v>309</v>
      </c>
      <c r="B314" s="16" t="n">
        <f aca="false">2_Matriz_decision!B313</f>
        <v>31.135</v>
      </c>
      <c r="C314" s="21" t="n">
        <f aca="false">2_Matriz_decision!C313/C$5</f>
        <v>0.0439697451539424</v>
      </c>
      <c r="D314" s="21" t="n">
        <f aca="false">2_Matriz_decision!D313/D$5</f>
        <v>0.0334918645582358</v>
      </c>
      <c r="E314" s="21" t="n">
        <f aca="false">2_Matriz_decision!E313/E$5</f>
        <v>0.0300541462387823</v>
      </c>
      <c r="F314" s="21" t="n">
        <f aca="false">2_Matriz_decision!F313/F$5</f>
        <v>0.0395246111152501</v>
      </c>
      <c r="G314" s="21" t="n">
        <f aca="false">2_Matriz_decision!G313/G$5</f>
        <v>0.0411149420220302</v>
      </c>
      <c r="H314" s="21" t="n">
        <f aca="false">2_Matriz_decision!H313/H$5</f>
        <v>0.0384268159034261</v>
      </c>
      <c r="I314" s="21" t="n">
        <f aca="false">2_Matriz_decision!I313/I$5</f>
        <v>0.0148184741491462</v>
      </c>
      <c r="J314" s="21" t="n">
        <f aca="false">2_Matriz_decision!J313/J$5</f>
        <v>0.0351992440847949</v>
      </c>
      <c r="K314" s="21" t="n">
        <f aca="false">2_Matriz_decision!K313/K$5</f>
        <v>0.039014903418414</v>
      </c>
      <c r="L314" s="21" t="n">
        <f aca="false">2_Matriz_decision!L313/L$5</f>
        <v>0.0477358471781489</v>
      </c>
      <c r="M314" s="21" t="n">
        <f aca="false">2_Matriz_decision!M313/M$5</f>
        <v>0.0256289244500987</v>
      </c>
      <c r="N314" s="21" t="n">
        <f aca="false">2_Matriz_decision!N313/N$5</f>
        <v>0.0336294130407101</v>
      </c>
      <c r="O314" s="21" t="n">
        <f aca="false">2_Matriz_decision!O313/O$5</f>
        <v>0.0304431282773992</v>
      </c>
      <c r="P314" s="21" t="n">
        <f aca="false">2_Matriz_decision!P313/P$5</f>
        <v>0.0264720767589686</v>
      </c>
      <c r="Q314" s="21" t="n">
        <f aca="false">2_Matriz_decision!Q313/Q$5</f>
        <v>0.066946942810462</v>
      </c>
    </row>
    <row r="315" customFormat="false" ht="15" hidden="false" customHeight="false" outlineLevel="0" collapsed="false">
      <c r="A315" s="15" t="n">
        <f aca="false">2_Matriz_decision!A314</f>
        <v>310</v>
      </c>
      <c r="B315" s="16" t="n">
        <f aca="false">2_Matriz_decision!B314</f>
        <v>31.234</v>
      </c>
      <c r="C315" s="21" t="n">
        <f aca="false">2_Matriz_decision!C314/C$5</f>
        <v>0.0439697451539424</v>
      </c>
      <c r="D315" s="21" t="n">
        <f aca="false">2_Matriz_decision!D314/D$5</f>
        <v>0.0334918645582358</v>
      </c>
      <c r="E315" s="21" t="n">
        <f aca="false">2_Matriz_decision!E314/E$5</f>
        <v>0.0400721949850431</v>
      </c>
      <c r="F315" s="21" t="n">
        <f aca="false">2_Matriz_decision!F314/F$5</f>
        <v>0.0197623055576251</v>
      </c>
      <c r="G315" s="21" t="n">
        <f aca="false">2_Matriz_decision!G314/G$5</f>
        <v>0.0411149420220302</v>
      </c>
      <c r="H315" s="21" t="n">
        <f aca="false">2_Matriz_decision!H314/H$5</f>
        <v>0.0384268159034261</v>
      </c>
      <c r="I315" s="21" t="n">
        <f aca="false">2_Matriz_decision!I314/I$5</f>
        <v>0.0148184741491462</v>
      </c>
      <c r="J315" s="21" t="n">
        <f aca="false">2_Matriz_decision!J314/J$5</f>
        <v>0.0351992440847949</v>
      </c>
      <c r="K315" s="21" t="n">
        <f aca="false">2_Matriz_decision!K314/K$5</f>
        <v>0.039014903418414</v>
      </c>
      <c r="L315" s="21" t="n">
        <f aca="false">2_Matriz_decision!L314/L$5</f>
        <v>0.0394990735474095</v>
      </c>
      <c r="M315" s="21" t="n">
        <f aca="false">2_Matriz_decision!M314/M$5</f>
        <v>0.0344002029041411</v>
      </c>
      <c r="N315" s="21" t="n">
        <f aca="false">2_Matriz_decision!N314/N$5</f>
        <v>0.0336294130407101</v>
      </c>
      <c r="O315" s="21" t="n">
        <f aca="false">2_Matriz_decision!O314/O$5</f>
        <v>0.0304431282773992</v>
      </c>
      <c r="P315" s="21" t="n">
        <f aca="false">2_Matriz_decision!P314/P$5</f>
        <v>0.0264720767589686</v>
      </c>
      <c r="Q315" s="21" t="n">
        <f aca="false">2_Matriz_decision!Q314/Q$5</f>
        <v>0.0133893885620924</v>
      </c>
    </row>
    <row r="316" customFormat="false" ht="15" hidden="false" customHeight="false" outlineLevel="0" collapsed="false">
      <c r="A316" s="15" t="n">
        <f aca="false">2_Matriz_decision!A315</f>
        <v>311</v>
      </c>
      <c r="B316" s="16" t="n">
        <f aca="false">2_Matriz_decision!B315</f>
        <v>31.333</v>
      </c>
      <c r="C316" s="21" t="n">
        <f aca="false">2_Matriz_decision!C315/C$5</f>
        <v>0.0439697451539424</v>
      </c>
      <c r="D316" s="21" t="n">
        <f aca="false">2_Matriz_decision!D315/D$5</f>
        <v>0.0334918645582358</v>
      </c>
      <c r="E316" s="21" t="n">
        <f aca="false">2_Matriz_decision!E315/E$5</f>
        <v>0.0500902437313038</v>
      </c>
      <c r="F316" s="21" t="n">
        <f aca="false">2_Matriz_decision!F315/F$5</f>
        <v>0.00988115277881254</v>
      </c>
      <c r="G316" s="21" t="n">
        <f aca="false">2_Matriz_decision!G315/G$5</f>
        <v>0.0411149420220302</v>
      </c>
      <c r="H316" s="21" t="n">
        <f aca="false">2_Matriz_decision!H315/H$5</f>
        <v>0.0384268159034261</v>
      </c>
      <c r="I316" s="21" t="n">
        <f aca="false">2_Matriz_decision!I315/I$5</f>
        <v>0.0592738965965849</v>
      </c>
      <c r="J316" s="21" t="n">
        <f aca="false">2_Matriz_decision!J315/J$5</f>
        <v>0.0351992440847949</v>
      </c>
      <c r="K316" s="21" t="n">
        <f aca="false">2_Matriz_decision!K315/K$5</f>
        <v>0.039014903418414</v>
      </c>
      <c r="L316" s="21" t="n">
        <f aca="false">2_Matriz_decision!L315/L$5</f>
        <v>0.0470940206614679</v>
      </c>
      <c r="M316" s="21" t="n">
        <f aca="false">2_Matriz_decision!M315/M$5</f>
        <v>0.028766258305197</v>
      </c>
      <c r="N316" s="21" t="n">
        <f aca="false">2_Matriz_decision!N315/N$5</f>
        <v>0.0336294130407101</v>
      </c>
      <c r="O316" s="21" t="n">
        <f aca="false">2_Matriz_decision!O315/O$5</f>
        <v>0.0304431282773992</v>
      </c>
      <c r="P316" s="21" t="n">
        <f aca="false">2_Matriz_decision!P315/P$5</f>
        <v>0.0264720767589686</v>
      </c>
      <c r="Q316" s="21" t="n">
        <f aca="false">2_Matriz_decision!Q315/Q$5</f>
        <v>0.0401681656862772</v>
      </c>
    </row>
    <row r="317" customFormat="false" ht="15" hidden="false" customHeight="false" outlineLevel="0" collapsed="false">
      <c r="A317" s="15" t="n">
        <f aca="false">2_Matriz_decision!A316</f>
        <v>312</v>
      </c>
      <c r="B317" s="16" t="n">
        <f aca="false">2_Matriz_decision!B316</f>
        <v>31.433</v>
      </c>
      <c r="C317" s="21" t="n">
        <f aca="false">2_Matriz_decision!C316/C$5</f>
        <v>0.0439697451539424</v>
      </c>
      <c r="D317" s="21" t="n">
        <f aca="false">2_Matriz_decision!D316/D$5</f>
        <v>0.0334918645582358</v>
      </c>
      <c r="E317" s="21" t="n">
        <f aca="false">2_Matriz_decision!E316/E$5</f>
        <v>0.0500902437313038</v>
      </c>
      <c r="F317" s="21" t="n">
        <f aca="false">2_Matriz_decision!F316/F$5</f>
        <v>0.0395246111152501</v>
      </c>
      <c r="G317" s="21" t="n">
        <f aca="false">2_Matriz_decision!G316/G$5</f>
        <v>0.0411149420220302</v>
      </c>
      <c r="H317" s="21" t="n">
        <f aca="false">2_Matriz_decision!H316/H$5</f>
        <v>0.0384268159034261</v>
      </c>
      <c r="I317" s="21" t="n">
        <f aca="false">2_Matriz_decision!I316/I$5</f>
        <v>0.0444554224474387</v>
      </c>
      <c r="J317" s="21" t="n">
        <f aca="false">2_Matriz_decision!J316/J$5</f>
        <v>0.0351992440847949</v>
      </c>
      <c r="K317" s="21" t="n">
        <f aca="false">2_Matriz_decision!K316/K$5</f>
        <v>0.039014903418414</v>
      </c>
      <c r="L317" s="21" t="n">
        <f aca="false">2_Matriz_decision!L316/L$5</f>
        <v>0.0478428182642624</v>
      </c>
      <c r="M317" s="21" t="n">
        <f aca="false">2_Matriz_decision!M316/M$5</f>
        <v>0.0259713799061129</v>
      </c>
      <c r="N317" s="21" t="n">
        <f aca="false">2_Matriz_decision!N316/N$5</f>
        <v>0.0336294130407101</v>
      </c>
      <c r="O317" s="21" t="n">
        <f aca="false">2_Matriz_decision!O316/O$5</f>
        <v>0.0304431282773992</v>
      </c>
      <c r="P317" s="21" t="n">
        <f aca="false">2_Matriz_decision!P316/P$5</f>
        <v>0.0264720767589686</v>
      </c>
      <c r="Q317" s="21" t="n">
        <f aca="false">2_Matriz_decision!Q316/Q$5</f>
        <v>0.0535575542483696</v>
      </c>
    </row>
    <row r="318" customFormat="false" ht="15" hidden="false" customHeight="false" outlineLevel="0" collapsed="false">
      <c r="A318" s="15" t="n">
        <f aca="false">2_Matriz_decision!A317</f>
        <v>313</v>
      </c>
      <c r="B318" s="16" t="n">
        <f aca="false">2_Matriz_decision!B317</f>
        <v>31.533</v>
      </c>
      <c r="C318" s="21" t="n">
        <f aca="false">2_Matriz_decision!C317/C$5</f>
        <v>0.0439697451539424</v>
      </c>
      <c r="D318" s="21" t="n">
        <f aca="false">2_Matriz_decision!D317/D$5</f>
        <v>0.0334918645582358</v>
      </c>
      <c r="E318" s="21" t="n">
        <f aca="false">2_Matriz_decision!E317/E$5</f>
        <v>0.0400721949850431</v>
      </c>
      <c r="F318" s="21" t="n">
        <f aca="false">2_Matriz_decision!F317/F$5</f>
        <v>0.0395246111152501</v>
      </c>
      <c r="G318" s="21" t="n">
        <f aca="false">2_Matriz_decision!G317/G$5</f>
        <v>0.0411149420220302</v>
      </c>
      <c r="H318" s="21" t="n">
        <f aca="false">2_Matriz_decision!H317/H$5</f>
        <v>0.0384268159034261</v>
      </c>
      <c r="I318" s="21" t="n">
        <f aca="false">2_Matriz_decision!I317/I$5</f>
        <v>0.0148184741491462</v>
      </c>
      <c r="J318" s="21" t="n">
        <f aca="false">2_Matriz_decision!J317/J$5</f>
        <v>0.0351992440847949</v>
      </c>
      <c r="K318" s="21" t="n">
        <f aca="false">2_Matriz_decision!K317/K$5</f>
        <v>0.039014903418414</v>
      </c>
      <c r="L318" s="21" t="n">
        <f aca="false">2_Matriz_decision!L317/L$5</f>
        <v>0.0476422474777996</v>
      </c>
      <c r="M318" s="21" t="n">
        <f aca="false">2_Matriz_decision!M317/M$5</f>
        <v>0.0258167226033968</v>
      </c>
      <c r="N318" s="21" t="n">
        <f aca="false">2_Matriz_decision!N317/N$5</f>
        <v>0.0336294130407101</v>
      </c>
      <c r="O318" s="21" t="n">
        <f aca="false">2_Matriz_decision!O317/O$5</f>
        <v>0.0304431282773992</v>
      </c>
      <c r="P318" s="21" t="n">
        <f aca="false">2_Matriz_decision!P317/P$5</f>
        <v>0.0264720767589686</v>
      </c>
      <c r="Q318" s="21" t="n">
        <f aca="false">2_Matriz_decision!Q317/Q$5</f>
        <v>0.0535575542483696</v>
      </c>
    </row>
    <row r="319" customFormat="false" ht="15" hidden="false" customHeight="false" outlineLevel="0" collapsed="false">
      <c r="A319" s="15" t="n">
        <f aca="false">2_Matriz_decision!A318</f>
        <v>314</v>
      </c>
      <c r="B319" s="16" t="n">
        <f aca="false">2_Matriz_decision!B318</f>
        <v>31.633</v>
      </c>
      <c r="C319" s="21" t="n">
        <f aca="false">2_Matriz_decision!C318/C$5</f>
        <v>0.0439697451539424</v>
      </c>
      <c r="D319" s="21" t="n">
        <f aca="false">2_Matriz_decision!D318/D$5</f>
        <v>0.0418648306977948</v>
      </c>
      <c r="E319" s="21" t="n">
        <f aca="false">2_Matriz_decision!E318/E$5</f>
        <v>0.0400721949850431</v>
      </c>
      <c r="F319" s="21" t="n">
        <f aca="false">2_Matriz_decision!F318/F$5</f>
        <v>0.0395246111152501</v>
      </c>
      <c r="G319" s="21" t="n">
        <f aca="false">2_Matriz_decision!G318/G$5</f>
        <v>0.0411149420220302</v>
      </c>
      <c r="H319" s="21" t="n">
        <f aca="false">2_Matriz_decision!H318/H$5</f>
        <v>0.0384268159034261</v>
      </c>
      <c r="I319" s="21" t="n">
        <f aca="false">2_Matriz_decision!I318/I$5</f>
        <v>0.0148184741491462</v>
      </c>
      <c r="J319" s="21" t="n">
        <f aca="false">2_Matriz_decision!J318/J$5</f>
        <v>0.0351992440847949</v>
      </c>
      <c r="K319" s="21" t="n">
        <f aca="false">2_Matriz_decision!K318/K$5</f>
        <v>0.039014903418414</v>
      </c>
      <c r="L319" s="21" t="n">
        <f aca="false">2_Matriz_decision!L318/L$5</f>
        <v>0.0505170954170998</v>
      </c>
      <c r="M319" s="21" t="n">
        <f aca="false">2_Matriz_decision!M318/M$5</f>
        <v>0.0220939003880161</v>
      </c>
      <c r="N319" s="21" t="n">
        <f aca="false">2_Matriz_decision!N318/N$5</f>
        <v>0.0336294130407101</v>
      </c>
      <c r="O319" s="21" t="n">
        <f aca="false">2_Matriz_decision!O318/O$5</f>
        <v>0.0304431282773992</v>
      </c>
      <c r="P319" s="21" t="n">
        <f aca="false">2_Matriz_decision!P318/P$5</f>
        <v>0.0264720767589686</v>
      </c>
      <c r="Q319" s="21" t="n">
        <f aca="false">2_Matriz_decision!Q318/Q$5</f>
        <v>0.0535575542483696</v>
      </c>
    </row>
    <row r="320" customFormat="false" ht="15" hidden="false" customHeight="false" outlineLevel="0" collapsed="false">
      <c r="A320" s="15" t="n">
        <f aca="false">2_Matriz_decision!A319</f>
        <v>315</v>
      </c>
      <c r="B320" s="16" t="n">
        <f aca="false">2_Matriz_decision!B319</f>
        <v>31.734</v>
      </c>
      <c r="C320" s="21" t="n">
        <f aca="false">2_Matriz_decision!C319/C$5</f>
        <v>0.0439697451539424</v>
      </c>
      <c r="D320" s="21" t="n">
        <f aca="false">2_Matriz_decision!D319/D$5</f>
        <v>0.0418648306977948</v>
      </c>
      <c r="E320" s="21" t="n">
        <f aca="false">2_Matriz_decision!E319/E$5</f>
        <v>0.0400721949850431</v>
      </c>
      <c r="F320" s="21" t="n">
        <f aca="false">2_Matriz_decision!F319/F$5</f>
        <v>0.0395246111152501</v>
      </c>
      <c r="G320" s="21" t="n">
        <f aca="false">2_Matriz_decision!G319/G$5</f>
        <v>0.0411149420220302</v>
      </c>
      <c r="H320" s="21" t="n">
        <f aca="false">2_Matriz_decision!H319/H$5</f>
        <v>0.0384268159034261</v>
      </c>
      <c r="I320" s="21" t="n">
        <f aca="false">2_Matriz_decision!I319/I$5</f>
        <v>0.0148184741491462</v>
      </c>
      <c r="J320" s="21" t="n">
        <f aca="false">2_Matriz_decision!J319/J$5</f>
        <v>0.0351992440847949</v>
      </c>
      <c r="K320" s="21" t="n">
        <f aca="false">2_Matriz_decision!K319/K$5</f>
        <v>0.039014903418414</v>
      </c>
      <c r="L320" s="21" t="n">
        <f aca="false">2_Matriz_decision!L319/L$5</f>
        <v>0.0521350330945665</v>
      </c>
      <c r="M320" s="21" t="n">
        <f aca="false">2_Matriz_decision!M319/M$5</f>
        <v>0.0220939003880161</v>
      </c>
      <c r="N320" s="21" t="n">
        <f aca="false">2_Matriz_decision!N319/N$5</f>
        <v>0.0336294130407101</v>
      </c>
      <c r="O320" s="21" t="n">
        <f aca="false">2_Matriz_decision!O319/O$5</f>
        <v>0.0304431282773992</v>
      </c>
      <c r="P320" s="21" t="n">
        <f aca="false">2_Matriz_decision!P319/P$5</f>
        <v>0.0264720767589686</v>
      </c>
      <c r="Q320" s="21" t="n">
        <f aca="false">2_Matriz_decision!Q319/Q$5</f>
        <v>0.066946942810462</v>
      </c>
    </row>
    <row r="321" customFormat="false" ht="15" hidden="false" customHeight="false" outlineLevel="0" collapsed="false">
      <c r="A321" s="15" t="n">
        <f aca="false">2_Matriz_decision!A320</f>
        <v>316</v>
      </c>
      <c r="B321" s="16" t="n">
        <f aca="false">2_Matriz_decision!B320</f>
        <v>31.834</v>
      </c>
      <c r="C321" s="21" t="n">
        <f aca="false">2_Matriz_decision!C320/C$5</f>
        <v>0.0439697451539424</v>
      </c>
      <c r="D321" s="21" t="n">
        <f aca="false">2_Matriz_decision!D320/D$5</f>
        <v>0.0418648306977948</v>
      </c>
      <c r="E321" s="21" t="n">
        <f aca="false">2_Matriz_decision!E320/E$5</f>
        <v>0.0500902437313038</v>
      </c>
      <c r="F321" s="21" t="n">
        <f aca="false">2_Matriz_decision!F320/F$5</f>
        <v>0.0395246111152501</v>
      </c>
      <c r="G321" s="21" t="n">
        <f aca="false">2_Matriz_decision!G320/G$5</f>
        <v>0.0411149420220302</v>
      </c>
      <c r="H321" s="21" t="n">
        <f aca="false">2_Matriz_decision!H320/H$5</f>
        <v>0.0384268159034261</v>
      </c>
      <c r="I321" s="21" t="n">
        <f aca="false">2_Matriz_decision!I320/I$5</f>
        <v>0.0592738965965849</v>
      </c>
      <c r="J321" s="21" t="n">
        <f aca="false">2_Matriz_decision!J320/J$5</f>
        <v>0.0351992440847949</v>
      </c>
      <c r="K321" s="21" t="n">
        <f aca="false">2_Matriz_decision!K320/K$5</f>
        <v>0.039014903418414</v>
      </c>
      <c r="L321" s="21" t="n">
        <f aca="false">2_Matriz_decision!L320/L$5</f>
        <v>0.0524425749671428</v>
      </c>
      <c r="M321" s="21" t="n">
        <f aca="false">2_Matriz_decision!M320/M$5</f>
        <v>0.0220939003880161</v>
      </c>
      <c r="N321" s="21" t="n">
        <f aca="false">2_Matriz_decision!N320/N$5</f>
        <v>0.0336294130407101</v>
      </c>
      <c r="O321" s="21" t="n">
        <f aca="false">2_Matriz_decision!O320/O$5</f>
        <v>0.0304431282773992</v>
      </c>
      <c r="P321" s="21" t="n">
        <f aca="false">2_Matriz_decision!P320/P$5</f>
        <v>0.0264720767589686</v>
      </c>
      <c r="Q321" s="21" t="n">
        <f aca="false">2_Matriz_decision!Q320/Q$5</f>
        <v>0.066946942810462</v>
      </c>
    </row>
    <row r="322" customFormat="false" ht="15" hidden="false" customHeight="false" outlineLevel="0" collapsed="false">
      <c r="A322" s="15" t="n">
        <f aca="false">2_Matriz_decision!A321</f>
        <v>317</v>
      </c>
      <c r="B322" s="16" t="n">
        <f aca="false">2_Matriz_decision!B321</f>
        <v>31.933</v>
      </c>
      <c r="C322" s="21" t="n">
        <f aca="false">2_Matriz_decision!C321/C$5</f>
        <v>0.0439697451539424</v>
      </c>
      <c r="D322" s="21" t="n">
        <f aca="false">2_Matriz_decision!D321/D$5</f>
        <v>0.0418648306977948</v>
      </c>
      <c r="E322" s="21" t="n">
        <f aca="false">2_Matriz_decision!E321/E$5</f>
        <v>0.0500902437313038</v>
      </c>
      <c r="F322" s="21" t="n">
        <f aca="false">2_Matriz_decision!F321/F$5</f>
        <v>0.0395246111152501</v>
      </c>
      <c r="G322" s="21" t="n">
        <f aca="false">2_Matriz_decision!G321/G$5</f>
        <v>0.0411149420220302</v>
      </c>
      <c r="H322" s="21" t="n">
        <f aca="false">2_Matriz_decision!H321/H$5</f>
        <v>0.0384268159034261</v>
      </c>
      <c r="I322" s="21" t="n">
        <f aca="false">2_Matriz_decision!I321/I$5</f>
        <v>0.0296369482982925</v>
      </c>
      <c r="J322" s="21" t="n">
        <f aca="false">2_Matriz_decision!J321/J$5</f>
        <v>0.0351992440847949</v>
      </c>
      <c r="K322" s="21" t="n">
        <f aca="false">2_Matriz_decision!K321/K$5</f>
        <v>0.039014903418414</v>
      </c>
      <c r="L322" s="21" t="n">
        <f aca="false">2_Matriz_decision!L321/L$5</f>
        <v>0.0527634882254833</v>
      </c>
      <c r="M322" s="21" t="n">
        <f aca="false">2_Matriz_decision!M321/M$5</f>
        <v>0.0235631447638192</v>
      </c>
      <c r="N322" s="21" t="n">
        <f aca="false">2_Matriz_decision!N321/N$5</f>
        <v>0.0336294130407101</v>
      </c>
      <c r="O322" s="21" t="n">
        <f aca="false">2_Matriz_decision!O321/O$5</f>
        <v>0.0304431282773992</v>
      </c>
      <c r="P322" s="21" t="n">
        <f aca="false">2_Matriz_decision!P321/P$5</f>
        <v>0.0264720767589686</v>
      </c>
      <c r="Q322" s="21" t="n">
        <f aca="false">2_Matriz_decision!Q321/Q$5</f>
        <v>0.066946942810462</v>
      </c>
    </row>
    <row r="323" customFormat="false" ht="15" hidden="false" customHeight="false" outlineLevel="0" collapsed="false">
      <c r="A323" s="15" t="n">
        <f aca="false">2_Matriz_decision!A322</f>
        <v>318</v>
      </c>
      <c r="B323" s="16" t="n">
        <f aca="false">2_Matriz_decision!B322</f>
        <v>32.033</v>
      </c>
      <c r="C323" s="21" t="n">
        <f aca="false">2_Matriz_decision!C322/C$5</f>
        <v>0.0439697451539424</v>
      </c>
      <c r="D323" s="21" t="n">
        <f aca="false">2_Matriz_decision!D322/D$5</f>
        <v>0.0418648306977948</v>
      </c>
      <c r="E323" s="21" t="n">
        <f aca="false">2_Matriz_decision!E322/E$5</f>
        <v>0.0400721949850431</v>
      </c>
      <c r="F323" s="21" t="n">
        <f aca="false">2_Matriz_decision!F322/F$5</f>
        <v>0.0395246111152501</v>
      </c>
      <c r="G323" s="21" t="n">
        <f aca="false">2_Matriz_decision!G322/G$5</f>
        <v>0.0411149420220302</v>
      </c>
      <c r="H323" s="21" t="n">
        <f aca="false">2_Matriz_decision!H322/H$5</f>
        <v>0.0384268159034261</v>
      </c>
      <c r="I323" s="21" t="n">
        <f aca="false">2_Matriz_decision!I322/I$5</f>
        <v>0.0148184741491462</v>
      </c>
      <c r="J323" s="21" t="n">
        <f aca="false">2_Matriz_decision!J322/J$5</f>
        <v>0.0351992440847949</v>
      </c>
      <c r="K323" s="21" t="n">
        <f aca="false">2_Matriz_decision!K322/K$5</f>
        <v>0.039014903418414</v>
      </c>
      <c r="L323" s="21" t="n">
        <f aca="false">2_Matriz_decision!L322/L$5</f>
        <v>0.0486049872528211</v>
      </c>
      <c r="M323" s="21" t="n">
        <f aca="false">2_Matriz_decision!M322/M$5</f>
        <v>0.030102939278672</v>
      </c>
      <c r="N323" s="21" t="n">
        <f aca="false">2_Matriz_decision!N322/N$5</f>
        <v>0.0336294130407101</v>
      </c>
      <c r="O323" s="21" t="n">
        <f aca="false">2_Matriz_decision!O322/O$5</f>
        <v>0.0304431282773992</v>
      </c>
      <c r="P323" s="21" t="n">
        <f aca="false">2_Matriz_decision!P322/P$5</f>
        <v>0.0264720767589686</v>
      </c>
      <c r="Q323" s="21" t="n">
        <f aca="false">2_Matriz_decision!Q322/Q$5</f>
        <v>0.0267787771241848</v>
      </c>
    </row>
    <row r="324" customFormat="false" ht="15" hidden="false" customHeight="false" outlineLevel="0" collapsed="false">
      <c r="A324" s="15" t="n">
        <f aca="false">2_Matriz_decision!A323</f>
        <v>319</v>
      </c>
      <c r="B324" s="16" t="n">
        <f aca="false">2_Matriz_decision!B323</f>
        <v>32.133</v>
      </c>
      <c r="C324" s="21" t="n">
        <f aca="false">2_Matriz_decision!C323/C$5</f>
        <v>0.0439697451539424</v>
      </c>
      <c r="D324" s="21" t="n">
        <f aca="false">2_Matriz_decision!D323/D$5</f>
        <v>0.0418648306977948</v>
      </c>
      <c r="E324" s="21" t="n">
        <f aca="false">2_Matriz_decision!E323/E$5</f>
        <v>0.0400721949850431</v>
      </c>
      <c r="F324" s="21" t="n">
        <f aca="false">2_Matriz_decision!F323/F$5</f>
        <v>0.0296434583364376</v>
      </c>
      <c r="G324" s="21" t="n">
        <f aca="false">2_Matriz_decision!G323/G$5</f>
        <v>0.0411149420220302</v>
      </c>
      <c r="H324" s="21" t="n">
        <f aca="false">2_Matriz_decision!H323/H$5</f>
        <v>0.0384268159034261</v>
      </c>
      <c r="I324" s="21" t="n">
        <f aca="false">2_Matriz_decision!I323/I$5</f>
        <v>0.0296369482982925</v>
      </c>
      <c r="J324" s="21" t="n">
        <f aca="false">2_Matriz_decision!J323/J$5</f>
        <v>0.0351992440847949</v>
      </c>
      <c r="K324" s="21" t="n">
        <f aca="false">2_Matriz_decision!K323/K$5</f>
        <v>0.039014903418414</v>
      </c>
      <c r="L324" s="21" t="n">
        <f aca="false">2_Matriz_decision!L323/L$5</f>
        <v>0.0497950405858337</v>
      </c>
      <c r="M324" s="21" t="n">
        <f aca="false">2_Matriz_decision!M323/M$5</f>
        <v>0.0328094420762039</v>
      </c>
      <c r="N324" s="21" t="n">
        <f aca="false">2_Matriz_decision!N323/N$5</f>
        <v>0.0336294130407101</v>
      </c>
      <c r="O324" s="21" t="n">
        <f aca="false">2_Matriz_decision!O323/O$5</f>
        <v>0.0304431282773992</v>
      </c>
      <c r="P324" s="21" t="n">
        <f aca="false">2_Matriz_decision!P323/P$5</f>
        <v>0.0264720767589686</v>
      </c>
      <c r="Q324" s="21" t="n">
        <f aca="false">2_Matriz_decision!Q323/Q$5</f>
        <v>0.0401681656862772</v>
      </c>
    </row>
    <row r="325" customFormat="false" ht="15" hidden="false" customHeight="false" outlineLevel="0" collapsed="false">
      <c r="A325" s="15" t="n">
        <f aca="false">2_Matriz_decision!A324</f>
        <v>320</v>
      </c>
      <c r="B325" s="16" t="n">
        <f aca="false">2_Matriz_decision!B324</f>
        <v>32.233</v>
      </c>
      <c r="C325" s="21" t="n">
        <f aca="false">2_Matriz_decision!C324/C$5</f>
        <v>0.0439697451539424</v>
      </c>
      <c r="D325" s="21" t="n">
        <f aca="false">2_Matriz_decision!D324/D$5</f>
        <v>0.0418648306977948</v>
      </c>
      <c r="E325" s="21" t="n">
        <f aca="false">2_Matriz_decision!E324/E$5</f>
        <v>0.0400721949850431</v>
      </c>
      <c r="F325" s="21" t="n">
        <f aca="false">2_Matriz_decision!F324/F$5</f>
        <v>0.0494057638940627</v>
      </c>
      <c r="G325" s="21" t="n">
        <f aca="false">2_Matriz_decision!G324/G$5</f>
        <v>0.0411149420220302</v>
      </c>
      <c r="H325" s="21" t="n">
        <f aca="false">2_Matriz_decision!H324/H$5</f>
        <v>0.0384268159034261</v>
      </c>
      <c r="I325" s="21" t="n">
        <f aca="false">2_Matriz_decision!I324/I$5</f>
        <v>0.0148184741491462</v>
      </c>
      <c r="J325" s="21" t="n">
        <f aca="false">2_Matriz_decision!J324/J$5</f>
        <v>0.0351992440847949</v>
      </c>
      <c r="K325" s="21" t="n">
        <f aca="false">2_Matriz_decision!K324/K$5</f>
        <v>0.039014903418414</v>
      </c>
      <c r="L325" s="21" t="n">
        <f aca="false">2_Matriz_decision!L324/L$5</f>
        <v>0.0412239823109896</v>
      </c>
      <c r="M325" s="21" t="n">
        <f aca="false">2_Matriz_decision!M324/M$5</f>
        <v>0.0290313851098532</v>
      </c>
      <c r="N325" s="21" t="n">
        <f aca="false">2_Matriz_decision!N324/N$5</f>
        <v>0.0336294130407101</v>
      </c>
      <c r="O325" s="21" t="n">
        <f aca="false">2_Matriz_decision!O324/O$5</f>
        <v>0.0304431282773992</v>
      </c>
      <c r="P325" s="21" t="n">
        <f aca="false">2_Matriz_decision!P324/P$5</f>
        <v>0.0264720767589686</v>
      </c>
      <c r="Q325" s="21" t="n">
        <f aca="false">2_Matriz_decision!Q324/Q$5</f>
        <v>0.0535575542483696</v>
      </c>
    </row>
    <row r="326" customFormat="false" ht="15" hidden="false" customHeight="false" outlineLevel="0" collapsed="false">
      <c r="A326" s="15" t="n">
        <f aca="false">2_Matriz_decision!A325</f>
        <v>321</v>
      </c>
      <c r="B326" s="16" t="n">
        <f aca="false">2_Matriz_decision!B325</f>
        <v>32.333</v>
      </c>
      <c r="C326" s="21" t="n">
        <f aca="false">2_Matriz_decision!C325/C$5</f>
        <v>0.0439697451539424</v>
      </c>
      <c r="D326" s="21" t="n">
        <f aca="false">2_Matriz_decision!D325/D$5</f>
        <v>0.0418648306977948</v>
      </c>
      <c r="E326" s="21" t="n">
        <f aca="false">2_Matriz_decision!E325/E$5</f>
        <v>0.0400721949850431</v>
      </c>
      <c r="F326" s="21" t="n">
        <f aca="false">2_Matriz_decision!F325/F$5</f>
        <v>0.0494057638940627</v>
      </c>
      <c r="G326" s="21" t="n">
        <f aca="false">2_Matriz_decision!G325/G$5</f>
        <v>0.0411149420220302</v>
      </c>
      <c r="H326" s="21" t="n">
        <f aca="false">2_Matriz_decision!H325/H$5</f>
        <v>0.0384268159034261</v>
      </c>
      <c r="I326" s="21" t="n">
        <f aca="false">2_Matriz_decision!I325/I$5</f>
        <v>0.0148184741491462</v>
      </c>
      <c r="J326" s="21" t="n">
        <f aca="false">2_Matriz_decision!J325/J$5</f>
        <v>0.0351992440847949</v>
      </c>
      <c r="K326" s="21" t="n">
        <f aca="false">2_Matriz_decision!K325/K$5</f>
        <v>0.039014903418414</v>
      </c>
      <c r="L326" s="21" t="n">
        <f aca="false">2_Matriz_decision!L325/L$5</f>
        <v>0.045462711598237</v>
      </c>
      <c r="M326" s="21" t="n">
        <f aca="false">2_Matriz_decision!M325/M$5</f>
        <v>0.0248114501357421</v>
      </c>
      <c r="N326" s="21" t="n">
        <f aca="false">2_Matriz_decision!N325/N$5</f>
        <v>0.0336294130407101</v>
      </c>
      <c r="O326" s="21" t="n">
        <f aca="false">2_Matriz_decision!O325/O$5</f>
        <v>0.0304431282773992</v>
      </c>
      <c r="P326" s="21" t="n">
        <f aca="false">2_Matriz_decision!P325/P$5</f>
        <v>0.0264720767589686</v>
      </c>
      <c r="Q326" s="21" t="n">
        <f aca="false">2_Matriz_decision!Q325/Q$5</f>
        <v>0.0535575542483696</v>
      </c>
    </row>
    <row r="327" customFormat="false" ht="15" hidden="false" customHeight="false" outlineLevel="0" collapsed="false">
      <c r="A327" s="15" t="n">
        <f aca="false">2_Matriz_decision!A326</f>
        <v>322</v>
      </c>
      <c r="B327" s="16" t="n">
        <f aca="false">2_Matriz_decision!B326</f>
        <v>32.434</v>
      </c>
      <c r="C327" s="21" t="n">
        <f aca="false">2_Matriz_decision!C326/C$5</f>
        <v>0.0439697451539424</v>
      </c>
      <c r="D327" s="21" t="n">
        <f aca="false">2_Matriz_decision!D326/D$5</f>
        <v>0.0418648306977948</v>
      </c>
      <c r="E327" s="21" t="n">
        <f aca="false">2_Matriz_decision!E326/E$5</f>
        <v>0.0400721949850431</v>
      </c>
      <c r="F327" s="21" t="n">
        <f aca="false">2_Matriz_decision!F326/F$5</f>
        <v>0.0494057638940627</v>
      </c>
      <c r="G327" s="21" t="n">
        <f aca="false">2_Matriz_decision!G326/G$5</f>
        <v>0.0411149420220302</v>
      </c>
      <c r="H327" s="21" t="n">
        <f aca="false">2_Matriz_decision!H326/H$5</f>
        <v>0.0384268159034261</v>
      </c>
      <c r="I327" s="21" t="n">
        <f aca="false">2_Matriz_decision!I326/I$5</f>
        <v>0.0148184741491462</v>
      </c>
      <c r="J327" s="21" t="n">
        <f aca="false">2_Matriz_decision!J326/J$5</f>
        <v>0.0351992440847949</v>
      </c>
      <c r="K327" s="21" t="n">
        <f aca="false">2_Matriz_decision!K326/K$5</f>
        <v>0.039014903418414</v>
      </c>
      <c r="L327" s="21" t="n">
        <f aca="false">2_Matriz_decision!L326/L$5</f>
        <v>0.0498752689004189</v>
      </c>
      <c r="M327" s="21" t="n">
        <f aca="false">2_Matriz_decision!M326/M$5</f>
        <v>0.0259603329559189</v>
      </c>
      <c r="N327" s="21" t="n">
        <f aca="false">2_Matriz_decision!N326/N$5</f>
        <v>0.0336294130407101</v>
      </c>
      <c r="O327" s="21" t="n">
        <f aca="false">2_Matriz_decision!O326/O$5</f>
        <v>0.0304431282773992</v>
      </c>
      <c r="P327" s="21" t="n">
        <f aca="false">2_Matriz_decision!P326/P$5</f>
        <v>0.0264720767589686</v>
      </c>
      <c r="Q327" s="21" t="n">
        <f aca="false">2_Matriz_decision!Q326/Q$5</f>
        <v>0.0535575542483696</v>
      </c>
    </row>
    <row r="328" customFormat="false" ht="15" hidden="false" customHeight="false" outlineLevel="0" collapsed="false">
      <c r="A328" s="15" t="n">
        <f aca="false">2_Matriz_decision!A327</f>
        <v>323</v>
      </c>
      <c r="B328" s="16" t="n">
        <f aca="false">2_Matriz_decision!B327</f>
        <v>32.535</v>
      </c>
      <c r="C328" s="21" t="n">
        <f aca="false">2_Matriz_decision!C327/C$5</f>
        <v>0.0439697451539424</v>
      </c>
      <c r="D328" s="21" t="n">
        <f aca="false">2_Matriz_decision!D327/D$5</f>
        <v>0.0418648306977948</v>
      </c>
      <c r="E328" s="21" t="n">
        <f aca="false">2_Matriz_decision!E327/E$5</f>
        <v>0.0400721949850431</v>
      </c>
      <c r="F328" s="21" t="n">
        <f aca="false">2_Matriz_decision!F327/F$5</f>
        <v>0.0494057638940627</v>
      </c>
      <c r="G328" s="21" t="n">
        <f aca="false">2_Matriz_decision!G327/G$5</f>
        <v>0.0411149420220302</v>
      </c>
      <c r="H328" s="21" t="n">
        <f aca="false">2_Matriz_decision!H327/H$5</f>
        <v>0.0384268159034261</v>
      </c>
      <c r="I328" s="21" t="n">
        <f aca="false">2_Matriz_decision!I327/I$5</f>
        <v>0.0148184741491462</v>
      </c>
      <c r="J328" s="21" t="n">
        <f aca="false">2_Matriz_decision!J327/J$5</f>
        <v>0.0351992440847949</v>
      </c>
      <c r="K328" s="21" t="n">
        <f aca="false">2_Matriz_decision!K327/K$5</f>
        <v>0.039014903418414</v>
      </c>
      <c r="L328" s="21" t="n">
        <f aca="false">2_Matriz_decision!L327/L$5</f>
        <v>0.0485113875524717</v>
      </c>
      <c r="M328" s="21" t="n">
        <f aca="false">2_Matriz_decision!M327/M$5</f>
        <v>0.0254300793466066</v>
      </c>
      <c r="N328" s="21" t="n">
        <f aca="false">2_Matriz_decision!N327/N$5</f>
        <v>0.0336294130407101</v>
      </c>
      <c r="O328" s="21" t="n">
        <f aca="false">2_Matriz_decision!O327/O$5</f>
        <v>0.0304431282773992</v>
      </c>
      <c r="P328" s="21" t="n">
        <f aca="false">2_Matriz_decision!P327/P$5</f>
        <v>0.0264720767589686</v>
      </c>
      <c r="Q328" s="21" t="n">
        <f aca="false">2_Matriz_decision!Q327/Q$5</f>
        <v>0.0535575542483696</v>
      </c>
    </row>
    <row r="329" customFormat="false" ht="15" hidden="false" customHeight="false" outlineLevel="0" collapsed="false">
      <c r="A329" s="15" t="n">
        <f aca="false">2_Matriz_decision!A328</f>
        <v>324</v>
      </c>
      <c r="B329" s="16" t="n">
        <f aca="false">2_Matriz_decision!B328</f>
        <v>32.635</v>
      </c>
      <c r="C329" s="21" t="n">
        <f aca="false">2_Matriz_decision!C328/C$5</f>
        <v>0.0439697451539424</v>
      </c>
      <c r="D329" s="21" t="n">
        <f aca="false">2_Matriz_decision!D328/D$5</f>
        <v>0.0418648306977948</v>
      </c>
      <c r="E329" s="21" t="n">
        <f aca="false">2_Matriz_decision!E328/E$5</f>
        <v>0.0400721949850431</v>
      </c>
      <c r="F329" s="21" t="n">
        <f aca="false">2_Matriz_decision!F328/F$5</f>
        <v>0.0494057638940627</v>
      </c>
      <c r="G329" s="21" t="n">
        <f aca="false">2_Matriz_decision!G328/G$5</f>
        <v>0.0411149420220302</v>
      </c>
      <c r="H329" s="21" t="n">
        <f aca="false">2_Matriz_decision!H328/H$5</f>
        <v>0.0384268159034261</v>
      </c>
      <c r="I329" s="21" t="n">
        <f aca="false">2_Matriz_decision!I328/I$5</f>
        <v>0.0148184741491462</v>
      </c>
      <c r="J329" s="21" t="n">
        <f aca="false">2_Matriz_decision!J328/J$5</f>
        <v>0.0351992440847949</v>
      </c>
      <c r="K329" s="21" t="n">
        <f aca="false">2_Matriz_decision!K328/K$5</f>
        <v>0.039014903418414</v>
      </c>
      <c r="L329" s="21" t="n">
        <f aca="false">2_Matriz_decision!L328/L$5</f>
        <v>0.0494072703986723</v>
      </c>
      <c r="M329" s="21" t="n">
        <f aca="false">2_Matriz_decision!M328/M$5</f>
        <v>0.0284238028491827</v>
      </c>
      <c r="N329" s="21" t="n">
        <f aca="false">2_Matriz_decision!N328/N$5</f>
        <v>0.0336294130407101</v>
      </c>
      <c r="O329" s="21" t="n">
        <f aca="false">2_Matriz_decision!O328/O$5</f>
        <v>0.0304431282773992</v>
      </c>
      <c r="P329" s="21" t="n">
        <f aca="false">2_Matriz_decision!P328/P$5</f>
        <v>0.0264720767589686</v>
      </c>
      <c r="Q329" s="21" t="n">
        <f aca="false">2_Matriz_decision!Q328/Q$5</f>
        <v>0.0401681656862772</v>
      </c>
    </row>
    <row r="330" customFormat="false" ht="15" hidden="false" customHeight="false" outlineLevel="0" collapsed="false">
      <c r="A330" s="15" t="n">
        <f aca="false">2_Matriz_decision!A329</f>
        <v>325</v>
      </c>
      <c r="B330" s="16" t="n">
        <f aca="false">2_Matriz_decision!B329</f>
        <v>32.736</v>
      </c>
      <c r="C330" s="21" t="n">
        <f aca="false">2_Matriz_decision!C329/C$5</f>
        <v>0.0439697451539424</v>
      </c>
      <c r="D330" s="21" t="n">
        <f aca="false">2_Matriz_decision!D329/D$5</f>
        <v>0.0418648306977948</v>
      </c>
      <c r="E330" s="21" t="n">
        <f aca="false">2_Matriz_decision!E329/E$5</f>
        <v>0.0400721949850431</v>
      </c>
      <c r="F330" s="21" t="n">
        <f aca="false">2_Matriz_decision!F329/F$5</f>
        <v>0.0494057638940627</v>
      </c>
      <c r="G330" s="21" t="n">
        <f aca="false">2_Matriz_decision!G329/G$5</f>
        <v>0.0411149420220302</v>
      </c>
      <c r="H330" s="21" t="n">
        <f aca="false">2_Matriz_decision!H329/H$5</f>
        <v>0.0384268159034261</v>
      </c>
      <c r="I330" s="21" t="n">
        <f aca="false">2_Matriz_decision!I329/I$5</f>
        <v>0.0148184741491462</v>
      </c>
      <c r="J330" s="21" t="n">
        <f aca="false">2_Matriz_decision!J329/J$5</f>
        <v>0.0351992440847949</v>
      </c>
      <c r="K330" s="21" t="n">
        <f aca="false">2_Matriz_decision!K329/K$5</f>
        <v>0.039014903418414</v>
      </c>
      <c r="L330" s="21" t="n">
        <f aca="false">2_Matriz_decision!L329/L$5</f>
        <v>0.0482573312229522</v>
      </c>
      <c r="M330" s="21" t="n">
        <f aca="false">2_Matriz_decision!M329/M$5</f>
        <v>0.0303901599837162</v>
      </c>
      <c r="N330" s="21" t="n">
        <f aca="false">2_Matriz_decision!N329/N$5</f>
        <v>0.0336294130407101</v>
      </c>
      <c r="O330" s="21" t="n">
        <f aca="false">2_Matriz_decision!O329/O$5</f>
        <v>0.0304431282773992</v>
      </c>
      <c r="P330" s="21" t="n">
        <f aca="false">2_Matriz_decision!P329/P$5</f>
        <v>0.0264720767589686</v>
      </c>
      <c r="Q330" s="21" t="n">
        <f aca="false">2_Matriz_decision!Q329/Q$5</f>
        <v>0.0401681656862772</v>
      </c>
    </row>
    <row r="331" customFormat="false" ht="15" hidden="false" customHeight="false" outlineLevel="0" collapsed="false">
      <c r="A331" s="15" t="n">
        <f aca="false">2_Matriz_decision!A330</f>
        <v>326</v>
      </c>
      <c r="B331" s="16" t="n">
        <f aca="false">2_Matriz_decision!B330</f>
        <v>32.837</v>
      </c>
      <c r="C331" s="21" t="n">
        <f aca="false">2_Matriz_decision!C330/C$5</f>
        <v>0.0439697451539424</v>
      </c>
      <c r="D331" s="21" t="n">
        <f aca="false">2_Matriz_decision!D330/D$5</f>
        <v>0.0418648306977948</v>
      </c>
      <c r="E331" s="21" t="n">
        <f aca="false">2_Matriz_decision!E330/E$5</f>
        <v>0.0400721949850431</v>
      </c>
      <c r="F331" s="21" t="n">
        <f aca="false">2_Matriz_decision!F330/F$5</f>
        <v>0.0494057638940627</v>
      </c>
      <c r="G331" s="21" t="n">
        <f aca="false">2_Matriz_decision!G330/G$5</f>
        <v>0.0411149420220302</v>
      </c>
      <c r="H331" s="21" t="n">
        <f aca="false">2_Matriz_decision!H330/H$5</f>
        <v>0.0384268159034261</v>
      </c>
      <c r="I331" s="21" t="n">
        <f aca="false">2_Matriz_decision!I330/I$5</f>
        <v>0.0148184741491462</v>
      </c>
      <c r="J331" s="21" t="n">
        <f aca="false">2_Matriz_decision!J330/J$5</f>
        <v>0.0351992440847949</v>
      </c>
      <c r="K331" s="21" t="n">
        <f aca="false">2_Matriz_decision!K330/K$5</f>
        <v>0.039014903418414</v>
      </c>
      <c r="L331" s="21" t="n">
        <f aca="false">2_Matriz_decision!L330/L$5</f>
        <v>0.0457167679277566</v>
      </c>
      <c r="M331" s="21" t="n">
        <f aca="false">2_Matriz_decision!M330/M$5</f>
        <v>0.0308099440910885</v>
      </c>
      <c r="N331" s="21" t="n">
        <f aca="false">2_Matriz_decision!N330/N$5</f>
        <v>0.0336294130407101</v>
      </c>
      <c r="O331" s="21" t="n">
        <f aca="false">2_Matriz_decision!O330/O$5</f>
        <v>0.0304431282773992</v>
      </c>
      <c r="P331" s="21" t="n">
        <f aca="false">2_Matriz_decision!P330/P$5</f>
        <v>0.0264720767589686</v>
      </c>
      <c r="Q331" s="21" t="n">
        <f aca="false">2_Matriz_decision!Q330/Q$5</f>
        <v>0.0401681656862772</v>
      </c>
    </row>
    <row r="332" customFormat="false" ht="15" hidden="false" customHeight="false" outlineLevel="0" collapsed="false">
      <c r="A332" s="15" t="n">
        <f aca="false">2_Matriz_decision!A331</f>
        <v>327</v>
      </c>
      <c r="B332" s="16" t="n">
        <f aca="false">2_Matriz_decision!B331</f>
        <v>32.937</v>
      </c>
      <c r="C332" s="21" t="n">
        <f aca="false">2_Matriz_decision!C331/C$5</f>
        <v>0.0439697451539424</v>
      </c>
      <c r="D332" s="21" t="n">
        <f aca="false">2_Matriz_decision!D331/D$5</f>
        <v>0.0418648306977948</v>
      </c>
      <c r="E332" s="21" t="n">
        <f aca="false">2_Matriz_decision!E331/E$5</f>
        <v>0.0400721949850431</v>
      </c>
      <c r="F332" s="21" t="n">
        <f aca="false">2_Matriz_decision!F331/F$5</f>
        <v>0.0494057638940627</v>
      </c>
      <c r="G332" s="21" t="n">
        <f aca="false">2_Matriz_decision!G331/G$5</f>
        <v>0.0411149420220302</v>
      </c>
      <c r="H332" s="21" t="n">
        <f aca="false">2_Matriz_decision!H331/H$5</f>
        <v>0.0384268159034261</v>
      </c>
      <c r="I332" s="21" t="n">
        <f aca="false">2_Matriz_decision!I331/I$5</f>
        <v>0.0444554224474387</v>
      </c>
      <c r="J332" s="21" t="n">
        <f aca="false">2_Matriz_decision!J331/J$5</f>
        <v>0.0351992440847949</v>
      </c>
      <c r="K332" s="21" t="n">
        <f aca="false">2_Matriz_decision!K331/K$5</f>
        <v>0.039014903418414</v>
      </c>
      <c r="L332" s="21" t="n">
        <f aca="false">2_Matriz_decision!L331/L$5</f>
        <v>0.0461981378152673</v>
      </c>
      <c r="M332" s="21" t="n">
        <f aca="false">2_Matriz_decision!M331/M$5</f>
        <v>0.0297273429720757</v>
      </c>
      <c r="N332" s="21" t="n">
        <f aca="false">2_Matriz_decision!N331/N$5</f>
        <v>0.0336294130407101</v>
      </c>
      <c r="O332" s="21" t="n">
        <f aca="false">2_Matriz_decision!O331/O$5</f>
        <v>0.0304431282773992</v>
      </c>
      <c r="P332" s="21" t="n">
        <f aca="false">2_Matriz_decision!P331/P$5</f>
        <v>0.0264720767589686</v>
      </c>
      <c r="Q332" s="21" t="n">
        <f aca="false">2_Matriz_decision!Q331/Q$5</f>
        <v>0.0535575542483696</v>
      </c>
    </row>
    <row r="333" customFormat="false" ht="15" hidden="false" customHeight="false" outlineLevel="0" collapsed="false">
      <c r="A333" s="15" t="n">
        <f aca="false">2_Matriz_decision!A332</f>
        <v>328</v>
      </c>
      <c r="B333" s="16" t="n">
        <f aca="false">2_Matriz_decision!B332</f>
        <v>33.037</v>
      </c>
      <c r="C333" s="21" t="n">
        <f aca="false">2_Matriz_decision!C332/C$5</f>
        <v>0.0439697451539424</v>
      </c>
      <c r="D333" s="21" t="n">
        <f aca="false">2_Matriz_decision!D332/D$5</f>
        <v>0.0418648306977948</v>
      </c>
      <c r="E333" s="21" t="n">
        <f aca="false">2_Matriz_decision!E332/E$5</f>
        <v>0.0400721949850431</v>
      </c>
      <c r="F333" s="21" t="n">
        <f aca="false">2_Matriz_decision!F332/F$5</f>
        <v>0.0494057638940627</v>
      </c>
      <c r="G333" s="21" t="n">
        <f aca="false">2_Matriz_decision!G332/G$5</f>
        <v>0.0411149420220302</v>
      </c>
      <c r="H333" s="21" t="n">
        <f aca="false">2_Matriz_decision!H332/H$5</f>
        <v>0.0256178772689507</v>
      </c>
      <c r="I333" s="21" t="n">
        <f aca="false">2_Matriz_decision!I332/I$5</f>
        <v>0.0444554224474387</v>
      </c>
      <c r="J333" s="21" t="n">
        <f aca="false">2_Matriz_decision!J332/J$5</f>
        <v>0.0351992440847949</v>
      </c>
      <c r="K333" s="21" t="n">
        <f aca="false">2_Matriz_decision!K332/K$5</f>
        <v>0.039014903418414</v>
      </c>
      <c r="L333" s="21" t="n">
        <f aca="false">2_Matriz_decision!L332/L$5</f>
        <v>0.0451284269541323</v>
      </c>
      <c r="M333" s="21" t="n">
        <f aca="false">2_Matriz_decision!M332/M$5</f>
        <v>0.0294069814164495</v>
      </c>
      <c r="N333" s="21" t="n">
        <f aca="false">2_Matriz_decision!N332/N$5</f>
        <v>0.0336294130407101</v>
      </c>
      <c r="O333" s="21" t="n">
        <f aca="false">2_Matriz_decision!O332/O$5</f>
        <v>0.0304431282773992</v>
      </c>
      <c r="P333" s="21" t="n">
        <f aca="false">2_Matriz_decision!P332/P$5</f>
        <v>0.0264720767589686</v>
      </c>
      <c r="Q333" s="21" t="n">
        <f aca="false">2_Matriz_decision!Q332/Q$5</f>
        <v>0.0401681656862772</v>
      </c>
    </row>
    <row r="334" customFormat="false" ht="15" hidden="false" customHeight="false" outlineLevel="0" collapsed="false">
      <c r="A334" s="15" t="n">
        <f aca="false">2_Matriz_decision!A333</f>
        <v>329</v>
      </c>
      <c r="B334" s="16" t="n">
        <f aca="false">2_Matriz_decision!B333</f>
        <v>33.138</v>
      </c>
      <c r="C334" s="21" t="n">
        <f aca="false">2_Matriz_decision!C333/C$5</f>
        <v>0.0439697451539424</v>
      </c>
      <c r="D334" s="21" t="n">
        <f aca="false">2_Matriz_decision!D333/D$5</f>
        <v>0.0418648306977948</v>
      </c>
      <c r="E334" s="21" t="n">
        <f aca="false">2_Matriz_decision!E333/E$5</f>
        <v>0.0400721949850431</v>
      </c>
      <c r="F334" s="21" t="n">
        <f aca="false">2_Matriz_decision!F333/F$5</f>
        <v>0.0494057638940627</v>
      </c>
      <c r="G334" s="21" t="n">
        <f aca="false">2_Matriz_decision!G333/G$5</f>
        <v>0.0411149420220302</v>
      </c>
      <c r="H334" s="21" t="n">
        <f aca="false">2_Matriz_decision!H333/H$5</f>
        <v>0.0256178772689507</v>
      </c>
      <c r="I334" s="21" t="n">
        <f aca="false">2_Matriz_decision!I333/I$5</f>
        <v>0.0296369482982925</v>
      </c>
      <c r="J334" s="21" t="n">
        <f aca="false">2_Matriz_decision!J333/J$5</f>
        <v>0.0351992440847949</v>
      </c>
      <c r="K334" s="21" t="n">
        <f aca="false">2_Matriz_decision!K333/K$5</f>
        <v>0.039014903418414</v>
      </c>
      <c r="L334" s="21" t="n">
        <f aca="false">2_Matriz_decision!L333/L$5</f>
        <v>0.0460376811860971</v>
      </c>
      <c r="M334" s="21" t="n">
        <f aca="false">2_Matriz_decision!M333/M$5</f>
        <v>0.0293296527650914</v>
      </c>
      <c r="N334" s="21" t="n">
        <f aca="false">2_Matriz_decision!N333/N$5</f>
        <v>0.0336294130407101</v>
      </c>
      <c r="O334" s="21" t="n">
        <f aca="false">2_Matriz_decision!O333/O$5</f>
        <v>0.0304431282773992</v>
      </c>
      <c r="P334" s="21" t="n">
        <f aca="false">2_Matriz_decision!P333/P$5</f>
        <v>0.0264720767589686</v>
      </c>
      <c r="Q334" s="21" t="n">
        <f aca="false">2_Matriz_decision!Q333/Q$5</f>
        <v>0.0535575542483696</v>
      </c>
    </row>
    <row r="335" customFormat="false" ht="15" hidden="false" customHeight="false" outlineLevel="0" collapsed="false">
      <c r="A335" s="15" t="n">
        <f aca="false">2_Matriz_decision!A334</f>
        <v>330</v>
      </c>
      <c r="B335" s="16" t="n">
        <f aca="false">2_Matriz_decision!B334</f>
        <v>33.238</v>
      </c>
      <c r="C335" s="21" t="n">
        <f aca="false">2_Matriz_decision!C334/C$5</f>
        <v>0.0439697451539424</v>
      </c>
      <c r="D335" s="21" t="n">
        <f aca="false">2_Matriz_decision!D334/D$5</f>
        <v>0.0418648306977948</v>
      </c>
      <c r="E335" s="21" t="n">
        <f aca="false">2_Matriz_decision!E334/E$5</f>
        <v>0.0400721949850431</v>
      </c>
      <c r="F335" s="21" t="n">
        <f aca="false">2_Matriz_decision!F334/F$5</f>
        <v>0.0494057638940627</v>
      </c>
      <c r="G335" s="21" t="n">
        <f aca="false">2_Matriz_decision!G334/G$5</f>
        <v>0.0411149420220302</v>
      </c>
      <c r="H335" s="21" t="n">
        <f aca="false">2_Matriz_decision!H334/H$5</f>
        <v>0.0256178772689507</v>
      </c>
      <c r="I335" s="21" t="n">
        <f aca="false">2_Matriz_decision!I334/I$5</f>
        <v>0.0444554224474387</v>
      </c>
      <c r="J335" s="21" t="n">
        <f aca="false">2_Matriz_decision!J334/J$5</f>
        <v>0.0351992440847949</v>
      </c>
      <c r="K335" s="21" t="n">
        <f aca="false">2_Matriz_decision!K334/K$5</f>
        <v>0.0312119227347312</v>
      </c>
      <c r="L335" s="21" t="n">
        <f aca="false">2_Matriz_decision!L334/L$5</f>
        <v>0.0494340131702007</v>
      </c>
      <c r="M335" s="21" t="n">
        <f aca="false">2_Matriz_decision!M334/M$5</f>
        <v>0.0293406997152854</v>
      </c>
      <c r="N335" s="21" t="n">
        <f aca="false">2_Matriz_decision!N334/N$5</f>
        <v>0.0336294130407101</v>
      </c>
      <c r="O335" s="21" t="n">
        <f aca="false">2_Matriz_decision!O334/O$5</f>
        <v>0.0304431282773992</v>
      </c>
      <c r="P335" s="21" t="n">
        <f aca="false">2_Matriz_decision!P334/P$5</f>
        <v>0.0264720767589686</v>
      </c>
      <c r="Q335" s="21" t="n">
        <f aca="false">2_Matriz_decision!Q334/Q$5</f>
        <v>0.0535575542483696</v>
      </c>
    </row>
    <row r="336" customFormat="false" ht="15" hidden="false" customHeight="false" outlineLevel="0" collapsed="false">
      <c r="A336" s="15" t="n">
        <f aca="false">2_Matriz_decision!A335</f>
        <v>331</v>
      </c>
      <c r="B336" s="16" t="n">
        <f aca="false">2_Matriz_decision!B335</f>
        <v>33.338</v>
      </c>
      <c r="C336" s="21" t="n">
        <f aca="false">2_Matriz_decision!C335/C$5</f>
        <v>0.0439697451539424</v>
      </c>
      <c r="D336" s="21" t="n">
        <f aca="false">2_Matriz_decision!D335/D$5</f>
        <v>0.0418648306977948</v>
      </c>
      <c r="E336" s="21" t="n">
        <f aca="false">2_Matriz_decision!E335/E$5</f>
        <v>0.0400721949850431</v>
      </c>
      <c r="F336" s="21" t="n">
        <f aca="false">2_Matriz_decision!F335/F$5</f>
        <v>0.0494057638940627</v>
      </c>
      <c r="G336" s="21" t="n">
        <f aca="false">2_Matriz_decision!G335/G$5</f>
        <v>0.0411149420220302</v>
      </c>
      <c r="H336" s="21" t="n">
        <f aca="false">2_Matriz_decision!H335/H$5</f>
        <v>0.0256178772689507</v>
      </c>
      <c r="I336" s="21" t="n">
        <f aca="false">2_Matriz_decision!I335/I$5</f>
        <v>0.0444554224474387</v>
      </c>
      <c r="J336" s="21" t="n">
        <f aca="false">2_Matriz_decision!J335/J$5</f>
        <v>0.0351992440847949</v>
      </c>
      <c r="K336" s="21" t="n">
        <f aca="false">2_Matriz_decision!K335/K$5</f>
        <v>0.0312119227347312</v>
      </c>
      <c r="L336" s="21" t="n">
        <f aca="false">2_Matriz_decision!L335/L$5</f>
        <v>0.0524425749671428</v>
      </c>
      <c r="M336" s="21" t="n">
        <f aca="false">2_Matriz_decision!M335/M$5</f>
        <v>0.0272307322282299</v>
      </c>
      <c r="N336" s="21" t="n">
        <f aca="false">2_Matriz_decision!N335/N$5</f>
        <v>0.0336294130407101</v>
      </c>
      <c r="O336" s="21" t="n">
        <f aca="false">2_Matriz_decision!O335/O$5</f>
        <v>0.0304431282773992</v>
      </c>
      <c r="P336" s="21" t="n">
        <f aca="false">2_Matriz_decision!P335/P$5</f>
        <v>0.0264720767589686</v>
      </c>
      <c r="Q336" s="21" t="n">
        <f aca="false">2_Matriz_decision!Q335/Q$5</f>
        <v>0.0535575542483696</v>
      </c>
    </row>
    <row r="337" customFormat="false" ht="15" hidden="false" customHeight="false" outlineLevel="0" collapsed="false">
      <c r="A337" s="15" t="n">
        <f aca="false">2_Matriz_decision!A336</f>
        <v>332</v>
      </c>
      <c r="B337" s="16" t="n">
        <f aca="false">2_Matriz_decision!B336</f>
        <v>33.438</v>
      </c>
      <c r="C337" s="21" t="n">
        <f aca="false">2_Matriz_decision!C336/C$5</f>
        <v>0.0439697451539424</v>
      </c>
      <c r="D337" s="21" t="n">
        <f aca="false">2_Matriz_decision!D336/D$5</f>
        <v>0.0418648306977948</v>
      </c>
      <c r="E337" s="21" t="n">
        <f aca="false">2_Matriz_decision!E336/E$5</f>
        <v>0.0400721949850431</v>
      </c>
      <c r="F337" s="21" t="n">
        <f aca="false">2_Matriz_decision!F336/F$5</f>
        <v>0.0494057638940627</v>
      </c>
      <c r="G337" s="21" t="n">
        <f aca="false">2_Matriz_decision!G336/G$5</f>
        <v>0.0411149420220302</v>
      </c>
      <c r="H337" s="21" t="n">
        <f aca="false">2_Matriz_decision!H336/H$5</f>
        <v>0.0256178772689507</v>
      </c>
      <c r="I337" s="21" t="n">
        <f aca="false">2_Matriz_decision!I336/I$5</f>
        <v>0.0296369482982925</v>
      </c>
      <c r="J337" s="21" t="n">
        <f aca="false">2_Matriz_decision!J336/J$5</f>
        <v>0.0351992440847949</v>
      </c>
      <c r="K337" s="21" t="n">
        <f aca="false">2_Matriz_decision!K336/K$5</f>
        <v>0.0312119227347312</v>
      </c>
      <c r="L337" s="21" t="n">
        <f aca="false">2_Matriz_decision!L336/L$5</f>
        <v>0.0529640590119461</v>
      </c>
      <c r="M337" s="21" t="n">
        <f aca="false">2_Matriz_decision!M336/M$5</f>
        <v>0.0241817739746836</v>
      </c>
      <c r="N337" s="21" t="n">
        <f aca="false">2_Matriz_decision!N336/N$5</f>
        <v>0.0336294130407101</v>
      </c>
      <c r="O337" s="21" t="n">
        <f aca="false">2_Matriz_decision!O336/O$5</f>
        <v>0.0304431282773992</v>
      </c>
      <c r="P337" s="21" t="n">
        <f aca="false">2_Matriz_decision!P336/P$5</f>
        <v>0.0264720767589686</v>
      </c>
      <c r="Q337" s="21" t="n">
        <f aca="false">2_Matriz_decision!Q336/Q$5</f>
        <v>0.066946942810462</v>
      </c>
    </row>
    <row r="338" customFormat="false" ht="15" hidden="false" customHeight="false" outlineLevel="0" collapsed="false">
      <c r="A338" s="15" t="n">
        <f aca="false">2_Matriz_decision!A337</f>
        <v>333</v>
      </c>
      <c r="B338" s="16" t="n">
        <f aca="false">2_Matriz_decision!B337</f>
        <v>33.539</v>
      </c>
      <c r="C338" s="21" t="n">
        <f aca="false">2_Matriz_decision!C337/C$5</f>
        <v>0.0439697451539424</v>
      </c>
      <c r="D338" s="21" t="n">
        <f aca="false">2_Matriz_decision!D337/D$5</f>
        <v>0.0418648306977948</v>
      </c>
      <c r="E338" s="21" t="n">
        <f aca="false">2_Matriz_decision!E337/E$5</f>
        <v>0.0500902437313038</v>
      </c>
      <c r="F338" s="21" t="n">
        <f aca="false">2_Matriz_decision!F337/F$5</f>
        <v>0.0494057638940627</v>
      </c>
      <c r="G338" s="21" t="n">
        <f aca="false">2_Matriz_decision!G337/G$5</f>
        <v>0.0411149420220302</v>
      </c>
      <c r="H338" s="21" t="n">
        <f aca="false">2_Matriz_decision!H337/H$5</f>
        <v>0.0256178772689507</v>
      </c>
      <c r="I338" s="21" t="n">
        <f aca="false">2_Matriz_decision!I337/I$5</f>
        <v>0.0740923707457312</v>
      </c>
      <c r="J338" s="21" t="n">
        <f aca="false">2_Matriz_decision!J337/J$5</f>
        <v>0.0351992440847949</v>
      </c>
      <c r="K338" s="21" t="n">
        <f aca="false">2_Matriz_decision!K337/K$5</f>
        <v>0.0312119227347312</v>
      </c>
      <c r="L338" s="21" t="n">
        <f aca="false">2_Matriz_decision!L337/L$5</f>
        <v>0.0526966312966624</v>
      </c>
      <c r="M338" s="21" t="n">
        <f aca="false">2_Matriz_decision!M337/M$5</f>
        <v>0.0221380881887922</v>
      </c>
      <c r="N338" s="21" t="n">
        <f aca="false">2_Matriz_decision!N337/N$5</f>
        <v>0.0336294130407101</v>
      </c>
      <c r="O338" s="21" t="n">
        <f aca="false">2_Matriz_decision!O337/O$5</f>
        <v>0.0304431282773992</v>
      </c>
      <c r="P338" s="21" t="n">
        <f aca="false">2_Matriz_decision!P337/P$5</f>
        <v>0.0264720767589686</v>
      </c>
      <c r="Q338" s="21" t="n">
        <f aca="false">2_Matriz_decision!Q337/Q$5</f>
        <v>0.0535575542483696</v>
      </c>
    </row>
    <row r="339" customFormat="false" ht="15" hidden="false" customHeight="false" outlineLevel="0" collapsed="false">
      <c r="A339" s="15" t="n">
        <f aca="false">2_Matriz_decision!A338</f>
        <v>334</v>
      </c>
      <c r="B339" s="16" t="n">
        <f aca="false">2_Matriz_decision!B338</f>
        <v>33.639</v>
      </c>
      <c r="C339" s="21" t="n">
        <f aca="false">2_Matriz_decision!C338/C$5</f>
        <v>0.0439697451539424</v>
      </c>
      <c r="D339" s="21" t="n">
        <f aca="false">2_Matriz_decision!D338/D$5</f>
        <v>0.0418648306977948</v>
      </c>
      <c r="E339" s="21" t="n">
        <f aca="false">2_Matriz_decision!E338/E$5</f>
        <v>0.0500902437313038</v>
      </c>
      <c r="F339" s="21" t="n">
        <f aca="false">2_Matriz_decision!F338/F$5</f>
        <v>0.0494057638940627</v>
      </c>
      <c r="G339" s="21" t="n">
        <f aca="false">2_Matriz_decision!G338/G$5</f>
        <v>0.0411149420220302</v>
      </c>
      <c r="H339" s="21" t="n">
        <f aca="false">2_Matriz_decision!H338/H$5</f>
        <v>0.0256178772689507</v>
      </c>
      <c r="I339" s="21" t="n">
        <f aca="false">2_Matriz_decision!I338/I$5</f>
        <v>0.0740923707457312</v>
      </c>
      <c r="J339" s="21" t="n">
        <f aca="false">2_Matriz_decision!J338/J$5</f>
        <v>0.0351992440847949</v>
      </c>
      <c r="K339" s="21" t="n">
        <f aca="false">2_Matriz_decision!K338/K$5</f>
        <v>0.0312119227347312</v>
      </c>
      <c r="L339" s="21" t="n">
        <f aca="false">2_Matriz_decision!L338/L$5</f>
        <v>0.0525762888247847</v>
      </c>
      <c r="M339" s="21" t="n">
        <f aca="false">2_Matriz_decision!M338/M$5</f>
        <v>0.0262696475613512</v>
      </c>
      <c r="N339" s="21" t="n">
        <f aca="false">2_Matriz_decision!N338/N$5</f>
        <v>0.0336294130407101</v>
      </c>
      <c r="O339" s="21" t="n">
        <f aca="false">2_Matriz_decision!O338/O$5</f>
        <v>0.0304431282773992</v>
      </c>
      <c r="P339" s="21" t="n">
        <f aca="false">2_Matriz_decision!P338/P$5</f>
        <v>0.0264720767589686</v>
      </c>
      <c r="Q339" s="21" t="n">
        <f aca="false">2_Matriz_decision!Q338/Q$5</f>
        <v>0.0133893885620924</v>
      </c>
    </row>
    <row r="340" customFormat="false" ht="15" hidden="false" customHeight="false" outlineLevel="0" collapsed="false">
      <c r="A340" s="15" t="n">
        <f aca="false">2_Matriz_decision!A339</f>
        <v>335</v>
      </c>
      <c r="B340" s="16" t="n">
        <f aca="false">2_Matriz_decision!B339</f>
        <v>33.74</v>
      </c>
      <c r="C340" s="21" t="n">
        <f aca="false">2_Matriz_decision!C339/C$5</f>
        <v>0.0439697451539424</v>
      </c>
      <c r="D340" s="21" t="n">
        <f aca="false">2_Matriz_decision!D339/D$5</f>
        <v>0.0418648306977948</v>
      </c>
      <c r="E340" s="21" t="n">
        <f aca="false">2_Matriz_decision!E339/E$5</f>
        <v>0.0500902437313038</v>
      </c>
      <c r="F340" s="21" t="n">
        <f aca="false">2_Matriz_decision!F339/F$5</f>
        <v>0.0494057638940627</v>
      </c>
      <c r="G340" s="21" t="n">
        <f aca="false">2_Matriz_decision!G339/G$5</f>
        <v>0.0411149420220302</v>
      </c>
      <c r="H340" s="21" t="n">
        <f aca="false">2_Matriz_decision!H339/H$5</f>
        <v>0.0256178772689507</v>
      </c>
      <c r="I340" s="21" t="n">
        <f aca="false">2_Matriz_decision!I339/I$5</f>
        <v>0.0740923707457312</v>
      </c>
      <c r="J340" s="21" t="n">
        <f aca="false">2_Matriz_decision!J339/J$5</f>
        <v>0.0351992440847949</v>
      </c>
      <c r="K340" s="21" t="n">
        <f aca="false">2_Matriz_decision!K339/K$5</f>
        <v>0.0312119227347312</v>
      </c>
      <c r="L340" s="21" t="n">
        <f aca="false">2_Matriz_decision!L339/L$5</f>
        <v>0.0530442873265313</v>
      </c>
      <c r="M340" s="21" t="n">
        <f aca="false">2_Matriz_decision!M339/M$5</f>
        <v>0.0227125295988806</v>
      </c>
      <c r="N340" s="21" t="n">
        <f aca="false">2_Matriz_decision!N339/N$5</f>
        <v>0.0336294130407101</v>
      </c>
      <c r="O340" s="21" t="n">
        <f aca="false">2_Matriz_decision!O339/O$5</f>
        <v>0.0304431282773992</v>
      </c>
      <c r="P340" s="21" t="n">
        <f aca="false">2_Matriz_decision!P339/P$5</f>
        <v>0.0264720767589686</v>
      </c>
      <c r="Q340" s="21" t="n">
        <f aca="false">2_Matriz_decision!Q339/Q$5</f>
        <v>0.066946942810462</v>
      </c>
    </row>
    <row r="341" customFormat="false" ht="15" hidden="false" customHeight="false" outlineLevel="0" collapsed="false">
      <c r="A341" s="15" t="n">
        <f aca="false">2_Matriz_decision!A340</f>
        <v>336</v>
      </c>
      <c r="B341" s="16" t="n">
        <f aca="false">2_Matriz_decision!B340</f>
        <v>33.841</v>
      </c>
      <c r="C341" s="21" t="n">
        <f aca="false">2_Matriz_decision!C340/C$5</f>
        <v>0.0439697451539424</v>
      </c>
      <c r="D341" s="21" t="n">
        <f aca="false">2_Matriz_decision!D340/D$5</f>
        <v>0.0418648306977948</v>
      </c>
      <c r="E341" s="21" t="n">
        <f aca="false">2_Matriz_decision!E340/E$5</f>
        <v>0.0500902437313038</v>
      </c>
      <c r="F341" s="21" t="n">
        <f aca="false">2_Matriz_decision!F340/F$5</f>
        <v>0.0494057638940627</v>
      </c>
      <c r="G341" s="21" t="n">
        <f aca="false">2_Matriz_decision!G340/G$5</f>
        <v>0.0411149420220302</v>
      </c>
      <c r="H341" s="21" t="n">
        <f aca="false">2_Matriz_decision!H340/H$5</f>
        <v>0.0256178772689507</v>
      </c>
      <c r="I341" s="21" t="n">
        <f aca="false">2_Matriz_decision!I340/I$5</f>
        <v>0.0740923707457312</v>
      </c>
      <c r="J341" s="21" t="n">
        <f aca="false">2_Matriz_decision!J340/J$5</f>
        <v>0.0351992440847949</v>
      </c>
      <c r="K341" s="21" t="n">
        <f aca="false">2_Matriz_decision!K340/K$5</f>
        <v>0.0312119227347312</v>
      </c>
      <c r="L341" s="21" t="n">
        <f aca="false">2_Matriz_decision!L340/L$5</f>
        <v>0.0520681761657456</v>
      </c>
      <c r="M341" s="21" t="n">
        <f aca="false">2_Matriz_decision!M340/M$5</f>
        <v>0.0242038678750717</v>
      </c>
      <c r="N341" s="21" t="n">
        <f aca="false">2_Matriz_decision!N340/N$5</f>
        <v>0.0336294130407101</v>
      </c>
      <c r="O341" s="21" t="n">
        <f aca="false">2_Matriz_decision!O340/O$5</f>
        <v>0.0304431282773992</v>
      </c>
      <c r="P341" s="21" t="n">
        <f aca="false">2_Matriz_decision!P340/P$5</f>
        <v>0.0264720767589686</v>
      </c>
      <c r="Q341" s="21" t="n">
        <f aca="false">2_Matriz_decision!Q340/Q$5</f>
        <v>0.066946942810462</v>
      </c>
    </row>
    <row r="342" customFormat="false" ht="15" hidden="false" customHeight="false" outlineLevel="0" collapsed="false">
      <c r="A342" s="15" t="n">
        <f aca="false">2_Matriz_decision!A341</f>
        <v>337</v>
      </c>
      <c r="B342" s="16" t="n">
        <f aca="false">2_Matriz_decision!B341</f>
        <v>33.942</v>
      </c>
      <c r="C342" s="21" t="n">
        <f aca="false">2_Matriz_decision!C341/C$5</f>
        <v>0.0439697451539424</v>
      </c>
      <c r="D342" s="21" t="n">
        <f aca="false">2_Matriz_decision!D341/D$5</f>
        <v>0.0418648306977948</v>
      </c>
      <c r="E342" s="21" t="n">
        <f aca="false">2_Matriz_decision!E341/E$5</f>
        <v>0.0500902437313038</v>
      </c>
      <c r="F342" s="21" t="n">
        <f aca="false">2_Matriz_decision!F341/F$5</f>
        <v>0.0494057638940627</v>
      </c>
      <c r="G342" s="21" t="n">
        <f aca="false">2_Matriz_decision!G341/G$5</f>
        <v>0.0411149420220302</v>
      </c>
      <c r="H342" s="21" t="n">
        <f aca="false">2_Matriz_decision!H341/H$5</f>
        <v>0.0256178772689507</v>
      </c>
      <c r="I342" s="21" t="n">
        <f aca="false">2_Matriz_decision!I341/I$5</f>
        <v>0.0740923707457312</v>
      </c>
      <c r="J342" s="21" t="n">
        <f aca="false">2_Matriz_decision!J341/J$5</f>
        <v>0.0351992440847949</v>
      </c>
      <c r="K342" s="21" t="n">
        <f aca="false">2_Matriz_decision!K341/K$5</f>
        <v>0.0312119227347312</v>
      </c>
      <c r="L342" s="21" t="n">
        <f aca="false">2_Matriz_decision!L341/L$5</f>
        <v>0.0469335640322976</v>
      </c>
      <c r="M342" s="21" t="n">
        <f aca="false">2_Matriz_decision!M341/M$5</f>
        <v>0.0264795396150373</v>
      </c>
      <c r="N342" s="21" t="n">
        <f aca="false">2_Matriz_decision!N341/N$5</f>
        <v>0.0336294130407101</v>
      </c>
      <c r="O342" s="21" t="n">
        <f aca="false">2_Matriz_decision!O341/O$5</f>
        <v>0.0304431282773992</v>
      </c>
      <c r="P342" s="21" t="n">
        <f aca="false">2_Matriz_decision!P341/P$5</f>
        <v>0.0264720767589686</v>
      </c>
      <c r="Q342" s="21" t="n">
        <f aca="false">2_Matriz_decision!Q341/Q$5</f>
        <v>0.0133893885620924</v>
      </c>
    </row>
    <row r="343" customFormat="false" ht="15" hidden="false" customHeight="false" outlineLevel="0" collapsed="false">
      <c r="A343" s="15" t="n">
        <f aca="false">2_Matriz_decision!A342</f>
        <v>338</v>
      </c>
      <c r="B343" s="16" t="n">
        <f aca="false">2_Matriz_decision!B342</f>
        <v>34.044</v>
      </c>
      <c r="C343" s="21" t="n">
        <f aca="false">2_Matriz_decision!C342/C$5</f>
        <v>0.0439697451539424</v>
      </c>
      <c r="D343" s="21" t="n">
        <f aca="false">2_Matriz_decision!D342/D$5</f>
        <v>0.0418648306977948</v>
      </c>
      <c r="E343" s="21" t="n">
        <f aca="false">2_Matriz_decision!E342/E$5</f>
        <v>0.0500902437313038</v>
      </c>
      <c r="F343" s="21" t="n">
        <f aca="false">2_Matriz_decision!F342/F$5</f>
        <v>0.0494057638940627</v>
      </c>
      <c r="G343" s="21" t="n">
        <f aca="false">2_Matriz_decision!G342/G$5</f>
        <v>0.0411149420220302</v>
      </c>
      <c r="H343" s="21" t="n">
        <f aca="false">2_Matriz_decision!H342/H$5</f>
        <v>0.0256178772689507</v>
      </c>
      <c r="I343" s="21" t="n">
        <f aca="false">2_Matriz_decision!I342/I$5</f>
        <v>0.0740923707457312</v>
      </c>
      <c r="J343" s="21" t="n">
        <f aca="false">2_Matriz_decision!J342/J$5</f>
        <v>0.0351992440847949</v>
      </c>
      <c r="K343" s="21" t="n">
        <f aca="false">2_Matriz_decision!K342/K$5</f>
        <v>0.0312119227347312</v>
      </c>
      <c r="L343" s="21" t="n">
        <f aca="false">2_Matriz_decision!L342/L$5</f>
        <v>0.0494340131702007</v>
      </c>
      <c r="M343" s="21" t="n">
        <f aca="false">2_Matriz_decision!M342/M$5</f>
        <v>0.0238393185186694</v>
      </c>
      <c r="N343" s="21" t="n">
        <f aca="false">2_Matriz_decision!N342/N$5</f>
        <v>0.0336294130407101</v>
      </c>
      <c r="O343" s="21" t="n">
        <f aca="false">2_Matriz_decision!O342/O$5</f>
        <v>0.0304431282773992</v>
      </c>
      <c r="P343" s="21" t="n">
        <f aca="false">2_Matriz_decision!P342/P$5</f>
        <v>0.0264720767589686</v>
      </c>
      <c r="Q343" s="21" t="n">
        <f aca="false">2_Matriz_decision!Q342/Q$5</f>
        <v>0.066946942810462</v>
      </c>
    </row>
    <row r="344" customFormat="false" ht="15" hidden="false" customHeight="false" outlineLevel="0" collapsed="false">
      <c r="A344" s="15" t="n">
        <f aca="false">2_Matriz_decision!A343</f>
        <v>339</v>
      </c>
      <c r="B344" s="16" t="n">
        <f aca="false">2_Matriz_decision!B343</f>
        <v>34.145</v>
      </c>
      <c r="C344" s="21" t="n">
        <f aca="false">2_Matriz_decision!C343/C$5</f>
        <v>0.0439697451539424</v>
      </c>
      <c r="D344" s="21" t="n">
        <f aca="false">2_Matriz_decision!D343/D$5</f>
        <v>0.0418648306977948</v>
      </c>
      <c r="E344" s="21" t="n">
        <f aca="false">2_Matriz_decision!E343/E$5</f>
        <v>0.0500902437313038</v>
      </c>
      <c r="F344" s="21" t="n">
        <f aca="false">2_Matriz_decision!F343/F$5</f>
        <v>0.0494057638940627</v>
      </c>
      <c r="G344" s="21" t="n">
        <f aca="false">2_Matriz_decision!G343/G$5</f>
        <v>0.0411149420220302</v>
      </c>
      <c r="H344" s="21" t="n">
        <f aca="false">2_Matriz_decision!H343/H$5</f>
        <v>0.0256178772689507</v>
      </c>
      <c r="I344" s="21" t="n">
        <f aca="false">2_Matriz_decision!I343/I$5</f>
        <v>0.0740923707457312</v>
      </c>
      <c r="J344" s="21" t="n">
        <f aca="false">2_Matriz_decision!J343/J$5</f>
        <v>0.0351992440847949</v>
      </c>
      <c r="K344" s="21" t="n">
        <f aca="false">2_Matriz_decision!K343/K$5</f>
        <v>0.0312119227347312</v>
      </c>
      <c r="L344" s="21" t="n">
        <f aca="false">2_Matriz_decision!L343/L$5</f>
        <v>0.0524158321956145</v>
      </c>
      <c r="M344" s="21" t="n">
        <f aca="false">2_Matriz_decision!M343/M$5</f>
        <v>0.0229445155529547</v>
      </c>
      <c r="N344" s="21" t="n">
        <f aca="false">2_Matriz_decision!N343/N$5</f>
        <v>0.0336294130407101</v>
      </c>
      <c r="O344" s="21" t="n">
        <f aca="false">2_Matriz_decision!O343/O$5</f>
        <v>0.0304431282773992</v>
      </c>
      <c r="P344" s="21" t="n">
        <f aca="false">2_Matriz_decision!P343/P$5</f>
        <v>0.0264720767589686</v>
      </c>
      <c r="Q344" s="21" t="n">
        <f aca="false">2_Matriz_decision!Q343/Q$5</f>
        <v>0.066946942810462</v>
      </c>
    </row>
    <row r="345" customFormat="false" ht="15" hidden="false" customHeight="false" outlineLevel="0" collapsed="false">
      <c r="A345" s="15" t="n">
        <f aca="false">2_Matriz_decision!A344</f>
        <v>340</v>
      </c>
      <c r="B345" s="16" t="n">
        <f aca="false">2_Matriz_decision!B344</f>
        <v>34.246</v>
      </c>
      <c r="C345" s="21" t="n">
        <f aca="false">2_Matriz_decision!C344/C$5</f>
        <v>0.0439697451539424</v>
      </c>
      <c r="D345" s="21" t="n">
        <f aca="false">2_Matriz_decision!D344/D$5</f>
        <v>0.0418648306977948</v>
      </c>
      <c r="E345" s="21" t="n">
        <f aca="false">2_Matriz_decision!E344/E$5</f>
        <v>0.0500902437313038</v>
      </c>
      <c r="F345" s="21" t="n">
        <f aca="false">2_Matriz_decision!F344/F$5</f>
        <v>0.0494057638940627</v>
      </c>
      <c r="G345" s="21" t="n">
        <f aca="false">2_Matriz_decision!G344/G$5</f>
        <v>0.0411149420220302</v>
      </c>
      <c r="H345" s="21" t="n">
        <f aca="false">2_Matriz_decision!H344/H$5</f>
        <v>0.0256178772689507</v>
      </c>
      <c r="I345" s="21" t="n">
        <f aca="false">2_Matriz_decision!I344/I$5</f>
        <v>0.0740923707457312</v>
      </c>
      <c r="J345" s="21" t="n">
        <f aca="false">2_Matriz_decision!J344/J$5</f>
        <v>0.0351992440847949</v>
      </c>
      <c r="K345" s="21" t="n">
        <f aca="false">2_Matriz_decision!K344/K$5</f>
        <v>0.0312119227347312</v>
      </c>
      <c r="L345" s="21" t="n">
        <f aca="false">2_Matriz_decision!L344/L$5</f>
        <v>0.0526966312966624</v>
      </c>
      <c r="M345" s="21" t="n">
        <f aca="false">2_Matriz_decision!M344/M$5</f>
        <v>0.0268882767722156</v>
      </c>
      <c r="N345" s="21" t="n">
        <f aca="false">2_Matriz_decision!N344/N$5</f>
        <v>0.0336294130407101</v>
      </c>
      <c r="O345" s="21" t="n">
        <f aca="false">2_Matriz_decision!O344/O$5</f>
        <v>0.0304431282773992</v>
      </c>
      <c r="P345" s="21" t="n">
        <f aca="false">2_Matriz_decision!P344/P$5</f>
        <v>0.0264720767589686</v>
      </c>
      <c r="Q345" s="21" t="n">
        <f aca="false">2_Matriz_decision!Q344/Q$5</f>
        <v>0.0535575542483696</v>
      </c>
    </row>
    <row r="346" customFormat="false" ht="15" hidden="false" customHeight="false" outlineLevel="0" collapsed="false">
      <c r="A346" s="15" t="n">
        <f aca="false">2_Matriz_decision!A345</f>
        <v>341</v>
      </c>
      <c r="B346" s="16" t="n">
        <f aca="false">2_Matriz_decision!B345</f>
        <v>34.347</v>
      </c>
      <c r="C346" s="21" t="n">
        <f aca="false">2_Matriz_decision!C345/C$5</f>
        <v>0.0439697451539424</v>
      </c>
      <c r="D346" s="21" t="n">
        <f aca="false">2_Matriz_decision!D345/D$5</f>
        <v>0.0418648306977948</v>
      </c>
      <c r="E346" s="21" t="n">
        <f aca="false">2_Matriz_decision!E345/E$5</f>
        <v>0.0400721949850431</v>
      </c>
      <c r="F346" s="21" t="n">
        <f aca="false">2_Matriz_decision!F345/F$5</f>
        <v>0.0494057638940627</v>
      </c>
      <c r="G346" s="21" t="n">
        <f aca="false">2_Matriz_decision!G345/G$5</f>
        <v>0.0411149420220302</v>
      </c>
      <c r="H346" s="21" t="n">
        <f aca="false">2_Matriz_decision!H345/H$5</f>
        <v>0.0256178772689507</v>
      </c>
      <c r="I346" s="21" t="n">
        <f aca="false">2_Matriz_decision!I345/I$5</f>
        <v>0.0148184741491462</v>
      </c>
      <c r="J346" s="21" t="n">
        <f aca="false">2_Matriz_decision!J345/J$5</f>
        <v>0.0351992440847949</v>
      </c>
      <c r="K346" s="21" t="n">
        <f aca="false">2_Matriz_decision!K345/K$5</f>
        <v>0.0312119227347312</v>
      </c>
      <c r="L346" s="21" t="n">
        <f aca="false">2_Matriz_decision!L345/L$5</f>
        <v>0.0534454288994569</v>
      </c>
      <c r="M346" s="21" t="n">
        <f aca="false">2_Matriz_decision!M345/M$5</f>
        <v>0.0242701495762357</v>
      </c>
      <c r="N346" s="21" t="n">
        <f aca="false">2_Matriz_decision!N345/N$5</f>
        <v>0.0336294130407101</v>
      </c>
      <c r="O346" s="21" t="n">
        <f aca="false">2_Matriz_decision!O345/O$5</f>
        <v>0.0304431282773992</v>
      </c>
      <c r="P346" s="21" t="n">
        <f aca="false">2_Matriz_decision!P345/P$5</f>
        <v>0.0264720767589686</v>
      </c>
      <c r="Q346" s="21" t="n">
        <f aca="false">2_Matriz_decision!Q345/Q$5</f>
        <v>0.066946942810462</v>
      </c>
    </row>
    <row r="347" customFormat="false" ht="15" hidden="false" customHeight="false" outlineLevel="0" collapsed="false">
      <c r="A347" s="15" t="n">
        <f aca="false">2_Matriz_decision!A346</f>
        <v>342</v>
      </c>
      <c r="B347" s="16" t="n">
        <f aca="false">2_Matriz_decision!B346</f>
        <v>34.447</v>
      </c>
      <c r="C347" s="21" t="n">
        <f aca="false">2_Matriz_decision!C346/C$5</f>
        <v>0.0439697451539424</v>
      </c>
      <c r="D347" s="21" t="n">
        <f aca="false">2_Matriz_decision!D346/D$5</f>
        <v>0.0418648306977948</v>
      </c>
      <c r="E347" s="21" t="n">
        <f aca="false">2_Matriz_decision!E346/E$5</f>
        <v>0.0400721949850431</v>
      </c>
      <c r="F347" s="21" t="n">
        <f aca="false">2_Matriz_decision!F346/F$5</f>
        <v>0.0494057638940627</v>
      </c>
      <c r="G347" s="21" t="n">
        <f aca="false">2_Matriz_decision!G346/G$5</f>
        <v>0.0411149420220302</v>
      </c>
      <c r="H347" s="21" t="n">
        <f aca="false">2_Matriz_decision!H346/H$5</f>
        <v>0.0256178772689507</v>
      </c>
      <c r="I347" s="21" t="n">
        <f aca="false">2_Matriz_decision!I346/I$5</f>
        <v>0.0444554224474387</v>
      </c>
      <c r="J347" s="21" t="n">
        <f aca="false">2_Matriz_decision!J346/J$5</f>
        <v>0.0351992440847949</v>
      </c>
      <c r="K347" s="21" t="n">
        <f aca="false">2_Matriz_decision!K346/K$5</f>
        <v>0.0312119227347312</v>
      </c>
      <c r="L347" s="21" t="n">
        <f aca="false">2_Matriz_decision!L346/L$5</f>
        <v>0.0529239448546536</v>
      </c>
      <c r="M347" s="21" t="n">
        <f aca="false">2_Matriz_decision!M346/M$5</f>
        <v>0.0244800416299219</v>
      </c>
      <c r="N347" s="21" t="n">
        <f aca="false">2_Matriz_decision!N346/N$5</f>
        <v>0.0448392173876134</v>
      </c>
      <c r="O347" s="21" t="n">
        <f aca="false">2_Matriz_decision!O346/O$5</f>
        <v>0.0304431282773992</v>
      </c>
      <c r="P347" s="21" t="n">
        <f aca="false">2_Matriz_decision!P346/P$5</f>
        <v>0.0264720767589686</v>
      </c>
      <c r="Q347" s="21" t="n">
        <f aca="false">2_Matriz_decision!Q346/Q$5</f>
        <v>0.066946942810462</v>
      </c>
    </row>
    <row r="348" customFormat="false" ht="15" hidden="false" customHeight="false" outlineLevel="0" collapsed="false">
      <c r="A348" s="15" t="n">
        <f aca="false">2_Matriz_decision!A347</f>
        <v>343</v>
      </c>
      <c r="B348" s="16" t="n">
        <f aca="false">2_Matriz_decision!B347</f>
        <v>34.546</v>
      </c>
      <c r="C348" s="21" t="n">
        <f aca="false">2_Matriz_decision!C347/C$5</f>
        <v>0.0439697451539424</v>
      </c>
      <c r="D348" s="21" t="n">
        <f aca="false">2_Matriz_decision!D347/D$5</f>
        <v>0.0418648306977948</v>
      </c>
      <c r="E348" s="21" t="n">
        <f aca="false">2_Matriz_decision!E347/E$5</f>
        <v>0.0400721949850431</v>
      </c>
      <c r="F348" s="21" t="n">
        <f aca="false">2_Matriz_decision!F347/F$5</f>
        <v>0.0494057638940627</v>
      </c>
      <c r="G348" s="21" t="n">
        <f aca="false">2_Matriz_decision!G347/G$5</f>
        <v>0.0411149420220302</v>
      </c>
      <c r="H348" s="21" t="n">
        <f aca="false">2_Matriz_decision!H347/H$5</f>
        <v>0.0256178772689507</v>
      </c>
      <c r="I348" s="21" t="n">
        <f aca="false">2_Matriz_decision!I347/I$5</f>
        <v>0.0740923707457312</v>
      </c>
      <c r="J348" s="21" t="n">
        <f aca="false">2_Matriz_decision!J347/J$5</f>
        <v>0.0351992440847949</v>
      </c>
      <c r="K348" s="21" t="n">
        <f aca="false">2_Matriz_decision!K347/K$5</f>
        <v>0.0312119227347312</v>
      </c>
      <c r="L348" s="21" t="n">
        <f aca="false">2_Matriz_decision!L347/L$5</f>
        <v>0.052028062008453</v>
      </c>
      <c r="M348" s="21" t="n">
        <f aca="false">2_Matriz_decision!M347/M$5</f>
        <v>0.0298820002747918</v>
      </c>
      <c r="N348" s="21" t="n">
        <f aca="false">2_Matriz_decision!N347/N$5</f>
        <v>0.0448392173876134</v>
      </c>
      <c r="O348" s="21" t="n">
        <f aca="false">2_Matriz_decision!O347/O$5</f>
        <v>0.0304431282773992</v>
      </c>
      <c r="P348" s="21" t="n">
        <f aca="false">2_Matriz_decision!P347/P$5</f>
        <v>0.0264720767589686</v>
      </c>
      <c r="Q348" s="21" t="n">
        <f aca="false">2_Matriz_decision!Q347/Q$5</f>
        <v>0.066946942810462</v>
      </c>
    </row>
    <row r="349" customFormat="false" ht="15" hidden="false" customHeight="false" outlineLevel="0" collapsed="false">
      <c r="A349" s="15" t="n">
        <f aca="false">2_Matriz_decision!A348</f>
        <v>344</v>
      </c>
      <c r="B349" s="16" t="n">
        <f aca="false">2_Matriz_decision!B348</f>
        <v>34.645</v>
      </c>
      <c r="C349" s="21" t="n">
        <f aca="false">2_Matriz_decision!C348/C$5</f>
        <v>0.0439697451539424</v>
      </c>
      <c r="D349" s="21" t="n">
        <f aca="false">2_Matriz_decision!D348/D$5</f>
        <v>0.0418648306977948</v>
      </c>
      <c r="E349" s="21" t="n">
        <f aca="false">2_Matriz_decision!E348/E$5</f>
        <v>0.0400721949850431</v>
      </c>
      <c r="F349" s="21" t="n">
        <f aca="false">2_Matriz_decision!F348/F$5</f>
        <v>0.0395246111152501</v>
      </c>
      <c r="G349" s="21" t="n">
        <f aca="false">2_Matriz_decision!G348/G$5</f>
        <v>0.0411149420220302</v>
      </c>
      <c r="H349" s="21" t="n">
        <f aca="false">2_Matriz_decision!H348/H$5</f>
        <v>0.0256178772689507</v>
      </c>
      <c r="I349" s="21" t="n">
        <f aca="false">2_Matriz_decision!I348/I$5</f>
        <v>0.0740923707457312</v>
      </c>
      <c r="J349" s="21" t="n">
        <f aca="false">2_Matriz_decision!J348/J$5</f>
        <v>0.0351992440847949</v>
      </c>
      <c r="K349" s="21" t="n">
        <f aca="false">2_Matriz_decision!K348/K$5</f>
        <v>0.0312119227347312</v>
      </c>
      <c r="L349" s="21" t="n">
        <f aca="false">2_Matriz_decision!L348/L$5</f>
        <v>0.052308861109501</v>
      </c>
      <c r="M349" s="21" t="n">
        <f aca="false">2_Matriz_decision!M348/M$5</f>
        <v>0.0303901599837162</v>
      </c>
      <c r="N349" s="21" t="n">
        <f aca="false">2_Matriz_decision!N348/N$5</f>
        <v>0.0448392173876134</v>
      </c>
      <c r="O349" s="21" t="n">
        <f aca="false">2_Matriz_decision!O348/O$5</f>
        <v>0.0304431282773992</v>
      </c>
      <c r="P349" s="21" t="n">
        <f aca="false">2_Matriz_decision!P348/P$5</f>
        <v>0.0264720767589686</v>
      </c>
      <c r="Q349" s="21" t="n">
        <f aca="false">2_Matriz_decision!Q348/Q$5</f>
        <v>0.066946942810462</v>
      </c>
    </row>
    <row r="350" customFormat="false" ht="15" hidden="false" customHeight="false" outlineLevel="0" collapsed="false">
      <c r="A350" s="15" t="n">
        <f aca="false">2_Matriz_decision!A349</f>
        <v>345</v>
      </c>
      <c r="B350" s="16" t="n">
        <f aca="false">2_Matriz_decision!B349</f>
        <v>34.744</v>
      </c>
      <c r="C350" s="21" t="n">
        <f aca="false">2_Matriz_decision!C349/C$5</f>
        <v>0.0439697451539424</v>
      </c>
      <c r="D350" s="21" t="n">
        <f aca="false">2_Matriz_decision!D349/D$5</f>
        <v>0.0418648306977948</v>
      </c>
      <c r="E350" s="21" t="n">
        <f aca="false">2_Matriz_decision!E349/E$5</f>
        <v>0.0400721949850431</v>
      </c>
      <c r="F350" s="21" t="n">
        <f aca="false">2_Matriz_decision!F349/F$5</f>
        <v>0.0296434583364376</v>
      </c>
      <c r="G350" s="21" t="n">
        <f aca="false">2_Matriz_decision!G349/G$5</f>
        <v>0.0411149420220302</v>
      </c>
      <c r="H350" s="21" t="n">
        <f aca="false">2_Matriz_decision!H349/H$5</f>
        <v>0.0256178772689507</v>
      </c>
      <c r="I350" s="21" t="n">
        <f aca="false">2_Matriz_decision!I349/I$5</f>
        <v>0.0740923707457312</v>
      </c>
      <c r="J350" s="21" t="n">
        <f aca="false">2_Matriz_decision!J349/J$5</f>
        <v>0.0351992440847949</v>
      </c>
      <c r="K350" s="21" t="n">
        <f aca="false">2_Matriz_decision!K349/K$5</f>
        <v>0.039014903418414</v>
      </c>
      <c r="L350" s="21" t="n">
        <f aca="false">2_Matriz_decision!L349/L$5</f>
        <v>0.0502362963160519</v>
      </c>
      <c r="M350" s="21" t="n">
        <f aca="false">2_Matriz_decision!M349/M$5</f>
        <v>0.0327983951260099</v>
      </c>
      <c r="N350" s="21" t="n">
        <f aca="false">2_Matriz_decision!N349/N$5</f>
        <v>0.0448392173876134</v>
      </c>
      <c r="O350" s="21" t="n">
        <f aca="false">2_Matriz_decision!O349/O$5</f>
        <v>0.0304431282773992</v>
      </c>
      <c r="P350" s="21" t="n">
        <f aca="false">2_Matriz_decision!P349/P$5</f>
        <v>0.0264720767589686</v>
      </c>
      <c r="Q350" s="21" t="n">
        <f aca="false">2_Matriz_decision!Q349/Q$5</f>
        <v>0.066946942810462</v>
      </c>
    </row>
    <row r="351" customFormat="false" ht="15" hidden="false" customHeight="false" outlineLevel="0" collapsed="false">
      <c r="A351" s="15" t="n">
        <f aca="false">2_Matriz_decision!A350</f>
        <v>346</v>
      </c>
      <c r="B351" s="16" t="n">
        <f aca="false">2_Matriz_decision!B350</f>
        <v>34.843</v>
      </c>
      <c r="C351" s="21" t="n">
        <f aca="false">2_Matriz_decision!C350/C$5</f>
        <v>0.0439697451539424</v>
      </c>
      <c r="D351" s="21" t="n">
        <f aca="false">2_Matriz_decision!D350/D$5</f>
        <v>0.0418648306977948</v>
      </c>
      <c r="E351" s="21" t="n">
        <f aca="false">2_Matriz_decision!E350/E$5</f>
        <v>0.0500902437313038</v>
      </c>
      <c r="F351" s="21" t="n">
        <f aca="false">2_Matriz_decision!F350/F$5</f>
        <v>0.0197623055576251</v>
      </c>
      <c r="G351" s="21" t="n">
        <f aca="false">2_Matriz_decision!G350/G$5</f>
        <v>0.0411149420220302</v>
      </c>
      <c r="H351" s="21" t="n">
        <f aca="false">2_Matriz_decision!H350/H$5</f>
        <v>0.0256178772689507</v>
      </c>
      <c r="I351" s="21" t="n">
        <f aca="false">2_Matriz_decision!I350/I$5</f>
        <v>0.0740923707457312</v>
      </c>
      <c r="J351" s="21" t="n">
        <f aca="false">2_Matriz_decision!J350/J$5</f>
        <v>0.0351992440847949</v>
      </c>
      <c r="K351" s="21" t="n">
        <f aca="false">2_Matriz_decision!K350/K$5</f>
        <v>0.039014903418414</v>
      </c>
      <c r="L351" s="21" t="n">
        <f aca="false">2_Matriz_decision!L350/L$5</f>
        <v>0.0470004209611186</v>
      </c>
      <c r="M351" s="21" t="n">
        <f aca="false">2_Matriz_decision!M350/M$5</f>
        <v>0.0319809208116533</v>
      </c>
      <c r="N351" s="21" t="n">
        <f aca="false">2_Matriz_decision!N350/N$5</f>
        <v>0.0448392173876134</v>
      </c>
      <c r="O351" s="21" t="n">
        <f aca="false">2_Matriz_decision!O350/O$5</f>
        <v>0.0304431282773992</v>
      </c>
      <c r="P351" s="21" t="n">
        <f aca="false">2_Matriz_decision!P350/P$5</f>
        <v>0.0264720767589686</v>
      </c>
      <c r="Q351" s="21" t="n">
        <f aca="false">2_Matriz_decision!Q350/Q$5</f>
        <v>0.066946942810462</v>
      </c>
    </row>
    <row r="352" customFormat="false" ht="15" hidden="false" customHeight="false" outlineLevel="0" collapsed="false">
      <c r="A352" s="15" t="n">
        <f aca="false">2_Matriz_decision!A351</f>
        <v>347</v>
      </c>
      <c r="B352" s="16" t="n">
        <f aca="false">2_Matriz_decision!B351</f>
        <v>34.941</v>
      </c>
      <c r="C352" s="21" t="n">
        <f aca="false">2_Matriz_decision!C351/C$5</f>
        <v>0.0439697451539424</v>
      </c>
      <c r="D352" s="21" t="n">
        <f aca="false">2_Matriz_decision!D351/D$5</f>
        <v>0.0418648306977948</v>
      </c>
      <c r="E352" s="21" t="n">
        <f aca="false">2_Matriz_decision!E351/E$5</f>
        <v>0.0500902437313038</v>
      </c>
      <c r="F352" s="21" t="n">
        <f aca="false">2_Matriz_decision!F351/F$5</f>
        <v>0.0296434583364376</v>
      </c>
      <c r="G352" s="21" t="n">
        <f aca="false">2_Matriz_decision!G351/G$5</f>
        <v>0.0411149420220302</v>
      </c>
      <c r="H352" s="21" t="n">
        <f aca="false">2_Matriz_decision!H351/H$5</f>
        <v>0.0256178772689507</v>
      </c>
      <c r="I352" s="21" t="n">
        <f aca="false">2_Matriz_decision!I351/I$5</f>
        <v>0.0740923707457312</v>
      </c>
      <c r="J352" s="21" t="n">
        <f aca="false">2_Matriz_decision!J351/J$5</f>
        <v>0.0351992440847949</v>
      </c>
      <c r="K352" s="21" t="n">
        <f aca="false">2_Matriz_decision!K351/K$5</f>
        <v>0.039014903418414</v>
      </c>
      <c r="L352" s="21" t="n">
        <f aca="false">2_Matriz_decision!L351/L$5</f>
        <v>0.0385497051581522</v>
      </c>
      <c r="M352" s="21" t="n">
        <f aca="false">2_Matriz_decision!M351/M$5</f>
        <v>0.0340908882987089</v>
      </c>
      <c r="N352" s="21" t="n">
        <f aca="false">2_Matriz_decision!N351/N$5</f>
        <v>0.0448392173876134</v>
      </c>
      <c r="O352" s="21" t="n">
        <f aca="false">2_Matriz_decision!O351/O$5</f>
        <v>0.0304431282773992</v>
      </c>
      <c r="P352" s="21" t="n">
        <f aca="false">2_Matriz_decision!P351/P$5</f>
        <v>0.0264720767589686</v>
      </c>
      <c r="Q352" s="21" t="n">
        <f aca="false">2_Matriz_decision!Q351/Q$5</f>
        <v>0.0535575542483696</v>
      </c>
    </row>
    <row r="353" customFormat="false" ht="15" hidden="false" customHeight="false" outlineLevel="0" collapsed="false">
      <c r="A353" s="15" t="n">
        <f aca="false">2_Matriz_decision!A352</f>
        <v>348</v>
      </c>
      <c r="B353" s="16" t="n">
        <f aca="false">2_Matriz_decision!B352</f>
        <v>35.04</v>
      </c>
      <c r="C353" s="21" t="n">
        <f aca="false">2_Matriz_decision!C352/C$5</f>
        <v>0.0439697451539424</v>
      </c>
      <c r="D353" s="21" t="n">
        <f aca="false">2_Matriz_decision!D352/D$5</f>
        <v>0.0418648306977948</v>
      </c>
      <c r="E353" s="21" t="n">
        <f aca="false">2_Matriz_decision!E352/E$5</f>
        <v>0.0500902437313038</v>
      </c>
      <c r="F353" s="21" t="n">
        <f aca="false">2_Matriz_decision!F352/F$5</f>
        <v>0.0395246111152501</v>
      </c>
      <c r="G353" s="21" t="n">
        <f aca="false">2_Matriz_decision!G352/G$5</f>
        <v>0.0411149420220302</v>
      </c>
      <c r="H353" s="21" t="n">
        <f aca="false">2_Matriz_decision!H352/H$5</f>
        <v>0.0256178772689507</v>
      </c>
      <c r="I353" s="21" t="n">
        <f aca="false">2_Matriz_decision!I352/I$5</f>
        <v>0.0444554224474387</v>
      </c>
      <c r="J353" s="21" t="n">
        <f aca="false">2_Matriz_decision!J352/J$5</f>
        <v>0.0351992440847949</v>
      </c>
      <c r="K353" s="21" t="n">
        <f aca="false">2_Matriz_decision!K352/K$5</f>
        <v>0.039014903418414</v>
      </c>
      <c r="L353" s="21" t="n">
        <f aca="false">2_Matriz_decision!L352/L$5</f>
        <v>0.0366777111511659</v>
      </c>
      <c r="M353" s="21" t="n">
        <f aca="false">2_Matriz_decision!M352/M$5</f>
        <v>0.0358804942301382</v>
      </c>
      <c r="N353" s="21" t="n">
        <f aca="false">2_Matriz_decision!N352/N$5</f>
        <v>0.0448392173876134</v>
      </c>
      <c r="O353" s="21" t="n">
        <f aca="false">2_Matriz_decision!O352/O$5</f>
        <v>0.0304431282773992</v>
      </c>
      <c r="P353" s="21" t="n">
        <f aca="false">2_Matriz_decision!P352/P$5</f>
        <v>0.0264720767589686</v>
      </c>
      <c r="Q353" s="21" t="n">
        <f aca="false">2_Matriz_decision!Q352/Q$5</f>
        <v>0.0535575542483696</v>
      </c>
    </row>
    <row r="354" customFormat="false" ht="15" hidden="false" customHeight="false" outlineLevel="0" collapsed="false">
      <c r="A354" s="15" t="n">
        <f aca="false">2_Matriz_decision!A353</f>
        <v>349</v>
      </c>
      <c r="B354" s="16" t="n">
        <f aca="false">2_Matriz_decision!B353</f>
        <v>35.139</v>
      </c>
      <c r="C354" s="21" t="n">
        <f aca="false">2_Matriz_decision!C353/C$5</f>
        <v>0.0439697451539424</v>
      </c>
      <c r="D354" s="21" t="n">
        <f aca="false">2_Matriz_decision!D353/D$5</f>
        <v>0.0418648306977948</v>
      </c>
      <c r="E354" s="21" t="n">
        <f aca="false">2_Matriz_decision!E353/E$5</f>
        <v>0.0400721949850431</v>
      </c>
      <c r="F354" s="21" t="n">
        <f aca="false">2_Matriz_decision!F353/F$5</f>
        <v>0.0494057638940627</v>
      </c>
      <c r="G354" s="21" t="n">
        <f aca="false">2_Matriz_decision!G353/G$5</f>
        <v>0.0411149420220302</v>
      </c>
      <c r="H354" s="21" t="n">
        <f aca="false">2_Matriz_decision!H353/H$5</f>
        <v>0.0256178772689507</v>
      </c>
      <c r="I354" s="21" t="n">
        <f aca="false">2_Matriz_decision!I353/I$5</f>
        <v>0.0148184741491462</v>
      </c>
      <c r="J354" s="21" t="n">
        <f aca="false">2_Matriz_decision!J353/J$5</f>
        <v>0.0351992440847949</v>
      </c>
      <c r="K354" s="21" t="n">
        <f aca="false">2_Matriz_decision!K353/K$5</f>
        <v>0.039014903418414</v>
      </c>
      <c r="L354" s="21" t="n">
        <f aca="false">2_Matriz_decision!L353/L$5</f>
        <v>0.0326529240361455</v>
      </c>
      <c r="M354" s="21" t="n">
        <f aca="false">2_Matriz_decision!M353/M$5</f>
        <v>0.0366979685444948</v>
      </c>
      <c r="N354" s="21" t="n">
        <f aca="false">2_Matriz_decision!N353/N$5</f>
        <v>0.0448392173876134</v>
      </c>
      <c r="O354" s="21" t="n">
        <f aca="false">2_Matriz_decision!O353/O$5</f>
        <v>0.0304431282773992</v>
      </c>
      <c r="P354" s="21" t="n">
        <f aca="false">2_Matriz_decision!P353/P$5</f>
        <v>0.0264720767589686</v>
      </c>
      <c r="Q354" s="21" t="n">
        <f aca="false">2_Matriz_decision!Q353/Q$5</f>
        <v>0.0535575542483696</v>
      </c>
    </row>
    <row r="355" customFormat="false" ht="15" hidden="false" customHeight="false" outlineLevel="0" collapsed="false">
      <c r="A355" s="15" t="n">
        <f aca="false">2_Matriz_decision!A354</f>
        <v>350</v>
      </c>
      <c r="B355" s="16" t="n">
        <f aca="false">2_Matriz_decision!B354</f>
        <v>35.237</v>
      </c>
      <c r="C355" s="21" t="n">
        <f aca="false">2_Matriz_decision!C354/C$5</f>
        <v>0.0439697451539424</v>
      </c>
      <c r="D355" s="21" t="n">
        <f aca="false">2_Matriz_decision!D354/D$5</f>
        <v>0.0418648306977948</v>
      </c>
      <c r="E355" s="21" t="n">
        <f aca="false">2_Matriz_decision!E354/E$5</f>
        <v>0.0400721949850431</v>
      </c>
      <c r="F355" s="21" t="n">
        <f aca="false">2_Matriz_decision!F354/F$5</f>
        <v>0.0494057638940627</v>
      </c>
      <c r="G355" s="21" t="n">
        <f aca="false">2_Matriz_decision!G354/G$5</f>
        <v>0.0411149420220302</v>
      </c>
      <c r="H355" s="21" t="n">
        <f aca="false">2_Matriz_decision!H354/H$5</f>
        <v>0.0256178772689507</v>
      </c>
      <c r="I355" s="21" t="n">
        <f aca="false">2_Matriz_decision!I354/I$5</f>
        <v>0.0148184741491462</v>
      </c>
      <c r="J355" s="21" t="n">
        <f aca="false">2_Matriz_decision!J354/J$5</f>
        <v>0.0351992440847949</v>
      </c>
      <c r="K355" s="21" t="n">
        <f aca="false">2_Matriz_decision!K354/K$5</f>
        <v>0.039014903418414</v>
      </c>
      <c r="L355" s="21" t="n">
        <f aca="false">2_Matriz_decision!L354/L$5</f>
        <v>0.0327331523507307</v>
      </c>
      <c r="M355" s="21" t="n">
        <f aca="false">2_Matriz_decision!M354/M$5</f>
        <v>0.0332623670341583</v>
      </c>
      <c r="N355" s="21" t="n">
        <f aca="false">2_Matriz_decision!N354/N$5</f>
        <v>0.0448392173876134</v>
      </c>
      <c r="O355" s="21" t="n">
        <f aca="false">2_Matriz_decision!O354/O$5</f>
        <v>0.0304431282773992</v>
      </c>
      <c r="P355" s="21" t="n">
        <f aca="false">2_Matriz_decision!P354/P$5</f>
        <v>0.0264720767589686</v>
      </c>
      <c r="Q355" s="21" t="n">
        <f aca="false">2_Matriz_decision!Q354/Q$5</f>
        <v>0.0535575542483696</v>
      </c>
    </row>
    <row r="356" customFormat="false" ht="15" hidden="false" customHeight="false" outlineLevel="0" collapsed="false">
      <c r="A356" s="15" t="n">
        <f aca="false">2_Matriz_decision!A355</f>
        <v>351</v>
      </c>
      <c r="B356" s="16" t="n">
        <f aca="false">2_Matriz_decision!B355</f>
        <v>35.336</v>
      </c>
      <c r="C356" s="21" t="n">
        <f aca="false">2_Matriz_decision!C355/C$5</f>
        <v>0.0439697451539424</v>
      </c>
      <c r="D356" s="21" t="n">
        <f aca="false">2_Matriz_decision!D355/D$5</f>
        <v>0.0418648306977948</v>
      </c>
      <c r="E356" s="21" t="n">
        <f aca="false">2_Matriz_decision!E355/E$5</f>
        <v>0.0500902437313038</v>
      </c>
      <c r="F356" s="21" t="n">
        <f aca="false">2_Matriz_decision!F355/F$5</f>
        <v>0.0395246111152501</v>
      </c>
      <c r="G356" s="21" t="n">
        <f aca="false">2_Matriz_decision!G355/G$5</f>
        <v>0.0411149420220302</v>
      </c>
      <c r="H356" s="21" t="n">
        <f aca="false">2_Matriz_decision!H355/H$5</f>
        <v>0.0256178772689507</v>
      </c>
      <c r="I356" s="21" t="n">
        <f aca="false">2_Matriz_decision!I355/I$5</f>
        <v>0.0592738965965849</v>
      </c>
      <c r="J356" s="21" t="n">
        <f aca="false">2_Matriz_decision!J355/J$5</f>
        <v>0.0351992440847949</v>
      </c>
      <c r="K356" s="21" t="n">
        <f aca="false">2_Matriz_decision!K355/K$5</f>
        <v>0.039014903418414</v>
      </c>
      <c r="L356" s="21" t="n">
        <f aca="false">2_Matriz_decision!L355/L$5</f>
        <v>0.0352469728743979</v>
      </c>
      <c r="M356" s="21" t="n">
        <f aca="false">2_Matriz_decision!M355/M$5</f>
        <v>0.0335606346893965</v>
      </c>
      <c r="N356" s="21" t="n">
        <f aca="false">2_Matriz_decision!N355/N$5</f>
        <v>0.0448392173876134</v>
      </c>
      <c r="O356" s="21" t="n">
        <f aca="false">2_Matriz_decision!O355/O$5</f>
        <v>0.0304431282773992</v>
      </c>
      <c r="P356" s="21" t="n">
        <f aca="false">2_Matriz_decision!P355/P$5</f>
        <v>0.0264720767589686</v>
      </c>
      <c r="Q356" s="21" t="n">
        <f aca="false">2_Matriz_decision!Q355/Q$5</f>
        <v>0.0401681656862772</v>
      </c>
    </row>
    <row r="357" customFormat="false" ht="15" hidden="false" customHeight="false" outlineLevel="0" collapsed="false">
      <c r="A357" s="15" t="n">
        <f aca="false">2_Matriz_decision!A356</f>
        <v>352</v>
      </c>
      <c r="B357" s="16" t="n">
        <f aca="false">2_Matriz_decision!B356</f>
        <v>35.435</v>
      </c>
      <c r="C357" s="21" t="n">
        <f aca="false">2_Matriz_decision!C356/C$5</f>
        <v>0.0439697451539424</v>
      </c>
      <c r="D357" s="21" t="n">
        <f aca="false">2_Matriz_decision!D356/D$5</f>
        <v>0.0418648306977948</v>
      </c>
      <c r="E357" s="21" t="n">
        <f aca="false">2_Matriz_decision!E356/E$5</f>
        <v>0.0500902437313038</v>
      </c>
      <c r="F357" s="21" t="n">
        <f aca="false">2_Matriz_decision!F356/F$5</f>
        <v>0.0395246111152501</v>
      </c>
      <c r="G357" s="21" t="n">
        <f aca="false">2_Matriz_decision!G356/G$5</f>
        <v>0.0411149420220302</v>
      </c>
      <c r="H357" s="21" t="n">
        <f aca="false">2_Matriz_decision!H356/H$5</f>
        <v>0.0256178772689507</v>
      </c>
      <c r="I357" s="21" t="n">
        <f aca="false">2_Matriz_decision!I356/I$5</f>
        <v>0.0592738965965849</v>
      </c>
      <c r="J357" s="21" t="n">
        <f aca="false">2_Matriz_decision!J356/J$5</f>
        <v>0.0351992440847949</v>
      </c>
      <c r="K357" s="21" t="n">
        <f aca="false">2_Matriz_decision!K356/K$5</f>
        <v>0.039014903418414</v>
      </c>
      <c r="L357" s="21" t="n">
        <f aca="false">2_Matriz_decision!L356/L$5</f>
        <v>0.0383491343716893</v>
      </c>
      <c r="M357" s="21" t="n">
        <f aca="false">2_Matriz_decision!M356/M$5</f>
        <v>0.0330082871796961</v>
      </c>
      <c r="N357" s="21" t="n">
        <f aca="false">2_Matriz_decision!N356/N$5</f>
        <v>0.0448392173876134</v>
      </c>
      <c r="O357" s="21" t="n">
        <f aca="false">2_Matriz_decision!O356/O$5</f>
        <v>0.0304431282773992</v>
      </c>
      <c r="P357" s="21" t="n">
        <f aca="false">2_Matriz_decision!P356/P$5</f>
        <v>0.0264720767589686</v>
      </c>
      <c r="Q357" s="21" t="n">
        <f aca="false">2_Matriz_decision!Q356/Q$5</f>
        <v>0.0535575542483696</v>
      </c>
    </row>
    <row r="358" customFormat="false" ht="15" hidden="false" customHeight="false" outlineLevel="0" collapsed="false">
      <c r="A358" s="15" t="n">
        <f aca="false">2_Matriz_decision!A357</f>
        <v>353</v>
      </c>
      <c r="B358" s="16" t="n">
        <f aca="false">2_Matriz_decision!B357</f>
        <v>35.534</v>
      </c>
      <c r="C358" s="21" t="n">
        <f aca="false">2_Matriz_decision!C357/C$5</f>
        <v>0.0439697451539424</v>
      </c>
      <c r="D358" s="21" t="n">
        <f aca="false">2_Matriz_decision!D357/D$5</f>
        <v>0.0418648306977948</v>
      </c>
      <c r="E358" s="21" t="n">
        <f aca="false">2_Matriz_decision!E357/E$5</f>
        <v>0.0400721949850431</v>
      </c>
      <c r="F358" s="21" t="n">
        <f aca="false">2_Matriz_decision!F357/F$5</f>
        <v>0.0494057638940627</v>
      </c>
      <c r="G358" s="21" t="n">
        <f aca="false">2_Matriz_decision!G357/G$5</f>
        <v>0.0411149420220302</v>
      </c>
      <c r="H358" s="21" t="n">
        <f aca="false">2_Matriz_decision!H357/H$5</f>
        <v>0.0256178772689507</v>
      </c>
      <c r="I358" s="21" t="n">
        <f aca="false">2_Matriz_decision!I357/I$5</f>
        <v>0.0296369482982925</v>
      </c>
      <c r="J358" s="21" t="n">
        <f aca="false">2_Matriz_decision!J357/J$5</f>
        <v>0.0351992440847949</v>
      </c>
      <c r="K358" s="21" t="n">
        <f aca="false">2_Matriz_decision!K357/K$5</f>
        <v>0.039014903418414</v>
      </c>
      <c r="L358" s="21" t="n">
        <f aca="false">2_Matriz_decision!L357/L$5</f>
        <v>0.0370119957952706</v>
      </c>
      <c r="M358" s="21" t="n">
        <f aca="false">2_Matriz_decision!M357/M$5</f>
        <v>0.0337705267430826</v>
      </c>
      <c r="N358" s="21" t="n">
        <f aca="false">2_Matriz_decision!N357/N$5</f>
        <v>0.0448392173876134</v>
      </c>
      <c r="O358" s="21" t="n">
        <f aca="false">2_Matriz_decision!O357/O$5</f>
        <v>0.0304431282773992</v>
      </c>
      <c r="P358" s="21" t="n">
        <f aca="false">2_Matriz_decision!P357/P$5</f>
        <v>0.0264720767589686</v>
      </c>
      <c r="Q358" s="21" t="n">
        <f aca="false">2_Matriz_decision!Q357/Q$5</f>
        <v>0.0401681656862772</v>
      </c>
    </row>
    <row r="359" customFormat="false" ht="15" hidden="false" customHeight="false" outlineLevel="0" collapsed="false">
      <c r="A359" s="15" t="n">
        <f aca="false">2_Matriz_decision!A358</f>
        <v>354</v>
      </c>
      <c r="B359" s="16" t="n">
        <f aca="false">2_Matriz_decision!B358</f>
        <v>35.633</v>
      </c>
      <c r="C359" s="21" t="n">
        <f aca="false">2_Matriz_decision!C358/C$5</f>
        <v>0.0439697451539424</v>
      </c>
      <c r="D359" s="21" t="n">
        <f aca="false">2_Matriz_decision!D358/D$5</f>
        <v>0.0418648306977948</v>
      </c>
      <c r="E359" s="21" t="n">
        <f aca="false">2_Matriz_decision!E358/E$5</f>
        <v>0.0400721949850431</v>
      </c>
      <c r="F359" s="21" t="n">
        <f aca="false">2_Matriz_decision!F358/F$5</f>
        <v>0.0395246111152501</v>
      </c>
      <c r="G359" s="21" t="n">
        <f aca="false">2_Matriz_decision!G358/G$5</f>
        <v>0.0411149420220302</v>
      </c>
      <c r="H359" s="21" t="n">
        <f aca="false">2_Matriz_decision!H358/H$5</f>
        <v>0.0256178772689507</v>
      </c>
      <c r="I359" s="21" t="n">
        <f aca="false">2_Matriz_decision!I358/I$5</f>
        <v>0.0296369482982925</v>
      </c>
      <c r="J359" s="21" t="n">
        <f aca="false">2_Matriz_decision!J358/J$5</f>
        <v>0.0351992440847949</v>
      </c>
      <c r="K359" s="21" t="n">
        <f aca="false">2_Matriz_decision!K358/K$5</f>
        <v>0.039014903418414</v>
      </c>
      <c r="L359" s="21" t="n">
        <f aca="false">2_Matriz_decision!L358/L$5</f>
        <v>0.038536333772388</v>
      </c>
      <c r="M359" s="21" t="n">
        <f aca="false">2_Matriz_decision!M358/M$5</f>
        <v>0.0337263389423066</v>
      </c>
      <c r="N359" s="21" t="n">
        <f aca="false">2_Matriz_decision!N358/N$5</f>
        <v>0.0448392173876134</v>
      </c>
      <c r="O359" s="21" t="n">
        <f aca="false">2_Matriz_decision!O358/O$5</f>
        <v>0.0304431282773992</v>
      </c>
      <c r="P359" s="21" t="n">
        <f aca="false">2_Matriz_decision!P358/P$5</f>
        <v>0.0264720767589686</v>
      </c>
      <c r="Q359" s="21" t="n">
        <f aca="false">2_Matriz_decision!Q358/Q$5</f>
        <v>0.0535575542483696</v>
      </c>
    </row>
    <row r="360" customFormat="false" ht="15" hidden="false" customHeight="false" outlineLevel="0" collapsed="false">
      <c r="A360" s="15" t="n">
        <f aca="false">2_Matriz_decision!A359</f>
        <v>355</v>
      </c>
      <c r="B360" s="16" t="n">
        <f aca="false">2_Matriz_decision!B359</f>
        <v>35.732</v>
      </c>
      <c r="C360" s="21" t="n">
        <f aca="false">2_Matriz_decision!C359/C$5</f>
        <v>0.0439697451539424</v>
      </c>
      <c r="D360" s="21" t="n">
        <f aca="false">2_Matriz_decision!D359/D$5</f>
        <v>0.0418648306977948</v>
      </c>
      <c r="E360" s="21" t="n">
        <f aca="false">2_Matriz_decision!E359/E$5</f>
        <v>0.0400721949850431</v>
      </c>
      <c r="F360" s="21" t="n">
        <f aca="false">2_Matriz_decision!F359/F$5</f>
        <v>0.0395246111152501</v>
      </c>
      <c r="G360" s="21" t="n">
        <f aca="false">2_Matriz_decision!G359/G$5</f>
        <v>0.0411149420220302</v>
      </c>
      <c r="H360" s="21" t="n">
        <f aca="false">2_Matriz_decision!H359/H$5</f>
        <v>0.0256178772689507</v>
      </c>
      <c r="I360" s="21" t="n">
        <f aca="false">2_Matriz_decision!I359/I$5</f>
        <v>0.0444554224474387</v>
      </c>
      <c r="J360" s="21" t="n">
        <f aca="false">2_Matriz_decision!J359/J$5</f>
        <v>0.0351992440847949</v>
      </c>
      <c r="K360" s="21" t="n">
        <f aca="false">2_Matriz_decision!K359/K$5</f>
        <v>0.039014903418414</v>
      </c>
      <c r="L360" s="21" t="n">
        <f aca="false">2_Matriz_decision!L359/L$5</f>
        <v>0.0379747355702921</v>
      </c>
      <c r="M360" s="21" t="n">
        <f aca="false">2_Matriz_decision!M359/M$5</f>
        <v>0.0345217193562752</v>
      </c>
      <c r="N360" s="21" t="n">
        <f aca="false">2_Matriz_decision!N359/N$5</f>
        <v>0.0448392173876134</v>
      </c>
      <c r="O360" s="21" t="n">
        <f aca="false">2_Matriz_decision!O359/O$5</f>
        <v>0.0304431282773992</v>
      </c>
      <c r="P360" s="21" t="n">
        <f aca="false">2_Matriz_decision!P359/P$5</f>
        <v>0.0264720767589686</v>
      </c>
      <c r="Q360" s="21" t="n">
        <f aca="false">2_Matriz_decision!Q359/Q$5</f>
        <v>0.0535575542483696</v>
      </c>
    </row>
    <row r="361" customFormat="false" ht="15" hidden="false" customHeight="false" outlineLevel="0" collapsed="false">
      <c r="A361" s="15" t="n">
        <f aca="false">2_Matriz_decision!A360</f>
        <v>356</v>
      </c>
      <c r="B361" s="16" t="n">
        <f aca="false">2_Matriz_decision!B360</f>
        <v>35.831</v>
      </c>
      <c r="C361" s="21" t="n">
        <f aca="false">2_Matriz_decision!C360/C$5</f>
        <v>0.0439697451539424</v>
      </c>
      <c r="D361" s="21" t="n">
        <f aca="false">2_Matriz_decision!D360/D$5</f>
        <v>0.0418648306977948</v>
      </c>
      <c r="E361" s="21" t="n">
        <f aca="false">2_Matriz_decision!E360/E$5</f>
        <v>0.0400721949850431</v>
      </c>
      <c r="F361" s="21" t="n">
        <f aca="false">2_Matriz_decision!F360/F$5</f>
        <v>0.0395246111152501</v>
      </c>
      <c r="G361" s="21" t="n">
        <f aca="false">2_Matriz_decision!G360/G$5</f>
        <v>0.0411149420220302</v>
      </c>
      <c r="H361" s="21" t="n">
        <f aca="false">2_Matriz_decision!H360/H$5</f>
        <v>0.0256178772689507</v>
      </c>
      <c r="I361" s="21" t="n">
        <f aca="false">2_Matriz_decision!I360/I$5</f>
        <v>0.0592738965965849</v>
      </c>
      <c r="J361" s="21" t="n">
        <f aca="false">2_Matriz_decision!J360/J$5</f>
        <v>0.0351992440847949</v>
      </c>
      <c r="K361" s="21" t="n">
        <f aca="false">2_Matriz_decision!K360/K$5</f>
        <v>0.0312119227347312</v>
      </c>
      <c r="L361" s="21" t="n">
        <f aca="false">2_Matriz_decision!L360/L$5</f>
        <v>0.0337092635115163</v>
      </c>
      <c r="M361" s="21" t="n">
        <f aca="false">2_Matriz_decision!M360/M$5</f>
        <v>0.0313181038000129</v>
      </c>
      <c r="N361" s="21" t="n">
        <f aca="false">2_Matriz_decision!N360/N$5</f>
        <v>0.0560490217345168</v>
      </c>
      <c r="O361" s="21" t="n">
        <f aca="false">2_Matriz_decision!O360/O$5</f>
        <v>0.0304431282773992</v>
      </c>
      <c r="P361" s="21" t="n">
        <f aca="false">2_Matriz_decision!P360/P$5</f>
        <v>0.0264720767589686</v>
      </c>
      <c r="Q361" s="21" t="n">
        <f aca="false">2_Matriz_decision!Q360/Q$5</f>
        <v>0.0535575542483696</v>
      </c>
    </row>
    <row r="362" customFormat="false" ht="15" hidden="false" customHeight="false" outlineLevel="0" collapsed="false">
      <c r="A362" s="15" t="n">
        <f aca="false">2_Matriz_decision!A361</f>
        <v>357</v>
      </c>
      <c r="B362" s="16" t="n">
        <f aca="false">2_Matriz_decision!B361</f>
        <v>35.93</v>
      </c>
      <c r="C362" s="21" t="n">
        <f aca="false">2_Matriz_decision!C361/C$5</f>
        <v>0.0439697451539424</v>
      </c>
      <c r="D362" s="21" t="n">
        <f aca="false">2_Matriz_decision!D361/D$5</f>
        <v>0.0418648306977948</v>
      </c>
      <c r="E362" s="21" t="n">
        <f aca="false">2_Matriz_decision!E361/E$5</f>
        <v>0.0400721949850431</v>
      </c>
      <c r="F362" s="21" t="n">
        <f aca="false">2_Matriz_decision!F361/F$5</f>
        <v>0.0494057638940627</v>
      </c>
      <c r="G362" s="21" t="n">
        <f aca="false">2_Matriz_decision!G361/G$5</f>
        <v>0.0411149420220302</v>
      </c>
      <c r="H362" s="21" t="n">
        <f aca="false">2_Matriz_decision!H361/H$5</f>
        <v>0.0256178772689507</v>
      </c>
      <c r="I362" s="21" t="n">
        <f aca="false">2_Matriz_decision!I361/I$5</f>
        <v>0.0444554224474387</v>
      </c>
      <c r="J362" s="21" t="n">
        <f aca="false">2_Matriz_decision!J361/J$5</f>
        <v>0.0351992440847949</v>
      </c>
      <c r="K362" s="21" t="n">
        <f aca="false">2_Matriz_decision!K361/K$5</f>
        <v>0.0312119227347312</v>
      </c>
      <c r="L362" s="21" t="n">
        <f aca="false">2_Matriz_decision!L361/L$5</f>
        <v>0.0388305042592001</v>
      </c>
      <c r="M362" s="21" t="n">
        <f aca="false">2_Matriz_decision!M361/M$5</f>
        <v>0.0263911640134853</v>
      </c>
      <c r="N362" s="21" t="n">
        <f aca="false">2_Matriz_decision!N361/N$5</f>
        <v>0.0560490217345168</v>
      </c>
      <c r="O362" s="21" t="n">
        <f aca="false">2_Matriz_decision!O361/O$5</f>
        <v>0.0304431282773992</v>
      </c>
      <c r="P362" s="21" t="n">
        <f aca="false">2_Matriz_decision!P361/P$5</f>
        <v>0.0264720767589686</v>
      </c>
      <c r="Q362" s="21" t="n">
        <f aca="false">2_Matriz_decision!Q361/Q$5</f>
        <v>0.066946942810462</v>
      </c>
    </row>
    <row r="363" customFormat="false" ht="15" hidden="false" customHeight="false" outlineLevel="0" collapsed="false">
      <c r="A363" s="15" t="n">
        <f aca="false">2_Matriz_decision!A362</f>
        <v>358</v>
      </c>
      <c r="B363" s="16" t="n">
        <f aca="false">2_Matriz_decision!B362</f>
        <v>36.029</v>
      </c>
      <c r="C363" s="21" t="n">
        <f aca="false">2_Matriz_decision!C362/C$5</f>
        <v>0.0439697451539424</v>
      </c>
      <c r="D363" s="21" t="n">
        <f aca="false">2_Matriz_decision!D362/D$5</f>
        <v>0.0418648306977948</v>
      </c>
      <c r="E363" s="21" t="n">
        <f aca="false">2_Matriz_decision!E362/E$5</f>
        <v>0.0500902437313038</v>
      </c>
      <c r="F363" s="21" t="n">
        <f aca="false">2_Matriz_decision!F362/F$5</f>
        <v>0.0395246111152501</v>
      </c>
      <c r="G363" s="21" t="n">
        <f aca="false">2_Matriz_decision!G362/G$5</f>
        <v>0.0411149420220302</v>
      </c>
      <c r="H363" s="21" t="n">
        <f aca="false">2_Matriz_decision!H362/H$5</f>
        <v>0.0256178772689507</v>
      </c>
      <c r="I363" s="21" t="n">
        <f aca="false">2_Matriz_decision!I362/I$5</f>
        <v>0.0740923707457312</v>
      </c>
      <c r="J363" s="21" t="n">
        <f aca="false">2_Matriz_decision!J362/J$5</f>
        <v>0.0351992440847949</v>
      </c>
      <c r="K363" s="21" t="n">
        <f aca="false">2_Matriz_decision!K362/K$5</f>
        <v>0.039014903418414</v>
      </c>
      <c r="L363" s="21" t="n">
        <f aca="false">2_Matriz_decision!L362/L$5</f>
        <v>0.035327201188983</v>
      </c>
      <c r="M363" s="21" t="n">
        <f aca="false">2_Matriz_decision!M362/M$5</f>
        <v>0.0292965119145094</v>
      </c>
      <c r="N363" s="21" t="n">
        <f aca="false">2_Matriz_decision!N362/N$5</f>
        <v>0.0560490217345168</v>
      </c>
      <c r="O363" s="21" t="n">
        <f aca="false">2_Matriz_decision!O362/O$5</f>
        <v>0.0304431282773992</v>
      </c>
      <c r="P363" s="21" t="n">
        <f aca="false">2_Matriz_decision!P362/P$5</f>
        <v>0.0264720767589686</v>
      </c>
      <c r="Q363" s="21" t="n">
        <f aca="false">2_Matriz_decision!Q362/Q$5</f>
        <v>0.0535575542483696</v>
      </c>
    </row>
    <row r="364" customFormat="false" ht="15" hidden="false" customHeight="false" outlineLevel="0" collapsed="false">
      <c r="A364" s="15" t="n">
        <f aca="false">2_Matriz_decision!A363</f>
        <v>359</v>
      </c>
      <c r="B364" s="16" t="n">
        <f aca="false">2_Matriz_decision!B363</f>
        <v>36.129</v>
      </c>
      <c r="C364" s="21" t="n">
        <f aca="false">2_Matriz_decision!C363/C$5</f>
        <v>0.0439697451539424</v>
      </c>
      <c r="D364" s="21" t="n">
        <f aca="false">2_Matriz_decision!D363/D$5</f>
        <v>0.0418648306977948</v>
      </c>
      <c r="E364" s="21" t="n">
        <f aca="false">2_Matriz_decision!E363/E$5</f>
        <v>0.0500902437313038</v>
      </c>
      <c r="F364" s="21" t="n">
        <f aca="false">2_Matriz_decision!F363/F$5</f>
        <v>0.0395246111152501</v>
      </c>
      <c r="G364" s="21" t="n">
        <f aca="false">2_Matriz_decision!G363/G$5</f>
        <v>0.0411149420220302</v>
      </c>
      <c r="H364" s="21" t="n">
        <f aca="false">2_Matriz_decision!H363/H$5</f>
        <v>0.0256178772689507</v>
      </c>
      <c r="I364" s="21" t="n">
        <f aca="false">2_Matriz_decision!I363/I$5</f>
        <v>0.0740923707457312</v>
      </c>
      <c r="J364" s="21" t="n">
        <f aca="false">2_Matriz_decision!J363/J$5</f>
        <v>0.0351992440847949</v>
      </c>
      <c r="K364" s="21" t="n">
        <f aca="false">2_Matriz_decision!K363/K$5</f>
        <v>0.039014903418414</v>
      </c>
      <c r="L364" s="21" t="n">
        <f aca="false">2_Matriz_decision!L363/L$5</f>
        <v>0.03496617377335</v>
      </c>
      <c r="M364" s="21" t="n">
        <f aca="false">2_Matriz_decision!M363/M$5</f>
        <v>0.0308209910412825</v>
      </c>
      <c r="N364" s="21" t="n">
        <f aca="false">2_Matriz_decision!N363/N$5</f>
        <v>0.0560490217345168</v>
      </c>
      <c r="O364" s="21" t="n">
        <f aca="false">2_Matriz_decision!O363/O$5</f>
        <v>0.0304431282773992</v>
      </c>
      <c r="P364" s="21" t="n">
        <f aca="false">2_Matriz_decision!P363/P$5</f>
        <v>0.0264720767589686</v>
      </c>
      <c r="Q364" s="21" t="n">
        <f aca="false">2_Matriz_decision!Q363/Q$5</f>
        <v>0.066946942810462</v>
      </c>
    </row>
    <row r="365" customFormat="false" ht="15" hidden="false" customHeight="false" outlineLevel="0" collapsed="false">
      <c r="A365" s="15" t="n">
        <f aca="false">2_Matriz_decision!A364</f>
        <v>360</v>
      </c>
      <c r="B365" s="16" t="n">
        <f aca="false">2_Matriz_decision!B364</f>
        <v>36.228</v>
      </c>
      <c r="C365" s="21" t="n">
        <f aca="false">2_Matriz_decision!C364/C$5</f>
        <v>0.0439697451539424</v>
      </c>
      <c r="D365" s="21" t="n">
        <f aca="false">2_Matriz_decision!D364/D$5</f>
        <v>0.0418648306977948</v>
      </c>
      <c r="E365" s="21" t="n">
        <f aca="false">2_Matriz_decision!E364/E$5</f>
        <v>0.0500902437313038</v>
      </c>
      <c r="F365" s="21" t="n">
        <f aca="false">2_Matriz_decision!F364/F$5</f>
        <v>0.0395246111152501</v>
      </c>
      <c r="G365" s="21" t="n">
        <f aca="false">2_Matriz_decision!G364/G$5</f>
        <v>0.0411149420220302</v>
      </c>
      <c r="H365" s="21" t="n">
        <f aca="false">2_Matriz_decision!H364/H$5</f>
        <v>0.0256178772689507</v>
      </c>
      <c r="I365" s="21" t="n">
        <f aca="false">2_Matriz_decision!I364/I$5</f>
        <v>0.0740923707457312</v>
      </c>
      <c r="J365" s="21" t="n">
        <f aca="false">2_Matriz_decision!J364/J$5</f>
        <v>0.0351992440847949</v>
      </c>
      <c r="K365" s="21" t="n">
        <f aca="false">2_Matriz_decision!K364/K$5</f>
        <v>0.039014903418414</v>
      </c>
      <c r="L365" s="21" t="n">
        <f aca="false">2_Matriz_decision!L364/L$5</f>
        <v>0.0303263029131769</v>
      </c>
      <c r="M365" s="21" t="n">
        <f aca="false">2_Matriz_decision!M364/M$5</f>
        <v>0.031550089754087</v>
      </c>
      <c r="N365" s="21" t="n">
        <f aca="false">2_Matriz_decision!N364/N$5</f>
        <v>0.0560490217345168</v>
      </c>
      <c r="O365" s="21" t="n">
        <f aca="false">2_Matriz_decision!O364/O$5</f>
        <v>0.0304431282773992</v>
      </c>
      <c r="P365" s="21" t="n">
        <f aca="false">2_Matriz_decision!P364/P$5</f>
        <v>0.0264720767589686</v>
      </c>
      <c r="Q365" s="21" t="n">
        <f aca="false">2_Matriz_decision!Q364/Q$5</f>
        <v>0.066946942810462</v>
      </c>
    </row>
    <row r="366" customFormat="false" ht="15" hidden="false" customHeight="false" outlineLevel="0" collapsed="false">
      <c r="A366" s="15" t="n">
        <f aca="false">2_Matriz_decision!A365</f>
        <v>361</v>
      </c>
      <c r="B366" s="16" t="n">
        <f aca="false">2_Matriz_decision!B365</f>
        <v>36.328</v>
      </c>
      <c r="C366" s="21" t="n">
        <f aca="false">2_Matriz_decision!C365/C$5</f>
        <v>0.0439697451539424</v>
      </c>
      <c r="D366" s="21" t="n">
        <f aca="false">2_Matriz_decision!D365/D$5</f>
        <v>0.0418648306977948</v>
      </c>
      <c r="E366" s="21" t="n">
        <f aca="false">2_Matriz_decision!E365/E$5</f>
        <v>0.0500902437313038</v>
      </c>
      <c r="F366" s="21" t="n">
        <f aca="false">2_Matriz_decision!F365/F$5</f>
        <v>0.0395246111152501</v>
      </c>
      <c r="G366" s="21" t="n">
        <f aca="false">2_Matriz_decision!G365/G$5</f>
        <v>0.0411149420220302</v>
      </c>
      <c r="H366" s="21" t="n">
        <f aca="false">2_Matriz_decision!H365/H$5</f>
        <v>0.0256178772689507</v>
      </c>
      <c r="I366" s="21" t="n">
        <f aca="false">2_Matriz_decision!I365/I$5</f>
        <v>0.0592738965965849</v>
      </c>
      <c r="J366" s="21" t="n">
        <f aca="false">2_Matriz_decision!J365/J$5</f>
        <v>0.0351992440847949</v>
      </c>
      <c r="K366" s="21" t="n">
        <f aca="false">2_Matriz_decision!K365/K$5</f>
        <v>0.039014903418414</v>
      </c>
      <c r="L366" s="21" t="n">
        <f aca="false">2_Matriz_decision!L365/L$5</f>
        <v>0.0346051463577169</v>
      </c>
      <c r="M366" s="21" t="n">
        <f aca="false">2_Matriz_decision!M365/M$5</f>
        <v>0.0307878501907005</v>
      </c>
      <c r="N366" s="21" t="n">
        <f aca="false">2_Matriz_decision!N365/N$5</f>
        <v>0.0560490217345168</v>
      </c>
      <c r="O366" s="21" t="n">
        <f aca="false">2_Matriz_decision!O365/O$5</f>
        <v>0.0304431282773992</v>
      </c>
      <c r="P366" s="21" t="n">
        <f aca="false">2_Matriz_decision!P365/P$5</f>
        <v>0.0264720767589686</v>
      </c>
      <c r="Q366" s="21" t="n">
        <f aca="false">2_Matriz_decision!Q365/Q$5</f>
        <v>0.0133893885620924</v>
      </c>
    </row>
    <row r="367" customFormat="false" ht="15" hidden="false" customHeight="false" outlineLevel="0" collapsed="false">
      <c r="A367" s="15" t="n">
        <f aca="false">2_Matriz_decision!A366</f>
        <v>362</v>
      </c>
      <c r="B367" s="16" t="n">
        <f aca="false">2_Matriz_decision!B366</f>
        <v>36.428</v>
      </c>
      <c r="C367" s="21" t="n">
        <f aca="false">2_Matriz_decision!C366/C$5</f>
        <v>0.0439697451539424</v>
      </c>
      <c r="D367" s="21" t="n">
        <f aca="false">2_Matriz_decision!D366/D$5</f>
        <v>0.0418648306977948</v>
      </c>
      <c r="E367" s="21" t="n">
        <f aca="false">2_Matriz_decision!E366/E$5</f>
        <v>0.0400721949850431</v>
      </c>
      <c r="F367" s="21" t="n">
        <f aca="false">2_Matriz_decision!F366/F$5</f>
        <v>0.0395246111152501</v>
      </c>
      <c r="G367" s="21" t="n">
        <f aca="false">2_Matriz_decision!G366/G$5</f>
        <v>0.0411149420220302</v>
      </c>
      <c r="H367" s="21" t="n">
        <f aca="false">2_Matriz_decision!H366/H$5</f>
        <v>0.0256178772689507</v>
      </c>
      <c r="I367" s="21" t="n">
        <f aca="false">2_Matriz_decision!I366/I$5</f>
        <v>0.0592738965965849</v>
      </c>
      <c r="J367" s="21" t="n">
        <f aca="false">2_Matriz_decision!J366/J$5</f>
        <v>0.0351992440847949</v>
      </c>
      <c r="K367" s="21" t="n">
        <f aca="false">2_Matriz_decision!K366/K$5</f>
        <v>0.039014903418414</v>
      </c>
      <c r="L367" s="21" t="n">
        <f aca="false">2_Matriz_decision!L366/L$5</f>
        <v>0.0433232898759671</v>
      </c>
      <c r="M367" s="21" t="n">
        <f aca="false">2_Matriz_decision!M366/M$5</f>
        <v>0.0292744180141214</v>
      </c>
      <c r="N367" s="21" t="n">
        <f aca="false">2_Matriz_decision!N366/N$5</f>
        <v>0.0560490217345168</v>
      </c>
      <c r="O367" s="21" t="n">
        <f aca="false">2_Matriz_decision!O366/O$5</f>
        <v>0.0304431282773992</v>
      </c>
      <c r="P367" s="21" t="n">
        <f aca="false">2_Matriz_decision!P366/P$5</f>
        <v>0.0264720767589686</v>
      </c>
      <c r="Q367" s="21" t="n">
        <f aca="false">2_Matriz_decision!Q366/Q$5</f>
        <v>0.0133893885620924</v>
      </c>
    </row>
    <row r="368" customFormat="false" ht="15" hidden="false" customHeight="false" outlineLevel="0" collapsed="false">
      <c r="A368" s="15" t="n">
        <f aca="false">2_Matriz_decision!A367</f>
        <v>363</v>
      </c>
      <c r="B368" s="16" t="n">
        <f aca="false">2_Matriz_decision!B367</f>
        <v>36.528</v>
      </c>
      <c r="C368" s="21" t="n">
        <f aca="false">2_Matriz_decision!C367/C$5</f>
        <v>0.0439697451539424</v>
      </c>
      <c r="D368" s="21" t="n">
        <f aca="false">2_Matriz_decision!D367/D$5</f>
        <v>0.0418648306977948</v>
      </c>
      <c r="E368" s="21" t="n">
        <f aca="false">2_Matriz_decision!E367/E$5</f>
        <v>0.0400721949850431</v>
      </c>
      <c r="F368" s="21" t="n">
        <f aca="false">2_Matriz_decision!F367/F$5</f>
        <v>0.0296434583364376</v>
      </c>
      <c r="G368" s="21" t="n">
        <f aca="false">2_Matriz_decision!G367/G$5</f>
        <v>0.0411149420220302</v>
      </c>
      <c r="H368" s="21" t="n">
        <f aca="false">2_Matriz_decision!H367/H$5</f>
        <v>0.0256178772689507</v>
      </c>
      <c r="I368" s="21" t="n">
        <f aca="false">2_Matriz_decision!I367/I$5</f>
        <v>0.0592738965965849</v>
      </c>
      <c r="J368" s="21" t="n">
        <f aca="false">2_Matriz_decision!J367/J$5</f>
        <v>0.0351992440847949</v>
      </c>
      <c r="K368" s="21" t="n">
        <f aca="false">2_Matriz_decision!K367/K$5</f>
        <v>0.039014903418414</v>
      </c>
      <c r="L368" s="21" t="n">
        <f aca="false">2_Matriz_decision!L367/L$5</f>
        <v>0.0422803217863604</v>
      </c>
      <c r="M368" s="21" t="n">
        <f aca="false">2_Matriz_decision!M367/M$5</f>
        <v>0.0264353518142613</v>
      </c>
      <c r="N368" s="21" t="n">
        <f aca="false">2_Matriz_decision!N367/N$5</f>
        <v>0.0560490217345168</v>
      </c>
      <c r="O368" s="21" t="n">
        <f aca="false">2_Matriz_decision!O367/O$5</f>
        <v>0.0304431282773992</v>
      </c>
      <c r="P368" s="21" t="n">
        <f aca="false">2_Matriz_decision!P367/P$5</f>
        <v>0.0264720767589686</v>
      </c>
      <c r="Q368" s="21" t="n">
        <f aca="false">2_Matriz_decision!Q367/Q$5</f>
        <v>0.0133893885620924</v>
      </c>
    </row>
    <row r="369" customFormat="false" ht="15" hidden="false" customHeight="false" outlineLevel="0" collapsed="false">
      <c r="A369" s="15" t="n">
        <f aca="false">2_Matriz_decision!A368</f>
        <v>364</v>
      </c>
      <c r="B369" s="16" t="n">
        <f aca="false">2_Matriz_decision!B368</f>
        <v>36.628</v>
      </c>
      <c r="C369" s="21" t="n">
        <f aca="false">2_Matriz_decision!C368/C$5</f>
        <v>0.0439697451539424</v>
      </c>
      <c r="D369" s="21" t="n">
        <f aca="false">2_Matriz_decision!D368/D$5</f>
        <v>0.0418648306977948</v>
      </c>
      <c r="E369" s="21" t="n">
        <f aca="false">2_Matriz_decision!E368/E$5</f>
        <v>0.0500902437313038</v>
      </c>
      <c r="F369" s="21" t="n">
        <f aca="false">2_Matriz_decision!F368/F$5</f>
        <v>0.0395246111152501</v>
      </c>
      <c r="G369" s="21" t="n">
        <f aca="false">2_Matriz_decision!G368/G$5</f>
        <v>0.0411149420220302</v>
      </c>
      <c r="H369" s="21" t="n">
        <f aca="false">2_Matriz_decision!H368/H$5</f>
        <v>0.0256178772689507</v>
      </c>
      <c r="I369" s="21" t="n">
        <f aca="false">2_Matriz_decision!I368/I$5</f>
        <v>0.0740923707457312</v>
      </c>
      <c r="J369" s="21" t="n">
        <f aca="false">2_Matriz_decision!J368/J$5</f>
        <v>0.0351992440847949</v>
      </c>
      <c r="K369" s="21" t="n">
        <f aca="false">2_Matriz_decision!K368/K$5</f>
        <v>0.039014903418414</v>
      </c>
      <c r="L369" s="21" t="n">
        <f aca="false">2_Matriz_decision!L368/L$5</f>
        <v>0.0392851313751825</v>
      </c>
      <c r="M369" s="21" t="n">
        <f aca="false">2_Matriz_decision!M368/M$5</f>
        <v>0.0279598309410344</v>
      </c>
      <c r="N369" s="21" t="n">
        <f aca="false">2_Matriz_decision!N368/N$5</f>
        <v>0.0560490217345168</v>
      </c>
      <c r="O369" s="21" t="n">
        <f aca="false">2_Matriz_decision!O368/O$5</f>
        <v>0.0304431282773992</v>
      </c>
      <c r="P369" s="21" t="n">
        <f aca="false">2_Matriz_decision!P368/P$5</f>
        <v>0.0264720767589686</v>
      </c>
      <c r="Q369" s="21" t="n">
        <f aca="false">2_Matriz_decision!Q368/Q$5</f>
        <v>0.0133893885620924</v>
      </c>
    </row>
    <row r="370" customFormat="false" ht="15" hidden="false" customHeight="false" outlineLevel="0" collapsed="false">
      <c r="A370" s="15" t="n">
        <f aca="false">2_Matriz_decision!A369</f>
        <v>365</v>
      </c>
      <c r="B370" s="16" t="n">
        <f aca="false">2_Matriz_decision!B369</f>
        <v>36.728</v>
      </c>
      <c r="C370" s="21" t="n">
        <f aca="false">2_Matriz_decision!C369/C$5</f>
        <v>0.0439697451539424</v>
      </c>
      <c r="D370" s="21" t="n">
        <f aca="false">2_Matriz_decision!D369/D$5</f>
        <v>0.0418648306977948</v>
      </c>
      <c r="E370" s="21" t="n">
        <f aca="false">2_Matriz_decision!E369/E$5</f>
        <v>0.0500902437313038</v>
      </c>
      <c r="F370" s="21" t="n">
        <f aca="false">2_Matriz_decision!F369/F$5</f>
        <v>0.0494057638940627</v>
      </c>
      <c r="G370" s="21" t="n">
        <f aca="false">2_Matriz_decision!G369/G$5</f>
        <v>0.0411149420220302</v>
      </c>
      <c r="H370" s="21" t="n">
        <f aca="false">2_Matriz_decision!H369/H$5</f>
        <v>0.0256178772689507</v>
      </c>
      <c r="I370" s="21" t="n">
        <f aca="false">2_Matriz_decision!I369/I$5</f>
        <v>0.0740923707457312</v>
      </c>
      <c r="J370" s="21" t="n">
        <f aca="false">2_Matriz_decision!J369/J$5</f>
        <v>0.0351992440847949</v>
      </c>
      <c r="K370" s="21" t="n">
        <f aca="false">2_Matriz_decision!K369/K$5</f>
        <v>0.039014903418414</v>
      </c>
      <c r="L370" s="21" t="n">
        <f aca="false">2_Matriz_decision!L369/L$5</f>
        <v>0.0392182744463615</v>
      </c>
      <c r="M370" s="21" t="n">
        <f aca="false">2_Matriz_decision!M369/M$5</f>
        <v>0.027385389530946</v>
      </c>
      <c r="N370" s="21" t="n">
        <f aca="false">2_Matriz_decision!N369/N$5</f>
        <v>0.0560490217345168</v>
      </c>
      <c r="O370" s="21" t="n">
        <f aca="false">2_Matriz_decision!O369/O$5</f>
        <v>0.0304431282773992</v>
      </c>
      <c r="P370" s="21" t="n">
        <f aca="false">2_Matriz_decision!P369/P$5</f>
        <v>0.0264720767589686</v>
      </c>
      <c r="Q370" s="21" t="n">
        <f aca="false">2_Matriz_decision!Q369/Q$5</f>
        <v>0.0133893885620924</v>
      </c>
    </row>
    <row r="371" customFormat="false" ht="15" hidden="false" customHeight="false" outlineLevel="0" collapsed="false">
      <c r="A371" s="15" t="n">
        <f aca="false">2_Matriz_decision!A370</f>
        <v>366</v>
      </c>
      <c r="B371" s="16" t="n">
        <f aca="false">2_Matriz_decision!B370</f>
        <v>36.827</v>
      </c>
      <c r="C371" s="21" t="n">
        <f aca="false">2_Matriz_decision!C370/C$5</f>
        <v>0.0439697451539424</v>
      </c>
      <c r="D371" s="21" t="n">
        <f aca="false">2_Matriz_decision!D370/D$5</f>
        <v>0.0418648306977948</v>
      </c>
      <c r="E371" s="21" t="n">
        <f aca="false">2_Matriz_decision!E370/E$5</f>
        <v>0.0500902437313038</v>
      </c>
      <c r="F371" s="21" t="n">
        <f aca="false">2_Matriz_decision!F370/F$5</f>
        <v>0.0395246111152501</v>
      </c>
      <c r="G371" s="21" t="n">
        <f aca="false">2_Matriz_decision!G370/G$5</f>
        <v>0.0411149420220302</v>
      </c>
      <c r="H371" s="21" t="n">
        <f aca="false">2_Matriz_decision!H370/H$5</f>
        <v>0.0256178772689507</v>
      </c>
      <c r="I371" s="21" t="n">
        <f aca="false">2_Matriz_decision!I370/I$5</f>
        <v>0.0740923707457312</v>
      </c>
      <c r="J371" s="21" t="n">
        <f aca="false">2_Matriz_decision!J370/J$5</f>
        <v>0.0351992440847949</v>
      </c>
      <c r="K371" s="21" t="n">
        <f aca="false">2_Matriz_decision!K370/K$5</f>
        <v>0.039014903418414</v>
      </c>
      <c r="L371" s="21" t="n">
        <f aca="false">2_Matriz_decision!L370/L$5</f>
        <v>0.0429087769172772</v>
      </c>
      <c r="M371" s="21" t="n">
        <f aca="false">2_Matriz_decision!M370/M$5</f>
        <v>0.0269656054235737</v>
      </c>
      <c r="N371" s="21" t="n">
        <f aca="false">2_Matriz_decision!N370/N$5</f>
        <v>0.0560490217345168</v>
      </c>
      <c r="O371" s="21" t="n">
        <f aca="false">2_Matriz_decision!O370/O$5</f>
        <v>0.0304431282773992</v>
      </c>
      <c r="P371" s="21" t="n">
        <f aca="false">2_Matriz_decision!P370/P$5</f>
        <v>0.0264720767589686</v>
      </c>
      <c r="Q371" s="21" t="n">
        <f aca="false">2_Matriz_decision!Q370/Q$5</f>
        <v>0.066946942810462</v>
      </c>
    </row>
    <row r="372" customFormat="false" ht="15" hidden="false" customHeight="false" outlineLevel="0" collapsed="false">
      <c r="A372" s="15" t="n">
        <f aca="false">2_Matriz_decision!A371</f>
        <v>367</v>
      </c>
      <c r="B372" s="16" t="n">
        <f aca="false">2_Matriz_decision!B371</f>
        <v>36.928</v>
      </c>
      <c r="C372" s="21" t="n">
        <f aca="false">2_Matriz_decision!C371/C$5</f>
        <v>0.0439697451539424</v>
      </c>
      <c r="D372" s="21" t="n">
        <f aca="false">2_Matriz_decision!D371/D$5</f>
        <v>0.0418648306977948</v>
      </c>
      <c r="E372" s="21" t="n">
        <f aca="false">2_Matriz_decision!E371/E$5</f>
        <v>0.0500902437313038</v>
      </c>
      <c r="F372" s="21" t="n">
        <f aca="false">2_Matriz_decision!F371/F$5</f>
        <v>0.0494057638940627</v>
      </c>
      <c r="G372" s="21" t="n">
        <f aca="false">2_Matriz_decision!G371/G$5</f>
        <v>0.0411149420220302</v>
      </c>
      <c r="H372" s="21" t="n">
        <f aca="false">2_Matriz_decision!H371/H$5</f>
        <v>0.0256178772689507</v>
      </c>
      <c r="I372" s="21" t="n">
        <f aca="false">2_Matriz_decision!I371/I$5</f>
        <v>0.0740923707457312</v>
      </c>
      <c r="J372" s="21" t="n">
        <f aca="false">2_Matriz_decision!J371/J$5</f>
        <v>0.0351992440847949</v>
      </c>
      <c r="K372" s="21" t="n">
        <f aca="false">2_Matriz_decision!K371/K$5</f>
        <v>0.039014903418414</v>
      </c>
      <c r="L372" s="21" t="n">
        <f aca="false">2_Matriz_decision!L371/L$5</f>
        <v>0.0443528865798095</v>
      </c>
      <c r="M372" s="21" t="n">
        <f aca="false">2_Matriz_decision!M371/M$5</f>
        <v>0.0267557133698875</v>
      </c>
      <c r="N372" s="21" t="n">
        <f aca="false">2_Matriz_decision!N371/N$5</f>
        <v>0.0560490217345168</v>
      </c>
      <c r="O372" s="21" t="n">
        <f aca="false">2_Matriz_decision!O371/O$5</f>
        <v>0.0304431282773992</v>
      </c>
      <c r="P372" s="21" t="n">
        <f aca="false">2_Matriz_decision!P371/P$5</f>
        <v>0.0264720767589686</v>
      </c>
      <c r="Q372" s="21" t="n">
        <f aca="false">2_Matriz_decision!Q371/Q$5</f>
        <v>0.066946942810462</v>
      </c>
    </row>
    <row r="373" customFormat="false" ht="15" hidden="false" customHeight="false" outlineLevel="0" collapsed="false">
      <c r="A373" s="15" t="n">
        <f aca="false">2_Matriz_decision!A372</f>
        <v>368</v>
      </c>
      <c r="B373" s="16" t="n">
        <f aca="false">2_Matriz_decision!B372</f>
        <v>37.028</v>
      </c>
      <c r="C373" s="21" t="n">
        <f aca="false">2_Matriz_decision!C372/C$5</f>
        <v>0.0439697451539424</v>
      </c>
      <c r="D373" s="21" t="n">
        <f aca="false">2_Matriz_decision!D372/D$5</f>
        <v>0.0418648306977948</v>
      </c>
      <c r="E373" s="21" t="n">
        <f aca="false">2_Matriz_decision!E372/E$5</f>
        <v>0.0500902437313038</v>
      </c>
      <c r="F373" s="21" t="n">
        <f aca="false">2_Matriz_decision!F372/F$5</f>
        <v>0.0395246111152501</v>
      </c>
      <c r="G373" s="21" t="n">
        <f aca="false">2_Matriz_decision!G372/G$5</f>
        <v>0.0411149420220302</v>
      </c>
      <c r="H373" s="21" t="n">
        <f aca="false">2_Matriz_decision!H372/H$5</f>
        <v>0.0256178772689507</v>
      </c>
      <c r="I373" s="21" t="n">
        <f aca="false">2_Matriz_decision!I372/I$5</f>
        <v>0.0740923707457312</v>
      </c>
      <c r="J373" s="21" t="n">
        <f aca="false">2_Matriz_decision!J372/J$5</f>
        <v>0.0351992440847949</v>
      </c>
      <c r="K373" s="21" t="n">
        <f aca="false">2_Matriz_decision!K372/K$5</f>
        <v>0.039014903418414</v>
      </c>
      <c r="L373" s="21" t="n">
        <f aca="false">2_Matriz_decision!L372/L$5</f>
        <v>0.0488456721965764</v>
      </c>
      <c r="M373" s="21" t="n">
        <f aca="false">2_Matriz_decision!M372/M$5</f>
        <v>0.0274848120826921</v>
      </c>
      <c r="N373" s="21" t="n">
        <f aca="false">2_Matriz_decision!N372/N$5</f>
        <v>0.0560490217345168</v>
      </c>
      <c r="O373" s="21" t="n">
        <f aca="false">2_Matriz_decision!O372/O$5</f>
        <v>0.0304431282773992</v>
      </c>
      <c r="P373" s="21" t="n">
        <f aca="false">2_Matriz_decision!P372/P$5</f>
        <v>0.0264720767589686</v>
      </c>
      <c r="Q373" s="21" t="n">
        <f aca="false">2_Matriz_decision!Q372/Q$5</f>
        <v>0.066946942810462</v>
      </c>
    </row>
    <row r="374" customFormat="false" ht="15" hidden="false" customHeight="false" outlineLevel="0" collapsed="false">
      <c r="A374" s="15" t="n">
        <f aca="false">2_Matriz_decision!A373</f>
        <v>369</v>
      </c>
      <c r="B374" s="16" t="n">
        <f aca="false">2_Matriz_decision!B373</f>
        <v>37.128</v>
      </c>
      <c r="C374" s="21" t="n">
        <f aca="false">2_Matriz_decision!C373/C$5</f>
        <v>0.0439697451539424</v>
      </c>
      <c r="D374" s="21" t="n">
        <f aca="false">2_Matriz_decision!D373/D$5</f>
        <v>0.0418648306977948</v>
      </c>
      <c r="E374" s="21" t="n">
        <f aca="false">2_Matriz_decision!E373/E$5</f>
        <v>0.0500902437313038</v>
      </c>
      <c r="F374" s="21" t="n">
        <f aca="false">2_Matriz_decision!F373/F$5</f>
        <v>0.0296434583364376</v>
      </c>
      <c r="G374" s="21" t="n">
        <f aca="false">2_Matriz_decision!G373/G$5</f>
        <v>0.0411149420220302</v>
      </c>
      <c r="H374" s="21" t="n">
        <f aca="false">2_Matriz_decision!H373/H$5</f>
        <v>0.0256178772689507</v>
      </c>
      <c r="I374" s="21" t="n">
        <f aca="false">2_Matriz_decision!I373/I$5</f>
        <v>0.0740923707457312</v>
      </c>
      <c r="J374" s="21" t="n">
        <f aca="false">2_Matriz_decision!J373/J$5</f>
        <v>0.0351992440847949</v>
      </c>
      <c r="K374" s="21" t="n">
        <f aca="false">2_Matriz_decision!K373/K$5</f>
        <v>0.039014903418414</v>
      </c>
      <c r="L374" s="21" t="n">
        <f aca="false">2_Matriz_decision!L373/L$5</f>
        <v>0.049674698113956</v>
      </c>
      <c r="M374" s="21" t="n">
        <f aca="false">2_Matriz_decision!M373/M$5</f>
        <v>0.0242149148252657</v>
      </c>
      <c r="N374" s="21" t="n">
        <f aca="false">2_Matriz_decision!N373/N$5</f>
        <v>0.0560490217345168</v>
      </c>
      <c r="O374" s="21" t="n">
        <f aca="false">2_Matriz_decision!O373/O$5</f>
        <v>0.0304431282773992</v>
      </c>
      <c r="P374" s="21" t="n">
        <f aca="false">2_Matriz_decision!P373/P$5</f>
        <v>0.0264720767589686</v>
      </c>
      <c r="Q374" s="21" t="n">
        <f aca="false">2_Matriz_decision!Q373/Q$5</f>
        <v>0.066946942810462</v>
      </c>
    </row>
    <row r="375" customFormat="false" ht="15" hidden="false" customHeight="false" outlineLevel="0" collapsed="false">
      <c r="A375" s="15" t="n">
        <f aca="false">2_Matriz_decision!A374</f>
        <v>370</v>
      </c>
      <c r="B375" s="16" t="n">
        <f aca="false">2_Matriz_decision!B374</f>
        <v>37.229</v>
      </c>
      <c r="C375" s="21" t="n">
        <f aca="false">2_Matriz_decision!C374/C$5</f>
        <v>0.0439697451539424</v>
      </c>
      <c r="D375" s="21" t="n">
        <f aca="false">2_Matriz_decision!D374/D$5</f>
        <v>0.0418648306977948</v>
      </c>
      <c r="E375" s="21" t="n">
        <f aca="false">2_Matriz_decision!E374/E$5</f>
        <v>0.0500902437313038</v>
      </c>
      <c r="F375" s="21" t="n">
        <f aca="false">2_Matriz_decision!F374/F$5</f>
        <v>0.0395246111152501</v>
      </c>
      <c r="G375" s="21" t="n">
        <f aca="false">2_Matriz_decision!G374/G$5</f>
        <v>0.0411149420220302</v>
      </c>
      <c r="H375" s="21" t="n">
        <f aca="false">2_Matriz_decision!H374/H$5</f>
        <v>0.0256178772689507</v>
      </c>
      <c r="I375" s="21" t="n">
        <f aca="false">2_Matriz_decision!I374/I$5</f>
        <v>0.0740923707457312</v>
      </c>
      <c r="J375" s="21" t="n">
        <f aca="false">2_Matriz_decision!J374/J$5</f>
        <v>0.0351992440847949</v>
      </c>
      <c r="K375" s="21" t="n">
        <f aca="false">2_Matriz_decision!K374/K$5</f>
        <v>0.039014903418414</v>
      </c>
      <c r="L375" s="21" t="n">
        <f aca="false">2_Matriz_decision!L374/L$5</f>
        <v>0.0502229249302877</v>
      </c>
      <c r="M375" s="21" t="n">
        <f aca="false">2_Matriz_decision!M374/M$5</f>
        <v>0.0277609858375423</v>
      </c>
      <c r="N375" s="21" t="n">
        <f aca="false">2_Matriz_decision!N374/N$5</f>
        <v>0.0560490217345168</v>
      </c>
      <c r="O375" s="21" t="n">
        <f aca="false">2_Matriz_decision!O374/O$5</f>
        <v>0.0304431282773992</v>
      </c>
      <c r="P375" s="21" t="n">
        <f aca="false">2_Matriz_decision!P374/P$5</f>
        <v>0.0264720767589686</v>
      </c>
      <c r="Q375" s="21" t="n">
        <f aca="false">2_Matriz_decision!Q374/Q$5</f>
        <v>0.066946942810462</v>
      </c>
    </row>
    <row r="376" customFormat="false" ht="15" hidden="false" customHeight="false" outlineLevel="0" collapsed="false">
      <c r="A376" s="15" t="n">
        <f aca="false">2_Matriz_decision!A375</f>
        <v>371</v>
      </c>
      <c r="B376" s="16" t="n">
        <f aca="false">2_Matriz_decision!B375</f>
        <v>37.329</v>
      </c>
      <c r="C376" s="21" t="n">
        <f aca="false">2_Matriz_decision!C375/C$5</f>
        <v>0.0439697451539424</v>
      </c>
      <c r="D376" s="21" t="n">
        <f aca="false">2_Matriz_decision!D375/D$5</f>
        <v>0.0418648306977948</v>
      </c>
      <c r="E376" s="21" t="n">
        <f aca="false">2_Matriz_decision!E375/E$5</f>
        <v>0.0500902437313038</v>
      </c>
      <c r="F376" s="21" t="n">
        <f aca="false">2_Matriz_decision!F375/F$5</f>
        <v>0.0296434583364376</v>
      </c>
      <c r="G376" s="21" t="n">
        <f aca="false">2_Matriz_decision!G375/G$5</f>
        <v>0.0411149420220302</v>
      </c>
      <c r="H376" s="21" t="n">
        <f aca="false">2_Matriz_decision!H375/H$5</f>
        <v>0.0256178772689507</v>
      </c>
      <c r="I376" s="21" t="n">
        <f aca="false">2_Matriz_decision!I375/I$5</f>
        <v>0.0740923707457312</v>
      </c>
      <c r="J376" s="21" t="n">
        <f aca="false">2_Matriz_decision!J375/J$5</f>
        <v>0.0351992440847949</v>
      </c>
      <c r="K376" s="21" t="n">
        <f aca="false">2_Matriz_decision!K375/K$5</f>
        <v>0.039014903418414</v>
      </c>
      <c r="L376" s="21" t="n">
        <f aca="false">2_Matriz_decision!L375/L$5</f>
        <v>0.0488456721965764</v>
      </c>
      <c r="M376" s="21" t="n">
        <f aca="false">2_Matriz_decision!M375/M$5</f>
        <v>0.0305558642366263</v>
      </c>
      <c r="N376" s="21" t="n">
        <f aca="false">2_Matriz_decision!N375/N$5</f>
        <v>0.0560490217345168</v>
      </c>
      <c r="O376" s="21" t="n">
        <f aca="false">2_Matriz_decision!O375/O$5</f>
        <v>0.0304431282773992</v>
      </c>
      <c r="P376" s="21" t="n">
        <f aca="false">2_Matriz_decision!P375/P$5</f>
        <v>0.0264720767589686</v>
      </c>
      <c r="Q376" s="21" t="n">
        <f aca="false">2_Matriz_decision!Q375/Q$5</f>
        <v>0.066946942810462</v>
      </c>
    </row>
    <row r="377" customFormat="false" ht="15" hidden="false" customHeight="false" outlineLevel="0" collapsed="false">
      <c r="A377" s="15" t="n">
        <f aca="false">2_Matriz_decision!A376</f>
        <v>372</v>
      </c>
      <c r="B377" s="16" t="n">
        <f aca="false">2_Matriz_decision!B376</f>
        <v>37.43</v>
      </c>
      <c r="C377" s="21" t="n">
        <f aca="false">2_Matriz_decision!C376/C$5</f>
        <v>0.0439697451539424</v>
      </c>
      <c r="D377" s="21" t="n">
        <f aca="false">2_Matriz_decision!D376/D$5</f>
        <v>0.0418648306977948</v>
      </c>
      <c r="E377" s="21" t="n">
        <f aca="false">2_Matriz_decision!E376/E$5</f>
        <v>0.0500902437313038</v>
      </c>
      <c r="F377" s="21" t="n">
        <f aca="false">2_Matriz_decision!F376/F$5</f>
        <v>0.00988115277881254</v>
      </c>
      <c r="G377" s="21" t="n">
        <f aca="false">2_Matriz_decision!G376/G$5</f>
        <v>0.0411149420220302</v>
      </c>
      <c r="H377" s="21" t="n">
        <f aca="false">2_Matriz_decision!H376/H$5</f>
        <v>0.0256178772689507</v>
      </c>
      <c r="I377" s="21" t="n">
        <f aca="false">2_Matriz_decision!I376/I$5</f>
        <v>0.0740923707457312</v>
      </c>
      <c r="J377" s="21" t="n">
        <f aca="false">2_Matriz_decision!J376/J$5</f>
        <v>0.0351992440847949</v>
      </c>
      <c r="K377" s="21" t="n">
        <f aca="false">2_Matriz_decision!K376/K$5</f>
        <v>0.039014903418414</v>
      </c>
      <c r="L377" s="21" t="n">
        <f aca="false">2_Matriz_decision!L376/L$5</f>
        <v>0.041892551599199</v>
      </c>
      <c r="M377" s="21" t="n">
        <f aca="false">2_Matriz_decision!M376/M$5</f>
        <v>0.0328204890263979</v>
      </c>
      <c r="N377" s="21" t="n">
        <f aca="false">2_Matriz_decision!N376/N$5</f>
        <v>0.0560490217345168</v>
      </c>
      <c r="O377" s="21" t="n">
        <f aca="false">2_Matriz_decision!O376/O$5</f>
        <v>0.0304431282773992</v>
      </c>
      <c r="P377" s="21" t="n">
        <f aca="false">2_Matriz_decision!P376/P$5</f>
        <v>0.0264720767589686</v>
      </c>
      <c r="Q377" s="21" t="n">
        <f aca="false">2_Matriz_decision!Q376/Q$5</f>
        <v>0.066946942810462</v>
      </c>
    </row>
    <row r="378" customFormat="false" ht="15" hidden="false" customHeight="false" outlineLevel="0" collapsed="false">
      <c r="A378" s="15" t="n">
        <f aca="false">2_Matriz_decision!A377</f>
        <v>373</v>
      </c>
      <c r="B378" s="16" t="n">
        <f aca="false">2_Matriz_decision!B377</f>
        <v>37.53</v>
      </c>
      <c r="C378" s="21" t="n">
        <f aca="false">2_Matriz_decision!C377/C$5</f>
        <v>0.0439697451539424</v>
      </c>
      <c r="D378" s="21" t="n">
        <f aca="false">2_Matriz_decision!D377/D$5</f>
        <v>0.0334918645582358</v>
      </c>
      <c r="E378" s="21" t="n">
        <f aca="false">2_Matriz_decision!E377/E$5</f>
        <v>0.0500902437313038</v>
      </c>
      <c r="F378" s="21" t="n">
        <f aca="false">2_Matriz_decision!F377/F$5</f>
        <v>0.0296434583364376</v>
      </c>
      <c r="G378" s="21" t="n">
        <f aca="false">2_Matriz_decision!G377/G$5</f>
        <v>0.0411149420220302</v>
      </c>
      <c r="H378" s="21" t="n">
        <f aca="false">2_Matriz_decision!H377/H$5</f>
        <v>0.0256178772689507</v>
      </c>
      <c r="I378" s="21" t="n">
        <f aca="false">2_Matriz_decision!I377/I$5</f>
        <v>0.0444554224474387</v>
      </c>
      <c r="J378" s="21" t="n">
        <f aca="false">2_Matriz_decision!J377/J$5</f>
        <v>0.0351992440847949</v>
      </c>
      <c r="K378" s="21" t="n">
        <f aca="false">2_Matriz_decision!K377/K$5</f>
        <v>0.039014903418414</v>
      </c>
      <c r="L378" s="21" t="n">
        <f aca="false">2_Matriz_decision!L377/L$5</f>
        <v>0.036396912050118</v>
      </c>
      <c r="M378" s="21" t="n">
        <f aca="false">2_Matriz_decision!M377/M$5</f>
        <v>0.0323123293174736</v>
      </c>
      <c r="N378" s="21" t="n">
        <f aca="false">2_Matriz_decision!N377/N$5</f>
        <v>0.0560490217345168</v>
      </c>
      <c r="O378" s="21" t="n">
        <f aca="false">2_Matriz_decision!O377/O$5</f>
        <v>0.0304431282773992</v>
      </c>
      <c r="P378" s="21" t="n">
        <f aca="false">2_Matriz_decision!P377/P$5</f>
        <v>0.0264720767589686</v>
      </c>
      <c r="Q378" s="21" t="n">
        <f aca="false">2_Matriz_decision!Q377/Q$5</f>
        <v>0.066946942810462</v>
      </c>
    </row>
    <row r="379" customFormat="false" ht="15" hidden="false" customHeight="false" outlineLevel="0" collapsed="false">
      <c r="A379" s="15" t="n">
        <f aca="false">2_Matriz_decision!A378</f>
        <v>374</v>
      </c>
      <c r="B379" s="16" t="n">
        <f aca="false">2_Matriz_decision!B378</f>
        <v>37.63</v>
      </c>
      <c r="C379" s="21" t="n">
        <f aca="false">2_Matriz_decision!C378/C$5</f>
        <v>0.0439697451539424</v>
      </c>
      <c r="D379" s="21" t="n">
        <f aca="false">2_Matriz_decision!D378/D$5</f>
        <v>0.0334918645582358</v>
      </c>
      <c r="E379" s="21" t="n">
        <f aca="false">2_Matriz_decision!E378/E$5</f>
        <v>0.0400721949850431</v>
      </c>
      <c r="F379" s="21" t="n">
        <f aca="false">2_Matriz_decision!F378/F$5</f>
        <v>0.0494057638940627</v>
      </c>
      <c r="G379" s="21" t="n">
        <f aca="false">2_Matriz_decision!G378/G$5</f>
        <v>0.0411149420220302</v>
      </c>
      <c r="H379" s="21" t="n">
        <f aca="false">2_Matriz_decision!H378/H$5</f>
        <v>0.0256178772689507</v>
      </c>
      <c r="I379" s="21" t="n">
        <f aca="false">2_Matriz_decision!I378/I$5</f>
        <v>0.0296369482982925</v>
      </c>
      <c r="J379" s="21" t="n">
        <f aca="false">2_Matriz_decision!J378/J$5</f>
        <v>0.0351992440847949</v>
      </c>
      <c r="K379" s="21" t="n">
        <f aca="false">2_Matriz_decision!K378/K$5</f>
        <v>0.039014903418414</v>
      </c>
      <c r="L379" s="21" t="n">
        <f aca="false">2_Matriz_decision!L378/L$5</f>
        <v>0.0283740805916056</v>
      </c>
      <c r="M379" s="21" t="n">
        <f aca="false">2_Matriz_decision!M378/M$5</f>
        <v>0.037062517900897</v>
      </c>
      <c r="N379" s="21" t="n">
        <f aca="false">2_Matriz_decision!N378/N$5</f>
        <v>0.0560490217345168</v>
      </c>
      <c r="O379" s="21" t="n">
        <f aca="false">2_Matriz_decision!O378/O$5</f>
        <v>0.0304431282773992</v>
      </c>
      <c r="P379" s="21" t="n">
        <f aca="false">2_Matriz_decision!P378/P$5</f>
        <v>0.0264720767589686</v>
      </c>
      <c r="Q379" s="21" t="n">
        <f aca="false">2_Matriz_decision!Q378/Q$5</f>
        <v>0.0133893885620924</v>
      </c>
    </row>
    <row r="380" customFormat="false" ht="15" hidden="false" customHeight="false" outlineLevel="0" collapsed="false">
      <c r="A380" s="15" t="n">
        <f aca="false">2_Matriz_decision!A379</f>
        <v>375</v>
      </c>
      <c r="B380" s="16" t="n">
        <f aca="false">2_Matriz_decision!B379</f>
        <v>37.731</v>
      </c>
      <c r="C380" s="21" t="n">
        <f aca="false">2_Matriz_decision!C379/C$5</f>
        <v>0.0439697451539424</v>
      </c>
      <c r="D380" s="21" t="n">
        <f aca="false">2_Matriz_decision!D379/D$5</f>
        <v>0.0334918645582358</v>
      </c>
      <c r="E380" s="21" t="n">
        <f aca="false">2_Matriz_decision!E379/E$5</f>
        <v>0.0400721949850431</v>
      </c>
      <c r="F380" s="21" t="n">
        <f aca="false">2_Matriz_decision!F379/F$5</f>
        <v>0.0494057638940627</v>
      </c>
      <c r="G380" s="21" t="n">
        <f aca="false">2_Matriz_decision!G379/G$5</f>
        <v>0.0411149420220302</v>
      </c>
      <c r="H380" s="21" t="n">
        <f aca="false">2_Matriz_decision!H379/H$5</f>
        <v>0.0256178772689507</v>
      </c>
      <c r="I380" s="21" t="n">
        <f aca="false">2_Matriz_decision!I379/I$5</f>
        <v>0.0148184741491462</v>
      </c>
      <c r="J380" s="21" t="n">
        <f aca="false">2_Matriz_decision!J379/J$5</f>
        <v>0.0351992440847949</v>
      </c>
      <c r="K380" s="21" t="n">
        <f aca="false">2_Matriz_decision!K379/K$5</f>
        <v>0.039014903418414</v>
      </c>
      <c r="L380" s="21" t="n">
        <f aca="false">2_Matriz_decision!L379/L$5</f>
        <v>0.0200303358747527</v>
      </c>
      <c r="M380" s="21" t="n">
        <f aca="false">2_Matriz_decision!M379/M$5</f>
        <v>0.0346653297087973</v>
      </c>
      <c r="N380" s="21" t="n">
        <f aca="false">2_Matriz_decision!N379/N$5</f>
        <v>0.0560490217345168</v>
      </c>
      <c r="O380" s="21" t="n">
        <f aca="false">2_Matriz_decision!O379/O$5</f>
        <v>0.0304431282773992</v>
      </c>
      <c r="P380" s="21" t="n">
        <f aca="false">2_Matriz_decision!P379/P$5</f>
        <v>0.0264720767589686</v>
      </c>
      <c r="Q380" s="21" t="n">
        <f aca="false">2_Matriz_decision!Q379/Q$5</f>
        <v>0.0133893885620924</v>
      </c>
    </row>
    <row r="381" customFormat="false" ht="15" hidden="false" customHeight="false" outlineLevel="0" collapsed="false">
      <c r="A381" s="15" t="n">
        <f aca="false">2_Matriz_decision!A380</f>
        <v>376</v>
      </c>
      <c r="B381" s="16" t="n">
        <f aca="false">2_Matriz_decision!B380</f>
        <v>37.831</v>
      </c>
      <c r="C381" s="21" t="n">
        <f aca="false">2_Matriz_decision!C380/C$5</f>
        <v>0.0439697451539424</v>
      </c>
      <c r="D381" s="21" t="n">
        <f aca="false">2_Matriz_decision!D380/D$5</f>
        <v>0.0334918645582358</v>
      </c>
      <c r="E381" s="21" t="n">
        <f aca="false">2_Matriz_decision!E380/E$5</f>
        <v>0.0400721949850431</v>
      </c>
      <c r="F381" s="21" t="n">
        <f aca="false">2_Matriz_decision!F380/F$5</f>
        <v>0.0494057638940627</v>
      </c>
      <c r="G381" s="21" t="n">
        <f aca="false">2_Matriz_decision!G380/G$5</f>
        <v>0.0411149420220302</v>
      </c>
      <c r="H381" s="21" t="n">
        <f aca="false">2_Matriz_decision!H380/H$5</f>
        <v>0.0256178772689507</v>
      </c>
      <c r="I381" s="21" t="n">
        <f aca="false">2_Matriz_decision!I380/I$5</f>
        <v>0.0148184741491462</v>
      </c>
      <c r="J381" s="21" t="n">
        <f aca="false">2_Matriz_decision!J380/J$5</f>
        <v>0.0351992440847949</v>
      </c>
      <c r="K381" s="21" t="n">
        <f aca="false">2_Matriz_decision!K380/K$5</f>
        <v>0.039014903418414</v>
      </c>
      <c r="L381" s="21" t="n">
        <f aca="false">2_Matriz_decision!L380/L$5</f>
        <v>0.0175298867368496</v>
      </c>
      <c r="M381" s="21" t="n">
        <f aca="false">2_Matriz_decision!M380/M$5</f>
        <v>0.0423429600936329</v>
      </c>
      <c r="N381" s="21" t="n">
        <f aca="false">2_Matriz_decision!N380/N$5</f>
        <v>0.0560490217345168</v>
      </c>
      <c r="O381" s="21" t="n">
        <f aca="false">2_Matriz_decision!O380/O$5</f>
        <v>0.0304431282773992</v>
      </c>
      <c r="P381" s="21" t="n">
        <f aca="false">2_Matriz_decision!P380/P$5</f>
        <v>0.0264720767589686</v>
      </c>
      <c r="Q381" s="21" t="n">
        <f aca="false">2_Matriz_decision!Q380/Q$5</f>
        <v>0.0133893885620924</v>
      </c>
    </row>
    <row r="382" customFormat="false" ht="15" hidden="false" customHeight="false" outlineLevel="0" collapsed="false">
      <c r="A382" s="15" t="n">
        <f aca="false">2_Matriz_decision!A381</f>
        <v>377</v>
      </c>
      <c r="B382" s="16" t="n">
        <f aca="false">2_Matriz_decision!B381</f>
        <v>37.931</v>
      </c>
      <c r="C382" s="21" t="n">
        <f aca="false">2_Matriz_decision!C381/C$5</f>
        <v>0.0439697451539424</v>
      </c>
      <c r="D382" s="21" t="n">
        <f aca="false">2_Matriz_decision!D381/D$5</f>
        <v>0.0334918645582358</v>
      </c>
      <c r="E382" s="21" t="n">
        <f aca="false">2_Matriz_decision!E381/E$5</f>
        <v>0.0400721949850431</v>
      </c>
      <c r="F382" s="21" t="n">
        <f aca="false">2_Matriz_decision!F381/F$5</f>
        <v>0.0494057638940627</v>
      </c>
      <c r="G382" s="21" t="n">
        <f aca="false">2_Matriz_decision!G381/G$5</f>
        <v>0.0411149420220302</v>
      </c>
      <c r="H382" s="21" t="n">
        <f aca="false">2_Matriz_decision!H381/H$5</f>
        <v>0.0256178772689507</v>
      </c>
      <c r="I382" s="21" t="n">
        <f aca="false">2_Matriz_decision!I381/I$5</f>
        <v>0.0296369482982925</v>
      </c>
      <c r="J382" s="21" t="n">
        <f aca="false">2_Matriz_decision!J381/J$5</f>
        <v>0.0351992440847949</v>
      </c>
      <c r="K382" s="21" t="n">
        <f aca="false">2_Matriz_decision!K381/K$5</f>
        <v>0.039014903418414</v>
      </c>
      <c r="L382" s="21" t="n">
        <f aca="false">2_Matriz_decision!L381/L$5</f>
        <v>0.0244295217911703</v>
      </c>
      <c r="M382" s="21" t="n">
        <f aca="false">2_Matriz_decision!M381/M$5</f>
        <v>0.038443386675148</v>
      </c>
      <c r="N382" s="21" t="n">
        <f aca="false">2_Matriz_decision!N381/N$5</f>
        <v>0.0448392173876134</v>
      </c>
      <c r="O382" s="21" t="n">
        <f aca="false">2_Matriz_decision!O381/O$5</f>
        <v>0.0304431282773992</v>
      </c>
      <c r="P382" s="21" t="n">
        <f aca="false">2_Matriz_decision!P381/P$5</f>
        <v>0.0264720767589686</v>
      </c>
      <c r="Q382" s="21" t="n">
        <f aca="false">2_Matriz_decision!Q381/Q$5</f>
        <v>0.066946942810462</v>
      </c>
    </row>
    <row r="383" customFormat="false" ht="15" hidden="false" customHeight="false" outlineLevel="0" collapsed="false">
      <c r="A383" s="15" t="n">
        <f aca="false">2_Matriz_decision!A382</f>
        <v>378</v>
      </c>
      <c r="B383" s="16" t="n">
        <f aca="false">2_Matriz_decision!B382</f>
        <v>38.031</v>
      </c>
      <c r="C383" s="21" t="n">
        <f aca="false">2_Matriz_decision!C382/C$5</f>
        <v>0.0439697451539424</v>
      </c>
      <c r="D383" s="21" t="n">
        <f aca="false">2_Matriz_decision!D382/D$5</f>
        <v>0.0334918645582358</v>
      </c>
      <c r="E383" s="21" t="n">
        <f aca="false">2_Matriz_decision!E382/E$5</f>
        <v>0.0500902437313038</v>
      </c>
      <c r="F383" s="21" t="n">
        <f aca="false">2_Matriz_decision!F382/F$5</f>
        <v>0.0494057638940627</v>
      </c>
      <c r="G383" s="21" t="n">
        <f aca="false">2_Matriz_decision!G382/G$5</f>
        <v>0.0411149420220302</v>
      </c>
      <c r="H383" s="21" t="n">
        <f aca="false">2_Matriz_decision!H382/H$5</f>
        <v>0.0256178772689507</v>
      </c>
      <c r="I383" s="21" t="n">
        <f aca="false">2_Matriz_decision!I382/I$5</f>
        <v>0.0592738965965849</v>
      </c>
      <c r="J383" s="21" t="n">
        <f aca="false">2_Matriz_decision!J382/J$5</f>
        <v>0.0351992440847949</v>
      </c>
      <c r="K383" s="21" t="n">
        <f aca="false">2_Matriz_decision!K382/K$5</f>
        <v>0.039014903418414</v>
      </c>
      <c r="L383" s="21" t="n">
        <f aca="false">2_Matriz_decision!L382/L$5</f>
        <v>0.0284409375204265</v>
      </c>
      <c r="M383" s="21" t="n">
        <f aca="false">2_Matriz_decision!M382/M$5</f>
        <v>0.0334501651874564</v>
      </c>
      <c r="N383" s="21" t="n">
        <f aca="false">2_Matriz_decision!N382/N$5</f>
        <v>0.0448392173876134</v>
      </c>
      <c r="O383" s="21" t="n">
        <f aca="false">2_Matriz_decision!O382/O$5</f>
        <v>0.0304431282773992</v>
      </c>
      <c r="P383" s="21" t="n">
        <f aca="false">2_Matriz_decision!P382/P$5</f>
        <v>0.0264720767589686</v>
      </c>
      <c r="Q383" s="21" t="n">
        <f aca="false">2_Matriz_decision!Q382/Q$5</f>
        <v>0.066946942810462</v>
      </c>
    </row>
    <row r="384" customFormat="false" ht="15" hidden="false" customHeight="false" outlineLevel="0" collapsed="false">
      <c r="A384" s="15" t="n">
        <f aca="false">2_Matriz_decision!A383</f>
        <v>379</v>
      </c>
      <c r="B384" s="16" t="n">
        <f aca="false">2_Matriz_decision!B383</f>
        <v>38.131</v>
      </c>
      <c r="C384" s="21" t="n">
        <f aca="false">2_Matriz_decision!C383/C$5</f>
        <v>0.0439697451539424</v>
      </c>
      <c r="D384" s="21" t="n">
        <f aca="false">2_Matriz_decision!D383/D$5</f>
        <v>0.0334918645582358</v>
      </c>
      <c r="E384" s="21" t="n">
        <f aca="false">2_Matriz_decision!E383/E$5</f>
        <v>0.0400721949850431</v>
      </c>
      <c r="F384" s="21" t="n">
        <f aca="false">2_Matriz_decision!F383/F$5</f>
        <v>0.0494057638940627</v>
      </c>
      <c r="G384" s="21" t="n">
        <f aca="false">2_Matriz_decision!G383/G$5</f>
        <v>0.0411149420220302</v>
      </c>
      <c r="H384" s="21" t="n">
        <f aca="false">2_Matriz_decision!H383/H$5</f>
        <v>0.0256178772689507</v>
      </c>
      <c r="I384" s="21" t="n">
        <f aca="false">2_Matriz_decision!I383/I$5</f>
        <v>0.0592738965965849</v>
      </c>
      <c r="J384" s="21" t="n">
        <f aca="false">2_Matriz_decision!J383/J$5</f>
        <v>0.0351992440847949</v>
      </c>
      <c r="K384" s="21" t="n">
        <f aca="false">2_Matriz_decision!K383/K$5</f>
        <v>0.039014903418414</v>
      </c>
      <c r="L384" s="21" t="n">
        <f aca="false">2_Matriz_decision!L383/L$5</f>
        <v>0.0272508841874138</v>
      </c>
      <c r="M384" s="21" t="n">
        <f aca="false">2_Matriz_decision!M383/M$5</f>
        <v>0.0386643256790282</v>
      </c>
      <c r="N384" s="21" t="n">
        <f aca="false">2_Matriz_decision!N383/N$5</f>
        <v>0.0448392173876134</v>
      </c>
      <c r="O384" s="21" t="n">
        <f aca="false">2_Matriz_decision!O383/O$5</f>
        <v>0.0304431282773992</v>
      </c>
      <c r="P384" s="21" t="n">
        <f aca="false">2_Matriz_decision!P383/P$5</f>
        <v>0.0264720767589686</v>
      </c>
      <c r="Q384" s="21" t="n">
        <f aca="false">2_Matriz_decision!Q383/Q$5</f>
        <v>0.066946942810462</v>
      </c>
    </row>
    <row r="385" customFormat="false" ht="15" hidden="false" customHeight="false" outlineLevel="0" collapsed="false">
      <c r="A385" s="15" t="n">
        <f aca="false">2_Matriz_decision!A384</f>
        <v>380</v>
      </c>
      <c r="B385" s="16" t="n">
        <f aca="false">2_Matriz_decision!B384</f>
        <v>38.23</v>
      </c>
      <c r="C385" s="21" t="n">
        <f aca="false">2_Matriz_decision!C384/C$5</f>
        <v>0.0439697451539424</v>
      </c>
      <c r="D385" s="21" t="n">
        <f aca="false">2_Matriz_decision!D384/D$5</f>
        <v>0.0334918645582358</v>
      </c>
      <c r="E385" s="21" t="n">
        <f aca="false">2_Matriz_decision!E384/E$5</f>
        <v>0.0400721949850431</v>
      </c>
      <c r="F385" s="21" t="n">
        <f aca="false">2_Matriz_decision!F384/F$5</f>
        <v>0.0494057638940627</v>
      </c>
      <c r="G385" s="21" t="n">
        <f aca="false">2_Matriz_decision!G384/G$5</f>
        <v>0.0411149420220302</v>
      </c>
      <c r="H385" s="21" t="n">
        <f aca="false">2_Matriz_decision!H384/H$5</f>
        <v>0.0256178772689507</v>
      </c>
      <c r="I385" s="21" t="n">
        <f aca="false">2_Matriz_decision!I384/I$5</f>
        <v>0.0592738965965849</v>
      </c>
      <c r="J385" s="21" t="n">
        <f aca="false">2_Matriz_decision!J384/J$5</f>
        <v>0.0351992440847949</v>
      </c>
      <c r="K385" s="21" t="n">
        <f aca="false">2_Matriz_decision!K384/K$5</f>
        <v>0.039014903418414</v>
      </c>
      <c r="L385" s="21" t="n">
        <f aca="false">2_Matriz_decision!L384/L$5</f>
        <v>0.0280264245617367</v>
      </c>
      <c r="M385" s="21" t="n">
        <f aca="false">2_Matriz_decision!M384/M$5</f>
        <v>0.0340246065975448</v>
      </c>
      <c r="N385" s="21" t="n">
        <f aca="false">2_Matriz_decision!N384/N$5</f>
        <v>0.0448392173876134</v>
      </c>
      <c r="O385" s="21" t="n">
        <f aca="false">2_Matriz_decision!O384/O$5</f>
        <v>0.0304431282773992</v>
      </c>
      <c r="P385" s="21" t="n">
        <f aca="false">2_Matriz_decision!P384/P$5</f>
        <v>0.0264720767589686</v>
      </c>
      <c r="Q385" s="21" t="n">
        <f aca="false">2_Matriz_decision!Q384/Q$5</f>
        <v>0.066946942810462</v>
      </c>
    </row>
    <row r="386" customFormat="false" ht="15" hidden="false" customHeight="false" outlineLevel="0" collapsed="false">
      <c r="A386" s="15" t="n">
        <f aca="false">2_Matriz_decision!A385</f>
        <v>381</v>
      </c>
      <c r="B386" s="16" t="n">
        <f aca="false">2_Matriz_decision!B385</f>
        <v>38.329</v>
      </c>
      <c r="C386" s="21" t="n">
        <f aca="false">2_Matriz_decision!C385/C$5</f>
        <v>0.0439697451539424</v>
      </c>
      <c r="D386" s="21" t="n">
        <f aca="false">2_Matriz_decision!D385/D$5</f>
        <v>0.0334918645582358</v>
      </c>
      <c r="E386" s="21" t="n">
        <f aca="false">2_Matriz_decision!E385/E$5</f>
        <v>0.0400721949850431</v>
      </c>
      <c r="F386" s="21" t="n">
        <f aca="false">2_Matriz_decision!F385/F$5</f>
        <v>0.0494057638940627</v>
      </c>
      <c r="G386" s="21" t="n">
        <f aca="false">2_Matriz_decision!G385/G$5</f>
        <v>0.0411149420220302</v>
      </c>
      <c r="H386" s="21" t="n">
        <f aca="false">2_Matriz_decision!H385/H$5</f>
        <v>0.0256178772689507</v>
      </c>
      <c r="I386" s="21" t="n">
        <f aca="false">2_Matriz_decision!I385/I$5</f>
        <v>0.0592738965965849</v>
      </c>
      <c r="J386" s="21" t="n">
        <f aca="false">2_Matriz_decision!J385/J$5</f>
        <v>0.0351992440847949</v>
      </c>
      <c r="K386" s="21" t="n">
        <f aca="false">2_Matriz_decision!K385/K$5</f>
        <v>0.039014903418414</v>
      </c>
      <c r="L386" s="21" t="n">
        <f aca="false">2_Matriz_decision!L385/L$5</f>
        <v>0.0194954804441852</v>
      </c>
      <c r="M386" s="21" t="n">
        <f aca="false">2_Matriz_decision!M385/M$5</f>
        <v>0.0360241045826603</v>
      </c>
      <c r="N386" s="21" t="n">
        <f aca="false">2_Matriz_decision!N385/N$5</f>
        <v>0.0448392173876134</v>
      </c>
      <c r="O386" s="21" t="n">
        <f aca="false">2_Matriz_decision!O385/O$5</f>
        <v>0.0304431282773992</v>
      </c>
      <c r="P386" s="21" t="n">
        <f aca="false">2_Matriz_decision!P385/P$5</f>
        <v>0.0264720767589686</v>
      </c>
      <c r="Q386" s="21" t="n">
        <f aca="false">2_Matriz_decision!Q385/Q$5</f>
        <v>0.0133893885620924</v>
      </c>
    </row>
    <row r="387" customFormat="false" ht="15" hidden="false" customHeight="false" outlineLevel="0" collapsed="false">
      <c r="A387" s="15" t="n">
        <f aca="false">2_Matriz_decision!A386</f>
        <v>382</v>
      </c>
      <c r="B387" s="16" t="n">
        <f aca="false">2_Matriz_decision!B386</f>
        <v>38.428</v>
      </c>
      <c r="C387" s="21" t="n">
        <f aca="false">2_Matriz_decision!C386/C$5</f>
        <v>0.0439697451539424</v>
      </c>
      <c r="D387" s="21" t="n">
        <f aca="false">2_Matriz_decision!D386/D$5</f>
        <v>0.0334918645582358</v>
      </c>
      <c r="E387" s="21" t="n">
        <f aca="false">2_Matriz_decision!E386/E$5</f>
        <v>0.0500902437313038</v>
      </c>
      <c r="F387" s="21" t="n">
        <f aca="false">2_Matriz_decision!F386/F$5</f>
        <v>0.0197623055576251</v>
      </c>
      <c r="G387" s="21" t="n">
        <f aca="false">2_Matriz_decision!G386/G$5</f>
        <v>0.0411149420220302</v>
      </c>
      <c r="H387" s="21" t="n">
        <f aca="false">2_Matriz_decision!H386/H$5</f>
        <v>0.0256178772689507</v>
      </c>
      <c r="I387" s="21" t="n">
        <f aca="false">2_Matriz_decision!I386/I$5</f>
        <v>0.0740923707457312</v>
      </c>
      <c r="J387" s="21" t="n">
        <f aca="false">2_Matriz_decision!J386/J$5</f>
        <v>0.0351992440847949</v>
      </c>
      <c r="K387" s="21" t="n">
        <f aca="false">2_Matriz_decision!K386/K$5</f>
        <v>0.039014903418414</v>
      </c>
      <c r="L387" s="21" t="n">
        <f aca="false">2_Matriz_decision!L386/L$5</f>
        <v>0.0202576494327439</v>
      </c>
      <c r="M387" s="21" t="n">
        <f aca="false">2_Matriz_decision!M386/M$5</f>
        <v>0.0365985459927487</v>
      </c>
      <c r="N387" s="21" t="n">
        <f aca="false">2_Matriz_decision!N386/N$5</f>
        <v>0.0448392173876134</v>
      </c>
      <c r="O387" s="21" t="n">
        <f aca="false">2_Matriz_decision!O386/O$5</f>
        <v>0.0304431282773992</v>
      </c>
      <c r="P387" s="21" t="n">
        <f aca="false">2_Matriz_decision!P386/P$5</f>
        <v>0.0264720767589686</v>
      </c>
      <c r="Q387" s="21" t="n">
        <f aca="false">2_Matriz_decision!Q386/Q$5</f>
        <v>0.0133893885620924</v>
      </c>
    </row>
    <row r="388" customFormat="false" ht="15" hidden="false" customHeight="false" outlineLevel="0" collapsed="false">
      <c r="A388" s="15" t="n">
        <f aca="false">2_Matriz_decision!A387</f>
        <v>383</v>
      </c>
      <c r="B388" s="16" t="n">
        <f aca="false">2_Matriz_decision!B387</f>
        <v>38.528</v>
      </c>
      <c r="C388" s="21" t="n">
        <f aca="false">2_Matriz_decision!C387/C$5</f>
        <v>0.0439697451539424</v>
      </c>
      <c r="D388" s="21" t="n">
        <f aca="false">2_Matriz_decision!D387/D$5</f>
        <v>0.0334918645582358</v>
      </c>
      <c r="E388" s="21" t="n">
        <f aca="false">2_Matriz_decision!E387/E$5</f>
        <v>0.0500902437313038</v>
      </c>
      <c r="F388" s="21" t="n">
        <f aca="false">2_Matriz_decision!F387/F$5</f>
        <v>0.0296434583364376</v>
      </c>
      <c r="G388" s="21" t="n">
        <f aca="false">2_Matriz_decision!G387/G$5</f>
        <v>0.0411149420220302</v>
      </c>
      <c r="H388" s="21" t="n">
        <f aca="false">2_Matriz_decision!H387/H$5</f>
        <v>0.0256178772689507</v>
      </c>
      <c r="I388" s="21" t="n">
        <f aca="false">2_Matriz_decision!I387/I$5</f>
        <v>0.0740923707457312</v>
      </c>
      <c r="J388" s="21" t="n">
        <f aca="false">2_Matriz_decision!J387/J$5</f>
        <v>0.0351992440847949</v>
      </c>
      <c r="K388" s="21" t="n">
        <f aca="false">2_Matriz_decision!K387/K$5</f>
        <v>0.039014903418414</v>
      </c>
      <c r="L388" s="21" t="n">
        <f aca="false">2_Matriz_decision!L387/L$5</f>
        <v>0.0247771778210392</v>
      </c>
      <c r="M388" s="21" t="n">
        <f aca="false">2_Matriz_decision!M387/M$5</f>
        <v>0.0395038938937728</v>
      </c>
      <c r="N388" s="21" t="n">
        <f aca="false">2_Matriz_decision!N387/N$5</f>
        <v>0.0448392173876134</v>
      </c>
      <c r="O388" s="21" t="n">
        <f aca="false">2_Matriz_decision!O387/O$5</f>
        <v>0.0304431282773992</v>
      </c>
      <c r="P388" s="21" t="n">
        <f aca="false">2_Matriz_decision!P387/P$5</f>
        <v>0.0264720767589686</v>
      </c>
      <c r="Q388" s="21" t="n">
        <f aca="false">2_Matriz_decision!Q387/Q$5</f>
        <v>0.0133893885620924</v>
      </c>
    </row>
    <row r="389" customFormat="false" ht="15" hidden="false" customHeight="false" outlineLevel="0" collapsed="false">
      <c r="A389" s="15" t="n">
        <f aca="false">2_Matriz_decision!A388</f>
        <v>384</v>
      </c>
      <c r="B389" s="16" t="n">
        <f aca="false">2_Matriz_decision!B388</f>
        <v>38.627</v>
      </c>
      <c r="C389" s="21" t="n">
        <f aca="false">2_Matriz_decision!C388/C$5</f>
        <v>0.0439697451539424</v>
      </c>
      <c r="D389" s="21" t="n">
        <f aca="false">2_Matriz_decision!D388/D$5</f>
        <v>0.0334918645582358</v>
      </c>
      <c r="E389" s="21" t="n">
        <f aca="false">2_Matriz_decision!E388/E$5</f>
        <v>0.0500902437313038</v>
      </c>
      <c r="F389" s="21" t="n">
        <f aca="false">2_Matriz_decision!F388/F$5</f>
        <v>0.0197623055576251</v>
      </c>
      <c r="G389" s="21" t="n">
        <f aca="false">2_Matriz_decision!G388/G$5</f>
        <v>0.0411149420220302</v>
      </c>
      <c r="H389" s="21" t="n">
        <f aca="false">2_Matriz_decision!H388/H$5</f>
        <v>0.0256178772689507</v>
      </c>
      <c r="I389" s="21" t="n">
        <f aca="false">2_Matriz_decision!I388/I$5</f>
        <v>0.0740923707457312</v>
      </c>
      <c r="J389" s="21" t="n">
        <f aca="false">2_Matriz_decision!J388/J$5</f>
        <v>0.0351992440847949</v>
      </c>
      <c r="K389" s="21" t="n">
        <f aca="false">2_Matriz_decision!K388/K$5</f>
        <v>0.039014903418414</v>
      </c>
      <c r="L389" s="21" t="n">
        <f aca="false">2_Matriz_decision!L388/L$5</f>
        <v>0.0274380835881125</v>
      </c>
      <c r="M389" s="21" t="n">
        <f aca="false">2_Matriz_decision!M388/M$5</f>
        <v>0.039691692047071</v>
      </c>
      <c r="N389" s="21" t="n">
        <f aca="false">2_Matriz_decision!N388/N$5</f>
        <v>0.0448392173876134</v>
      </c>
      <c r="O389" s="21" t="n">
        <f aca="false">2_Matriz_decision!O388/O$5</f>
        <v>0.0304431282773992</v>
      </c>
      <c r="P389" s="21" t="n">
        <f aca="false">2_Matriz_decision!P388/P$5</f>
        <v>0.0264720767589686</v>
      </c>
      <c r="Q389" s="21" t="n">
        <f aca="false">2_Matriz_decision!Q388/Q$5</f>
        <v>0.0133893885620924</v>
      </c>
    </row>
    <row r="390" customFormat="false" ht="15" hidden="false" customHeight="false" outlineLevel="0" collapsed="false">
      <c r="A390" s="15" t="n">
        <f aca="false">2_Matriz_decision!A389</f>
        <v>385</v>
      </c>
      <c r="B390" s="16" t="n">
        <f aca="false">2_Matriz_decision!B389</f>
        <v>38.726</v>
      </c>
      <c r="C390" s="21" t="n">
        <f aca="false">2_Matriz_decision!C389/C$5</f>
        <v>0.0439697451539424</v>
      </c>
      <c r="D390" s="21" t="n">
        <f aca="false">2_Matriz_decision!D389/D$5</f>
        <v>0.0334918645582358</v>
      </c>
      <c r="E390" s="21" t="n">
        <f aca="false">2_Matriz_decision!E389/E$5</f>
        <v>0.0500902437313038</v>
      </c>
      <c r="F390" s="21" t="n">
        <f aca="false">2_Matriz_decision!F389/F$5</f>
        <v>0.0197623055576251</v>
      </c>
      <c r="G390" s="21" t="n">
        <f aca="false">2_Matriz_decision!G389/G$5</f>
        <v>0.0411149420220302</v>
      </c>
      <c r="H390" s="21" t="n">
        <f aca="false">2_Matriz_decision!H389/H$5</f>
        <v>0.0256178772689507</v>
      </c>
      <c r="I390" s="21" t="n">
        <f aca="false">2_Matriz_decision!I389/I$5</f>
        <v>0.0740923707457312</v>
      </c>
      <c r="J390" s="21" t="n">
        <f aca="false">2_Matriz_decision!J389/J$5</f>
        <v>0.0351992440847949</v>
      </c>
      <c r="K390" s="21" t="n">
        <f aca="false">2_Matriz_decision!K389/K$5</f>
        <v>0.039014903418414</v>
      </c>
      <c r="L390" s="21" t="n">
        <f aca="false">2_Matriz_decision!L389/L$5</f>
        <v>0.0265154579703835</v>
      </c>
      <c r="M390" s="21" t="n">
        <f aca="false">2_Matriz_decision!M389/M$5</f>
        <v>0.0351182546667516</v>
      </c>
      <c r="N390" s="21" t="n">
        <f aca="false">2_Matriz_decision!N389/N$5</f>
        <v>0.0448392173876134</v>
      </c>
      <c r="O390" s="21" t="n">
        <f aca="false">2_Matriz_decision!O389/O$5</f>
        <v>0.0304431282773992</v>
      </c>
      <c r="P390" s="21" t="n">
        <f aca="false">2_Matriz_decision!P389/P$5</f>
        <v>0.0264720767589686</v>
      </c>
      <c r="Q390" s="21" t="n">
        <f aca="false">2_Matriz_decision!Q389/Q$5</f>
        <v>0.0133893885620924</v>
      </c>
    </row>
    <row r="391" customFormat="false" ht="15" hidden="false" customHeight="false" outlineLevel="0" collapsed="false">
      <c r="A391" s="15" t="n">
        <f aca="false">2_Matriz_decision!A390</f>
        <v>386</v>
      </c>
      <c r="B391" s="16" t="n">
        <f aca="false">2_Matriz_decision!B390</f>
        <v>38.827</v>
      </c>
      <c r="C391" s="21" t="n">
        <f aca="false">2_Matriz_decision!C390/C$5</f>
        <v>0.0439697451539424</v>
      </c>
      <c r="D391" s="21" t="n">
        <f aca="false">2_Matriz_decision!D390/D$5</f>
        <v>0.0334918645582358</v>
      </c>
      <c r="E391" s="21" t="n">
        <f aca="false">2_Matriz_decision!E390/E$5</f>
        <v>0.0500902437313038</v>
      </c>
      <c r="F391" s="21" t="n">
        <f aca="false">2_Matriz_decision!F390/F$5</f>
        <v>0.0197623055576251</v>
      </c>
      <c r="G391" s="21" t="n">
        <f aca="false">2_Matriz_decision!G390/G$5</f>
        <v>0.0411149420220302</v>
      </c>
      <c r="H391" s="21" t="n">
        <f aca="false">2_Matriz_decision!H390/H$5</f>
        <v>0.0256178772689507</v>
      </c>
      <c r="I391" s="21" t="n">
        <f aca="false">2_Matriz_decision!I390/I$5</f>
        <v>0.0740923707457312</v>
      </c>
      <c r="J391" s="21" t="n">
        <f aca="false">2_Matriz_decision!J390/J$5</f>
        <v>0.0351992440847949</v>
      </c>
      <c r="K391" s="21" t="n">
        <f aca="false">2_Matriz_decision!K390/K$5</f>
        <v>0.039014903418414</v>
      </c>
      <c r="L391" s="21" t="n">
        <f aca="false">2_Matriz_decision!L390/L$5</f>
        <v>0.0229185551998171</v>
      </c>
      <c r="M391" s="21" t="n">
        <f aca="false">2_Matriz_decision!M390/M$5</f>
        <v>0.0346653297087973</v>
      </c>
      <c r="N391" s="21" t="n">
        <f aca="false">2_Matriz_decision!N390/N$5</f>
        <v>0.0448392173876134</v>
      </c>
      <c r="O391" s="21" t="n">
        <f aca="false">2_Matriz_decision!O390/O$5</f>
        <v>0.0304431282773992</v>
      </c>
      <c r="P391" s="21" t="n">
        <f aca="false">2_Matriz_decision!P390/P$5</f>
        <v>0.0264720767589686</v>
      </c>
      <c r="Q391" s="21" t="n">
        <f aca="false">2_Matriz_decision!Q390/Q$5</f>
        <v>0.0133893885620924</v>
      </c>
    </row>
    <row r="392" customFormat="false" ht="15" hidden="false" customHeight="false" outlineLevel="0" collapsed="false">
      <c r="A392" s="15" t="n">
        <f aca="false">2_Matriz_decision!A391</f>
        <v>387</v>
      </c>
      <c r="B392" s="16" t="n">
        <f aca="false">2_Matriz_decision!B391</f>
        <v>38.927</v>
      </c>
      <c r="C392" s="21" t="n">
        <f aca="false">2_Matriz_decision!C391/C$5</f>
        <v>0.0439697451539424</v>
      </c>
      <c r="D392" s="21" t="n">
        <f aca="false">2_Matriz_decision!D391/D$5</f>
        <v>0.0334918645582358</v>
      </c>
      <c r="E392" s="21" t="n">
        <f aca="false">2_Matriz_decision!E391/E$5</f>
        <v>0.0500902437313038</v>
      </c>
      <c r="F392" s="21" t="n">
        <f aca="false">2_Matriz_decision!F391/F$5</f>
        <v>0.00988115277881254</v>
      </c>
      <c r="G392" s="21" t="n">
        <f aca="false">2_Matriz_decision!G391/G$5</f>
        <v>0.0411149420220302</v>
      </c>
      <c r="H392" s="21" t="n">
        <f aca="false">2_Matriz_decision!H391/H$5</f>
        <v>0.0256178772689507</v>
      </c>
      <c r="I392" s="21" t="n">
        <f aca="false">2_Matriz_decision!I391/I$5</f>
        <v>0.0740923707457312</v>
      </c>
      <c r="J392" s="21" t="n">
        <f aca="false">2_Matriz_decision!J391/J$5</f>
        <v>0.0351992440847949</v>
      </c>
      <c r="K392" s="21" t="n">
        <f aca="false">2_Matriz_decision!K391/K$5</f>
        <v>0.039014903418414</v>
      </c>
      <c r="L392" s="21" t="n">
        <f aca="false">2_Matriz_decision!L391/L$5</f>
        <v>0.0268096284571957</v>
      </c>
      <c r="M392" s="21" t="n">
        <f aca="false">2_Matriz_decision!M391/M$5</f>
        <v>0.0381672129202978</v>
      </c>
      <c r="N392" s="21" t="n">
        <f aca="false">2_Matriz_decision!N391/N$5</f>
        <v>0.0448392173876134</v>
      </c>
      <c r="O392" s="21" t="n">
        <f aca="false">2_Matriz_decision!O391/O$5</f>
        <v>0.0304431282773992</v>
      </c>
      <c r="P392" s="21" t="n">
        <f aca="false">2_Matriz_decision!P391/P$5</f>
        <v>0.0264720767589686</v>
      </c>
      <c r="Q392" s="21" t="n">
        <f aca="false">2_Matriz_decision!Q391/Q$5</f>
        <v>0.0133893885620924</v>
      </c>
    </row>
    <row r="393" customFormat="false" ht="15" hidden="false" customHeight="false" outlineLevel="0" collapsed="false">
      <c r="A393" s="15" t="n">
        <f aca="false">2_Matriz_decision!A392</f>
        <v>388</v>
      </c>
      <c r="B393" s="16" t="n">
        <f aca="false">2_Matriz_decision!B392</f>
        <v>39.027</v>
      </c>
      <c r="C393" s="21" t="n">
        <f aca="false">2_Matriz_decision!C392/C$5</f>
        <v>0.0439697451539424</v>
      </c>
      <c r="D393" s="21" t="n">
        <f aca="false">2_Matriz_decision!D392/D$5</f>
        <v>0.0334918645582358</v>
      </c>
      <c r="E393" s="21" t="n">
        <f aca="false">2_Matriz_decision!E392/E$5</f>
        <v>0.0500902437313038</v>
      </c>
      <c r="F393" s="21" t="n">
        <f aca="false">2_Matriz_decision!F392/F$5</f>
        <v>0.0197623055576251</v>
      </c>
      <c r="G393" s="21" t="n">
        <f aca="false">2_Matriz_decision!G392/G$5</f>
        <v>0.0411149420220302</v>
      </c>
      <c r="H393" s="21" t="n">
        <f aca="false">2_Matriz_decision!H392/H$5</f>
        <v>0.0256178772689507</v>
      </c>
      <c r="I393" s="21" t="n">
        <f aca="false">2_Matriz_decision!I392/I$5</f>
        <v>0.0740923707457312</v>
      </c>
      <c r="J393" s="21" t="n">
        <f aca="false">2_Matriz_decision!J392/J$5</f>
        <v>0.0351992440847949</v>
      </c>
      <c r="K393" s="21" t="n">
        <f aca="false">2_Matriz_decision!K392/K$5</f>
        <v>0.039014903418414</v>
      </c>
      <c r="L393" s="21" t="n">
        <f aca="false">2_Matriz_decision!L392/L$5</f>
        <v>0.0291362495801643</v>
      </c>
      <c r="M393" s="21" t="n">
        <f aca="false">2_Matriz_decision!M392/M$5</f>
        <v>0.0389073585832964</v>
      </c>
      <c r="N393" s="21" t="n">
        <f aca="false">2_Matriz_decision!N392/N$5</f>
        <v>0.0448392173876134</v>
      </c>
      <c r="O393" s="21" t="n">
        <f aca="false">2_Matriz_decision!O392/O$5</f>
        <v>0.0304431282773992</v>
      </c>
      <c r="P393" s="21" t="n">
        <f aca="false">2_Matriz_decision!P392/P$5</f>
        <v>0.0264720767589686</v>
      </c>
      <c r="Q393" s="21" t="n">
        <f aca="false">2_Matriz_decision!Q392/Q$5</f>
        <v>0.0133893885620924</v>
      </c>
    </row>
    <row r="394" customFormat="false" ht="15" hidden="false" customHeight="false" outlineLevel="0" collapsed="false">
      <c r="A394" s="15" t="n">
        <f aca="false">2_Matriz_decision!A393</f>
        <v>389</v>
      </c>
      <c r="B394" s="16" t="n">
        <f aca="false">2_Matriz_decision!B393</f>
        <v>39.127</v>
      </c>
      <c r="C394" s="21" t="n">
        <f aca="false">2_Matriz_decision!C393/C$5</f>
        <v>0.0439697451539424</v>
      </c>
      <c r="D394" s="21" t="n">
        <f aca="false">2_Matriz_decision!D393/D$5</f>
        <v>0.0334918645582358</v>
      </c>
      <c r="E394" s="21" t="n">
        <f aca="false">2_Matriz_decision!E393/E$5</f>
        <v>0.0500902437313038</v>
      </c>
      <c r="F394" s="21" t="n">
        <f aca="false">2_Matriz_decision!F393/F$5</f>
        <v>0.00988115277881254</v>
      </c>
      <c r="G394" s="21" t="n">
        <f aca="false">2_Matriz_decision!G393/G$5</f>
        <v>0.0411149420220302</v>
      </c>
      <c r="H394" s="21" t="n">
        <f aca="false">2_Matriz_decision!H393/H$5</f>
        <v>0.0256178772689507</v>
      </c>
      <c r="I394" s="21" t="n">
        <f aca="false">2_Matriz_decision!I393/I$5</f>
        <v>0.0740923707457312</v>
      </c>
      <c r="J394" s="21" t="n">
        <f aca="false">2_Matriz_decision!J393/J$5</f>
        <v>0.0351992440847949</v>
      </c>
      <c r="K394" s="21" t="n">
        <f aca="false">2_Matriz_decision!K393/K$5</f>
        <v>0.039014903418414</v>
      </c>
      <c r="L394" s="21" t="n">
        <f aca="false">2_Matriz_decision!L393/L$5</f>
        <v>0.0304065312277621</v>
      </c>
      <c r="M394" s="21" t="n">
        <f aca="false">2_Matriz_decision!M393/M$5</f>
        <v>0.0354386162223779</v>
      </c>
      <c r="N394" s="21" t="n">
        <f aca="false">2_Matriz_decision!N393/N$5</f>
        <v>0.0448392173876134</v>
      </c>
      <c r="O394" s="21" t="n">
        <f aca="false">2_Matriz_decision!O393/O$5</f>
        <v>0.0304431282773992</v>
      </c>
      <c r="P394" s="21" t="n">
        <f aca="false">2_Matriz_decision!P393/P$5</f>
        <v>0.0264720767589686</v>
      </c>
      <c r="Q394" s="21" t="n">
        <f aca="false">2_Matriz_decision!Q393/Q$5</f>
        <v>0.0133893885620924</v>
      </c>
    </row>
    <row r="395" customFormat="false" ht="15" hidden="false" customHeight="false" outlineLevel="0" collapsed="false">
      <c r="A395" s="15" t="n">
        <f aca="false">2_Matriz_decision!A394</f>
        <v>390</v>
      </c>
      <c r="B395" s="16" t="n">
        <f aca="false">2_Matriz_decision!B394</f>
        <v>39.227</v>
      </c>
      <c r="C395" s="21" t="n">
        <f aca="false">2_Matriz_decision!C394/C$5</f>
        <v>0.0439697451539424</v>
      </c>
      <c r="D395" s="21" t="n">
        <f aca="false">2_Matriz_decision!D394/D$5</f>
        <v>0.0334918645582358</v>
      </c>
      <c r="E395" s="21" t="n">
        <f aca="false">2_Matriz_decision!E394/E$5</f>
        <v>0.0500902437313038</v>
      </c>
      <c r="F395" s="21" t="n">
        <f aca="false">2_Matriz_decision!F394/F$5</f>
        <v>0.0197623055576251</v>
      </c>
      <c r="G395" s="21" t="n">
        <f aca="false">2_Matriz_decision!G394/G$5</f>
        <v>0.0411149420220302</v>
      </c>
      <c r="H395" s="21" t="n">
        <f aca="false">2_Matriz_decision!H394/H$5</f>
        <v>0.0256178772689507</v>
      </c>
      <c r="I395" s="21" t="n">
        <f aca="false">2_Matriz_decision!I394/I$5</f>
        <v>0.0740923707457312</v>
      </c>
      <c r="J395" s="21" t="n">
        <f aca="false">2_Matriz_decision!J394/J$5</f>
        <v>0.0351992440847949</v>
      </c>
      <c r="K395" s="21" t="n">
        <f aca="false">2_Matriz_decision!K394/K$5</f>
        <v>0.039014903418414</v>
      </c>
      <c r="L395" s="21" t="n">
        <f aca="false">2_Matriz_decision!L394/L$5</f>
        <v>0.0314227565458403</v>
      </c>
      <c r="M395" s="21" t="n">
        <f aca="false">2_Matriz_decision!M394/M$5</f>
        <v>0.0423208661932449</v>
      </c>
      <c r="N395" s="21" t="n">
        <f aca="false">2_Matriz_decision!N394/N$5</f>
        <v>0.0448392173876134</v>
      </c>
      <c r="O395" s="21" t="n">
        <f aca="false">2_Matriz_decision!O394/O$5</f>
        <v>0.0304431282773992</v>
      </c>
      <c r="P395" s="21" t="n">
        <f aca="false">2_Matriz_decision!P394/P$5</f>
        <v>0.0264720767589686</v>
      </c>
      <c r="Q395" s="21" t="n">
        <f aca="false">2_Matriz_decision!Q394/Q$5</f>
        <v>0.0133893885620924</v>
      </c>
    </row>
    <row r="396" customFormat="false" ht="15" hidden="false" customHeight="false" outlineLevel="0" collapsed="false">
      <c r="A396" s="15" t="n">
        <f aca="false">2_Matriz_decision!A395</f>
        <v>391</v>
      </c>
      <c r="B396" s="16" t="n">
        <f aca="false">2_Matriz_decision!B395</f>
        <v>39.327</v>
      </c>
      <c r="C396" s="21" t="n">
        <f aca="false">2_Matriz_decision!C395/C$5</f>
        <v>0.0439697451539424</v>
      </c>
      <c r="D396" s="21" t="n">
        <f aca="false">2_Matriz_decision!D395/D$5</f>
        <v>0.0334918645582358</v>
      </c>
      <c r="E396" s="21" t="n">
        <f aca="false">2_Matriz_decision!E395/E$5</f>
        <v>0.0500902437313038</v>
      </c>
      <c r="F396" s="21" t="n">
        <f aca="false">2_Matriz_decision!F395/F$5</f>
        <v>0.0197623055576251</v>
      </c>
      <c r="G396" s="21" t="n">
        <f aca="false">2_Matriz_decision!G395/G$5</f>
        <v>0.0411149420220302</v>
      </c>
      <c r="H396" s="21" t="n">
        <f aca="false">2_Matriz_decision!H395/H$5</f>
        <v>0.0256178772689507</v>
      </c>
      <c r="I396" s="21" t="n">
        <f aca="false">2_Matriz_decision!I395/I$5</f>
        <v>0.0740923707457312</v>
      </c>
      <c r="J396" s="21" t="n">
        <f aca="false">2_Matriz_decision!J395/J$5</f>
        <v>0.0351992440847949</v>
      </c>
      <c r="K396" s="21" t="n">
        <f aca="false">2_Matriz_decision!K395/K$5</f>
        <v>0.039014903418414</v>
      </c>
      <c r="L396" s="21" t="n">
        <f aca="false">2_Matriz_decision!L395/L$5</f>
        <v>0.0283473378200772</v>
      </c>
      <c r="M396" s="21" t="n">
        <f aca="false">2_Matriz_decision!M395/M$5</f>
        <v>0.0400893822540553</v>
      </c>
      <c r="N396" s="21" t="n">
        <f aca="false">2_Matriz_decision!N395/N$5</f>
        <v>0.0448392173876134</v>
      </c>
      <c r="O396" s="21" t="n">
        <f aca="false">2_Matriz_decision!O395/O$5</f>
        <v>0.0304431282773992</v>
      </c>
      <c r="P396" s="21" t="n">
        <f aca="false">2_Matriz_decision!P395/P$5</f>
        <v>0.0264720767589686</v>
      </c>
      <c r="Q396" s="21" t="n">
        <f aca="false">2_Matriz_decision!Q395/Q$5</f>
        <v>0.0133893885620924</v>
      </c>
    </row>
    <row r="397" customFormat="false" ht="15" hidden="false" customHeight="false" outlineLevel="0" collapsed="false">
      <c r="A397" s="15" t="n">
        <f aca="false">2_Matriz_decision!A396</f>
        <v>392</v>
      </c>
      <c r="B397" s="16" t="n">
        <f aca="false">2_Matriz_decision!B396</f>
        <v>39.427</v>
      </c>
      <c r="C397" s="21" t="n">
        <f aca="false">2_Matriz_decision!C396/C$5</f>
        <v>0.0439697451539424</v>
      </c>
      <c r="D397" s="21" t="n">
        <f aca="false">2_Matriz_decision!D396/D$5</f>
        <v>0.0334918645582358</v>
      </c>
      <c r="E397" s="21" t="n">
        <f aca="false">2_Matriz_decision!E396/E$5</f>
        <v>0.0500902437313038</v>
      </c>
      <c r="F397" s="21" t="n">
        <f aca="false">2_Matriz_decision!F396/F$5</f>
        <v>0.0197623055576251</v>
      </c>
      <c r="G397" s="21" t="n">
        <f aca="false">2_Matriz_decision!G396/G$5</f>
        <v>0.0411149420220302</v>
      </c>
      <c r="H397" s="21" t="n">
        <f aca="false">2_Matriz_decision!H396/H$5</f>
        <v>0.0256178772689507</v>
      </c>
      <c r="I397" s="21" t="n">
        <f aca="false">2_Matriz_decision!I396/I$5</f>
        <v>0.0740923707457312</v>
      </c>
      <c r="J397" s="21" t="n">
        <f aca="false">2_Matriz_decision!J396/J$5</f>
        <v>0.0351992440847949</v>
      </c>
      <c r="K397" s="21" t="n">
        <f aca="false">2_Matriz_decision!K396/K$5</f>
        <v>0.039014903418414</v>
      </c>
      <c r="L397" s="21" t="n">
        <f aca="false">2_Matriz_decision!L396/L$5</f>
        <v>0.0322517824632199</v>
      </c>
      <c r="M397" s="21" t="n">
        <f aca="false">2_Matriz_decision!M396/M$5</f>
        <v>0.0378689452650596</v>
      </c>
      <c r="N397" s="21" t="n">
        <f aca="false">2_Matriz_decision!N396/N$5</f>
        <v>0.0448392173876134</v>
      </c>
      <c r="O397" s="21" t="n">
        <f aca="false">2_Matriz_decision!O396/O$5</f>
        <v>0.0304431282773992</v>
      </c>
      <c r="P397" s="21" t="n">
        <f aca="false">2_Matriz_decision!P396/P$5</f>
        <v>0.0264720767589686</v>
      </c>
      <c r="Q397" s="21" t="n">
        <f aca="false">2_Matriz_decision!Q396/Q$5</f>
        <v>0.0133893885620924</v>
      </c>
    </row>
    <row r="398" customFormat="false" ht="15" hidden="false" customHeight="false" outlineLevel="0" collapsed="false">
      <c r="A398" s="15" t="n">
        <f aca="false">2_Matriz_decision!A397</f>
        <v>393</v>
      </c>
      <c r="B398" s="16" t="n">
        <f aca="false">2_Matriz_decision!B397</f>
        <v>39.526</v>
      </c>
      <c r="C398" s="21" t="n">
        <f aca="false">2_Matriz_decision!C397/C$5</f>
        <v>0.0439697451539424</v>
      </c>
      <c r="D398" s="21" t="n">
        <f aca="false">2_Matriz_decision!D397/D$5</f>
        <v>0.0334918645582358</v>
      </c>
      <c r="E398" s="21" t="n">
        <f aca="false">2_Matriz_decision!E397/E$5</f>
        <v>0.0500902437313038</v>
      </c>
      <c r="F398" s="21" t="n">
        <f aca="false">2_Matriz_decision!F397/F$5</f>
        <v>0.00988115277881254</v>
      </c>
      <c r="G398" s="21" t="n">
        <f aca="false">2_Matriz_decision!G397/G$5</f>
        <v>0.0411149420220302</v>
      </c>
      <c r="H398" s="21" t="n">
        <f aca="false">2_Matriz_decision!H397/H$5</f>
        <v>0.0256178772689507</v>
      </c>
      <c r="I398" s="21" t="n">
        <f aca="false">2_Matriz_decision!I397/I$5</f>
        <v>0.0740923707457312</v>
      </c>
      <c r="J398" s="21" t="n">
        <f aca="false">2_Matriz_decision!J397/J$5</f>
        <v>0.0351992440847949</v>
      </c>
      <c r="K398" s="21" t="n">
        <f aca="false">2_Matriz_decision!K397/K$5</f>
        <v>0.039014903418414</v>
      </c>
      <c r="L398" s="21" t="n">
        <f aca="false">2_Matriz_decision!L397/L$5</f>
        <v>0.03282675205108</v>
      </c>
      <c r="M398" s="21" t="n">
        <f aca="false">2_Matriz_decision!M397/M$5</f>
        <v>0.0389515463840724</v>
      </c>
      <c r="N398" s="21" t="n">
        <f aca="false">2_Matriz_decision!N397/N$5</f>
        <v>0.0448392173876134</v>
      </c>
      <c r="O398" s="21" t="n">
        <f aca="false">2_Matriz_decision!O397/O$5</f>
        <v>0.0304431282773992</v>
      </c>
      <c r="P398" s="21" t="n">
        <f aca="false">2_Matriz_decision!P397/P$5</f>
        <v>0.0264720767589686</v>
      </c>
      <c r="Q398" s="21" t="n">
        <f aca="false">2_Matriz_decision!Q397/Q$5</f>
        <v>0.0133893885620924</v>
      </c>
    </row>
    <row r="399" customFormat="false" ht="15" hidden="false" customHeight="false" outlineLevel="0" collapsed="false">
      <c r="A399" s="15" t="n">
        <f aca="false">2_Matriz_decision!A398</f>
        <v>394</v>
      </c>
      <c r="B399" s="16" t="n">
        <f aca="false">2_Matriz_decision!B398</f>
        <v>39.626</v>
      </c>
      <c r="C399" s="21" t="n">
        <f aca="false">2_Matriz_decision!C398/C$5</f>
        <v>0.0439697451539424</v>
      </c>
      <c r="D399" s="21" t="n">
        <f aca="false">2_Matriz_decision!D398/D$5</f>
        <v>0.0334918645582358</v>
      </c>
      <c r="E399" s="21" t="n">
        <f aca="false">2_Matriz_decision!E398/E$5</f>
        <v>0.0500902437313038</v>
      </c>
      <c r="F399" s="21" t="n">
        <f aca="false">2_Matriz_decision!F398/F$5</f>
        <v>0.0197623055576251</v>
      </c>
      <c r="G399" s="21" t="n">
        <f aca="false">2_Matriz_decision!G398/G$5</f>
        <v>0.0411149420220302</v>
      </c>
      <c r="H399" s="21" t="n">
        <f aca="false">2_Matriz_decision!H398/H$5</f>
        <v>0.0256178772689507</v>
      </c>
      <c r="I399" s="21" t="n">
        <f aca="false">2_Matriz_decision!I398/I$5</f>
        <v>0.0592738965965849</v>
      </c>
      <c r="J399" s="21" t="n">
        <f aca="false">2_Matriz_decision!J398/J$5</f>
        <v>0.0351992440847949</v>
      </c>
      <c r="K399" s="21" t="n">
        <f aca="false">2_Matriz_decision!K398/K$5</f>
        <v>0.039014903418414</v>
      </c>
      <c r="L399" s="21" t="n">
        <f aca="false">2_Matriz_decision!L398/L$5</f>
        <v>0.0362364554209478</v>
      </c>
      <c r="M399" s="21" t="n">
        <f aca="false">2_Matriz_decision!M398/M$5</f>
        <v>0.0366758746441068</v>
      </c>
      <c r="N399" s="21" t="n">
        <f aca="false">2_Matriz_decision!N398/N$5</f>
        <v>0.0448392173876134</v>
      </c>
      <c r="O399" s="21" t="n">
        <f aca="false">2_Matriz_decision!O398/O$5</f>
        <v>0.0304431282773992</v>
      </c>
      <c r="P399" s="21" t="n">
        <f aca="false">2_Matriz_decision!P398/P$5</f>
        <v>0.0264720767589686</v>
      </c>
      <c r="Q399" s="21" t="n">
        <f aca="false">2_Matriz_decision!Q398/Q$5</f>
        <v>0.0133893885620924</v>
      </c>
    </row>
    <row r="400" customFormat="false" ht="15" hidden="false" customHeight="false" outlineLevel="0" collapsed="false">
      <c r="A400" s="15" t="n">
        <f aca="false">2_Matriz_decision!A399</f>
        <v>395</v>
      </c>
      <c r="B400" s="16" t="n">
        <f aca="false">2_Matriz_decision!B399</f>
        <v>39.725</v>
      </c>
      <c r="C400" s="21" t="n">
        <f aca="false">2_Matriz_decision!C399/C$5</f>
        <v>0.0439697451539424</v>
      </c>
      <c r="D400" s="21" t="n">
        <f aca="false">2_Matriz_decision!D399/D$5</f>
        <v>0.0334918645582358</v>
      </c>
      <c r="E400" s="21" t="n">
        <f aca="false">2_Matriz_decision!E399/E$5</f>
        <v>0.0400721949850431</v>
      </c>
      <c r="F400" s="21" t="n">
        <f aca="false">2_Matriz_decision!F399/F$5</f>
        <v>0.0296434583364376</v>
      </c>
      <c r="G400" s="21" t="n">
        <f aca="false">2_Matriz_decision!G399/G$5</f>
        <v>0.0411149420220302</v>
      </c>
      <c r="H400" s="21" t="n">
        <f aca="false">2_Matriz_decision!H399/H$5</f>
        <v>0.0256178772689507</v>
      </c>
      <c r="I400" s="21" t="n">
        <f aca="false">2_Matriz_decision!I399/I$5</f>
        <v>0.0592738965965849</v>
      </c>
      <c r="J400" s="21" t="n">
        <f aca="false">2_Matriz_decision!J399/J$5</f>
        <v>0.0351992440847949</v>
      </c>
      <c r="K400" s="21" t="n">
        <f aca="false">2_Matriz_decision!K399/K$5</f>
        <v>0.039014903418414</v>
      </c>
      <c r="L400" s="21" t="n">
        <f aca="false">2_Matriz_decision!L399/L$5</f>
        <v>0.03496617377335</v>
      </c>
      <c r="M400" s="21" t="n">
        <f aca="false">2_Matriz_decision!M399/M$5</f>
        <v>0.0391282975871765</v>
      </c>
      <c r="N400" s="21" t="n">
        <f aca="false">2_Matriz_decision!N399/N$5</f>
        <v>0.0448392173876134</v>
      </c>
      <c r="O400" s="21" t="n">
        <f aca="false">2_Matriz_decision!O399/O$5</f>
        <v>0.0304431282773992</v>
      </c>
      <c r="P400" s="21" t="n">
        <f aca="false">2_Matriz_decision!P399/P$5</f>
        <v>0.0264720767589686</v>
      </c>
      <c r="Q400" s="21" t="n">
        <f aca="false">2_Matriz_decision!Q399/Q$5</f>
        <v>0.0133893885620924</v>
      </c>
    </row>
    <row r="401" customFormat="false" ht="15" hidden="false" customHeight="false" outlineLevel="0" collapsed="false">
      <c r="A401" s="15" t="n">
        <f aca="false">2_Matriz_decision!A400</f>
        <v>396</v>
      </c>
      <c r="B401" s="16" t="n">
        <f aca="false">2_Matriz_decision!B400</f>
        <v>39.824</v>
      </c>
      <c r="C401" s="21" t="n">
        <f aca="false">2_Matriz_decision!C400/C$5</f>
        <v>0.0439697451539424</v>
      </c>
      <c r="D401" s="21" t="n">
        <f aca="false">2_Matriz_decision!D400/D$5</f>
        <v>0.0334918645582358</v>
      </c>
      <c r="E401" s="21" t="n">
        <f aca="false">2_Matriz_decision!E400/E$5</f>
        <v>0.0400721949850431</v>
      </c>
      <c r="F401" s="21" t="n">
        <f aca="false">2_Matriz_decision!F400/F$5</f>
        <v>0.0197623055576251</v>
      </c>
      <c r="G401" s="21" t="n">
        <f aca="false">2_Matriz_decision!G400/G$5</f>
        <v>0.0411149420220302</v>
      </c>
      <c r="H401" s="21" t="n">
        <f aca="false">2_Matriz_decision!H400/H$5</f>
        <v>0.0256178772689507</v>
      </c>
      <c r="I401" s="21" t="n">
        <f aca="false">2_Matriz_decision!I400/I$5</f>
        <v>0.0592738965965849</v>
      </c>
      <c r="J401" s="21" t="n">
        <f aca="false">2_Matriz_decision!J400/J$5</f>
        <v>0.0351992440847949</v>
      </c>
      <c r="K401" s="21" t="n">
        <f aca="false">2_Matriz_decision!K400/K$5</f>
        <v>0.039014903418414</v>
      </c>
      <c r="L401" s="21" t="n">
        <f aca="false">2_Matriz_decision!L400/L$5</f>
        <v>0.0346987460580662</v>
      </c>
      <c r="M401" s="21" t="n">
        <f aca="false">2_Matriz_decision!M400/M$5</f>
        <v>0.0393160957404747</v>
      </c>
      <c r="N401" s="21" t="n">
        <f aca="false">2_Matriz_decision!N400/N$5</f>
        <v>0.0448392173876134</v>
      </c>
      <c r="O401" s="21" t="n">
        <f aca="false">2_Matriz_decision!O400/O$5</f>
        <v>0.0304431282773992</v>
      </c>
      <c r="P401" s="21" t="n">
        <f aca="false">2_Matriz_decision!P400/P$5</f>
        <v>0.0264720767589686</v>
      </c>
      <c r="Q401" s="21" t="n">
        <f aca="false">2_Matriz_decision!Q400/Q$5</f>
        <v>0.0133893885620924</v>
      </c>
    </row>
    <row r="402" customFormat="false" ht="15" hidden="false" customHeight="false" outlineLevel="0" collapsed="false">
      <c r="A402" s="15" t="n">
        <f aca="false">2_Matriz_decision!A401</f>
        <v>397</v>
      </c>
      <c r="B402" s="16" t="n">
        <f aca="false">2_Matriz_decision!B401</f>
        <v>39.924</v>
      </c>
      <c r="C402" s="21" t="n">
        <f aca="false">2_Matriz_decision!C401/C$5</f>
        <v>0.0439697451539424</v>
      </c>
      <c r="D402" s="21" t="n">
        <f aca="false">2_Matriz_decision!D401/D$5</f>
        <v>0.0334918645582358</v>
      </c>
      <c r="E402" s="21" t="n">
        <f aca="false">2_Matriz_decision!E401/E$5</f>
        <v>0.0400721949850431</v>
      </c>
      <c r="F402" s="21" t="n">
        <f aca="false">2_Matriz_decision!F401/F$5</f>
        <v>0.0197623055576251</v>
      </c>
      <c r="G402" s="21" t="n">
        <f aca="false">2_Matriz_decision!G401/G$5</f>
        <v>0.0411149420220302</v>
      </c>
      <c r="H402" s="21" t="n">
        <f aca="false">2_Matriz_decision!H401/H$5</f>
        <v>0.0256178772689507</v>
      </c>
      <c r="I402" s="21" t="n">
        <f aca="false">2_Matriz_decision!I401/I$5</f>
        <v>0.0592738965965849</v>
      </c>
      <c r="J402" s="21" t="n">
        <f aca="false">2_Matriz_decision!J401/J$5</f>
        <v>0.0351992440847949</v>
      </c>
      <c r="K402" s="21" t="n">
        <f aca="false">2_Matriz_decision!K401/K$5</f>
        <v>0.039014903418414</v>
      </c>
      <c r="L402" s="21" t="n">
        <f aca="false">2_Matriz_decision!L401/L$5</f>
        <v>0.0277857396179813</v>
      </c>
      <c r="M402" s="21" t="n">
        <f aca="false">2_Matriz_decision!M401/M$5</f>
        <v>0.0401114761544433</v>
      </c>
      <c r="N402" s="21" t="n">
        <f aca="false">2_Matriz_decision!N401/N$5</f>
        <v>0.0448392173876134</v>
      </c>
      <c r="O402" s="21" t="n">
        <f aca="false">2_Matriz_decision!O401/O$5</f>
        <v>0.0304431282773992</v>
      </c>
      <c r="P402" s="21" t="n">
        <f aca="false">2_Matriz_decision!P401/P$5</f>
        <v>0.0264720767589686</v>
      </c>
      <c r="Q402" s="21" t="n">
        <f aca="false">2_Matriz_decision!Q401/Q$5</f>
        <v>0.0133893885620924</v>
      </c>
    </row>
    <row r="403" customFormat="false" ht="15" hidden="false" customHeight="false" outlineLevel="0" collapsed="false">
      <c r="A403" s="15" t="n">
        <f aca="false">2_Matriz_decision!A402</f>
        <v>398</v>
      </c>
      <c r="B403" s="16" t="n">
        <f aca="false">2_Matriz_decision!B402</f>
        <v>40.023</v>
      </c>
      <c r="C403" s="21" t="n">
        <f aca="false">2_Matriz_decision!C402/C$5</f>
        <v>0.0439697451539424</v>
      </c>
      <c r="D403" s="21" t="n">
        <f aca="false">2_Matriz_decision!D402/D$5</f>
        <v>0.0334918645582358</v>
      </c>
      <c r="E403" s="21" t="n">
        <f aca="false">2_Matriz_decision!E402/E$5</f>
        <v>0.0500902437313038</v>
      </c>
      <c r="F403" s="21" t="n">
        <f aca="false">2_Matriz_decision!F402/F$5</f>
        <v>0.0197623055576251</v>
      </c>
      <c r="G403" s="21" t="n">
        <f aca="false">2_Matriz_decision!G402/G$5</f>
        <v>0.0411149420220302</v>
      </c>
      <c r="H403" s="21" t="n">
        <f aca="false">2_Matriz_decision!H402/H$5</f>
        <v>0.0256178772689507</v>
      </c>
      <c r="I403" s="21" t="n">
        <f aca="false">2_Matriz_decision!I402/I$5</f>
        <v>0.0592738965965849</v>
      </c>
      <c r="J403" s="21" t="n">
        <f aca="false">2_Matriz_decision!J402/J$5</f>
        <v>0.0351992440847949</v>
      </c>
      <c r="K403" s="21" t="n">
        <f aca="false">2_Matriz_decision!K402/K$5</f>
        <v>0.039014903418414</v>
      </c>
      <c r="L403" s="21" t="n">
        <f aca="false">2_Matriz_decision!L402/L$5</f>
        <v>0.0260073453113444</v>
      </c>
      <c r="M403" s="21" t="n">
        <f aca="false">2_Matriz_decision!M402/M$5</f>
        <v>0.0412161711738441</v>
      </c>
      <c r="N403" s="21" t="n">
        <f aca="false">2_Matriz_decision!N402/N$5</f>
        <v>0.0448392173876134</v>
      </c>
      <c r="O403" s="21" t="n">
        <f aca="false">2_Matriz_decision!O402/O$5</f>
        <v>0.0304431282773992</v>
      </c>
      <c r="P403" s="21" t="n">
        <f aca="false">2_Matriz_decision!P402/P$5</f>
        <v>0.0264720767589686</v>
      </c>
      <c r="Q403" s="21" t="n">
        <f aca="false">2_Matriz_decision!Q402/Q$5</f>
        <v>0.0133893885620924</v>
      </c>
    </row>
    <row r="404" customFormat="false" ht="15" hidden="false" customHeight="false" outlineLevel="0" collapsed="false">
      <c r="A404" s="15" t="n">
        <f aca="false">2_Matriz_decision!A403</f>
        <v>399</v>
      </c>
      <c r="B404" s="16" t="n">
        <f aca="false">2_Matriz_decision!B403</f>
        <v>40.123</v>
      </c>
      <c r="C404" s="21" t="n">
        <f aca="false">2_Matriz_decision!C403/C$5</f>
        <v>0.0439697451539424</v>
      </c>
      <c r="D404" s="21" t="n">
        <f aca="false">2_Matriz_decision!D403/D$5</f>
        <v>0.0334918645582358</v>
      </c>
      <c r="E404" s="21" t="n">
        <f aca="false">2_Matriz_decision!E403/E$5</f>
        <v>0.0500902437313038</v>
      </c>
      <c r="F404" s="21" t="n">
        <f aca="false">2_Matriz_decision!F403/F$5</f>
        <v>0.0197623055576251</v>
      </c>
      <c r="G404" s="21" t="n">
        <f aca="false">2_Matriz_decision!G403/G$5</f>
        <v>0.0411149420220302</v>
      </c>
      <c r="H404" s="21" t="n">
        <f aca="false">2_Matriz_decision!H403/H$5</f>
        <v>0.0256178772689507</v>
      </c>
      <c r="I404" s="21" t="n">
        <f aca="false">2_Matriz_decision!I403/I$5</f>
        <v>0.0740923707457312</v>
      </c>
      <c r="J404" s="21" t="n">
        <f aca="false">2_Matriz_decision!J403/J$5</f>
        <v>0.0351992440847949</v>
      </c>
      <c r="K404" s="21" t="n">
        <f aca="false">2_Matriz_decision!K403/K$5</f>
        <v>0.039014903418414</v>
      </c>
      <c r="L404" s="21" t="n">
        <f aca="false">2_Matriz_decision!L403/L$5</f>
        <v>0.0254858612665411</v>
      </c>
      <c r="M404" s="21" t="n">
        <f aca="false">2_Matriz_decision!M403/M$5</f>
        <v>0.041127795572292</v>
      </c>
      <c r="N404" s="21" t="n">
        <f aca="false">2_Matriz_decision!N403/N$5</f>
        <v>0.0448392173876134</v>
      </c>
      <c r="O404" s="21" t="n">
        <f aca="false">2_Matriz_decision!O403/O$5</f>
        <v>0.0304431282773992</v>
      </c>
      <c r="P404" s="21" t="n">
        <f aca="false">2_Matriz_decision!P403/P$5</f>
        <v>0.0264720767589686</v>
      </c>
      <c r="Q404" s="21" t="n">
        <f aca="false">2_Matriz_decision!Q403/Q$5</f>
        <v>0.0133893885620924</v>
      </c>
    </row>
    <row r="405" customFormat="false" ht="15" hidden="false" customHeight="false" outlineLevel="0" collapsed="false">
      <c r="A405" s="15" t="n">
        <f aca="false">2_Matriz_decision!A404</f>
        <v>400</v>
      </c>
      <c r="B405" s="16" t="n">
        <f aca="false">2_Matriz_decision!B404</f>
        <v>40.223</v>
      </c>
      <c r="C405" s="21" t="n">
        <f aca="false">2_Matriz_decision!C404/C$5</f>
        <v>0.0439697451539424</v>
      </c>
      <c r="D405" s="21" t="n">
        <f aca="false">2_Matriz_decision!D404/D$5</f>
        <v>0.0334918645582358</v>
      </c>
      <c r="E405" s="21" t="n">
        <f aca="false">2_Matriz_decision!E404/E$5</f>
        <v>0.0500902437313038</v>
      </c>
      <c r="F405" s="21" t="n">
        <f aca="false">2_Matriz_decision!F404/F$5</f>
        <v>0.0197623055576251</v>
      </c>
      <c r="G405" s="21" t="n">
        <f aca="false">2_Matriz_decision!G404/G$5</f>
        <v>0.0411149420220302</v>
      </c>
      <c r="H405" s="21" t="n">
        <f aca="false">2_Matriz_decision!H404/H$5</f>
        <v>0.0256178772689507</v>
      </c>
      <c r="I405" s="21" t="n">
        <f aca="false">2_Matriz_decision!I404/I$5</f>
        <v>0.0592738965965849</v>
      </c>
      <c r="J405" s="21" t="n">
        <f aca="false">2_Matriz_decision!J404/J$5</f>
        <v>0.0351992440847949</v>
      </c>
      <c r="K405" s="21" t="n">
        <f aca="false">2_Matriz_decision!K404/K$5</f>
        <v>0.039014903418414</v>
      </c>
      <c r="L405" s="21" t="n">
        <f aca="false">2_Matriz_decision!L404/L$5</f>
        <v>0.0265154579703835</v>
      </c>
      <c r="M405" s="21" t="n">
        <f aca="false">2_Matriz_decision!M404/M$5</f>
        <v>0.0427516972508112</v>
      </c>
      <c r="N405" s="21" t="n">
        <f aca="false">2_Matriz_decision!N404/N$5</f>
        <v>0.0448392173876134</v>
      </c>
      <c r="O405" s="21" t="n">
        <f aca="false">2_Matriz_decision!O404/O$5</f>
        <v>0.0304431282773992</v>
      </c>
      <c r="P405" s="21" t="n">
        <f aca="false">2_Matriz_decision!P404/P$5</f>
        <v>0.0264720767589686</v>
      </c>
      <c r="Q405" s="21" t="n">
        <f aca="false">2_Matriz_decision!Q404/Q$5</f>
        <v>0.0133893885620924</v>
      </c>
    </row>
    <row r="406" customFormat="false" ht="15" hidden="false" customHeight="false" outlineLevel="0" collapsed="false">
      <c r="A406" s="15" t="n">
        <f aca="false">2_Matriz_decision!A405</f>
        <v>401</v>
      </c>
      <c r="B406" s="16" t="n">
        <f aca="false">2_Matriz_decision!B405</f>
        <v>40.323</v>
      </c>
      <c r="C406" s="21" t="n">
        <f aca="false">2_Matriz_decision!C405/C$5</f>
        <v>0.0439697451539424</v>
      </c>
      <c r="D406" s="21" t="n">
        <f aca="false">2_Matriz_decision!D405/D$5</f>
        <v>0.0334918645582358</v>
      </c>
      <c r="E406" s="21" t="n">
        <f aca="false">2_Matriz_decision!E405/E$5</f>
        <v>0.0400721949850431</v>
      </c>
      <c r="F406" s="21" t="n">
        <f aca="false">2_Matriz_decision!F405/F$5</f>
        <v>0.0296434583364376</v>
      </c>
      <c r="G406" s="21" t="n">
        <f aca="false">2_Matriz_decision!G405/G$5</f>
        <v>0.0411149420220302</v>
      </c>
      <c r="H406" s="21" t="n">
        <f aca="false">2_Matriz_decision!H405/H$5</f>
        <v>0.0256178772689507</v>
      </c>
      <c r="I406" s="21" t="n">
        <f aca="false">2_Matriz_decision!I405/I$5</f>
        <v>0.0592738965965849</v>
      </c>
      <c r="J406" s="21" t="n">
        <f aca="false">2_Matriz_decision!J405/J$5</f>
        <v>0.0351992440847949</v>
      </c>
      <c r="K406" s="21" t="n">
        <f aca="false">2_Matriz_decision!K405/K$5</f>
        <v>0.039014903418414</v>
      </c>
      <c r="L406" s="21" t="n">
        <f aca="false">2_Matriz_decision!L405/L$5</f>
        <v>0.0264887151988552</v>
      </c>
      <c r="M406" s="21" t="n">
        <f aca="false">2_Matriz_decision!M405/M$5</f>
        <v>0.0441878007760322</v>
      </c>
      <c r="N406" s="21" t="n">
        <f aca="false">2_Matriz_decision!N405/N$5</f>
        <v>0.0448392173876134</v>
      </c>
      <c r="O406" s="21" t="n">
        <f aca="false">2_Matriz_decision!O405/O$5</f>
        <v>0.0304431282773992</v>
      </c>
      <c r="P406" s="21" t="n">
        <f aca="false">2_Matriz_decision!P405/P$5</f>
        <v>0.0264720767589686</v>
      </c>
      <c r="Q406" s="21" t="n">
        <f aca="false">2_Matriz_decision!Q405/Q$5</f>
        <v>0.0133893885620924</v>
      </c>
    </row>
    <row r="407" customFormat="false" ht="15" hidden="false" customHeight="false" outlineLevel="0" collapsed="false">
      <c r="A407" s="15" t="n">
        <f aca="false">2_Matriz_decision!A406</f>
        <v>402</v>
      </c>
      <c r="B407" s="16" t="n">
        <f aca="false">2_Matriz_decision!B406</f>
        <v>40.423</v>
      </c>
      <c r="C407" s="21" t="n">
        <f aca="false">2_Matriz_decision!C406/C$5</f>
        <v>0.0439697451539424</v>
      </c>
      <c r="D407" s="21" t="n">
        <f aca="false">2_Matriz_decision!D406/D$5</f>
        <v>0.0334918645582358</v>
      </c>
      <c r="E407" s="21" t="n">
        <f aca="false">2_Matriz_decision!E406/E$5</f>
        <v>0.0400721949850431</v>
      </c>
      <c r="F407" s="21" t="n">
        <f aca="false">2_Matriz_decision!F406/F$5</f>
        <v>0.0197623055576251</v>
      </c>
      <c r="G407" s="21" t="n">
        <f aca="false">2_Matriz_decision!G406/G$5</f>
        <v>0.0411149420220302</v>
      </c>
      <c r="H407" s="21" t="n">
        <f aca="false">2_Matriz_decision!H406/H$5</f>
        <v>0.0256178772689507</v>
      </c>
      <c r="I407" s="21" t="n">
        <f aca="false">2_Matriz_decision!I406/I$5</f>
        <v>0.0592738965965849</v>
      </c>
      <c r="J407" s="21" t="n">
        <f aca="false">2_Matriz_decision!J406/J$5</f>
        <v>0.0351992440847949</v>
      </c>
      <c r="K407" s="21" t="n">
        <f aca="false">2_Matriz_decision!K406/K$5</f>
        <v>0.039014903418414</v>
      </c>
      <c r="L407" s="21" t="n">
        <f aca="false">2_Matriz_decision!L406/L$5</f>
        <v>0.0282136239624353</v>
      </c>
      <c r="M407" s="21" t="n">
        <f aca="false">2_Matriz_decision!M406/M$5</f>
        <v>0.0435360307145858</v>
      </c>
      <c r="N407" s="21" t="n">
        <f aca="false">2_Matriz_decision!N406/N$5</f>
        <v>0.0448392173876134</v>
      </c>
      <c r="O407" s="21" t="n">
        <f aca="false">2_Matriz_decision!O406/O$5</f>
        <v>0.0304431282773992</v>
      </c>
      <c r="P407" s="21" t="n">
        <f aca="false">2_Matriz_decision!P406/P$5</f>
        <v>0.0264720767589686</v>
      </c>
      <c r="Q407" s="21" t="n">
        <f aca="false">2_Matriz_decision!Q406/Q$5</f>
        <v>0.0133893885620924</v>
      </c>
    </row>
    <row r="408" customFormat="false" ht="15" hidden="false" customHeight="false" outlineLevel="0" collapsed="false">
      <c r="A408" s="15" t="n">
        <f aca="false">2_Matriz_decision!A407</f>
        <v>403</v>
      </c>
      <c r="B408" s="16" t="n">
        <f aca="false">2_Matriz_decision!B407</f>
        <v>40.523</v>
      </c>
      <c r="C408" s="21" t="n">
        <f aca="false">2_Matriz_decision!C407/C$5</f>
        <v>0.0439697451539424</v>
      </c>
      <c r="D408" s="21" t="n">
        <f aca="false">2_Matriz_decision!D407/D$5</f>
        <v>0.0334918645582358</v>
      </c>
      <c r="E408" s="21" t="n">
        <f aca="false">2_Matriz_decision!E407/E$5</f>
        <v>0.0500902437313038</v>
      </c>
      <c r="F408" s="21" t="n">
        <f aca="false">2_Matriz_decision!F407/F$5</f>
        <v>0.0197623055576251</v>
      </c>
      <c r="G408" s="21" t="n">
        <f aca="false">2_Matriz_decision!G407/G$5</f>
        <v>0.0411149420220302</v>
      </c>
      <c r="H408" s="21" t="n">
        <f aca="false">2_Matriz_decision!H407/H$5</f>
        <v>0.0256178772689507</v>
      </c>
      <c r="I408" s="21" t="n">
        <f aca="false">2_Matriz_decision!I407/I$5</f>
        <v>0.0592738965965849</v>
      </c>
      <c r="J408" s="21" t="n">
        <f aca="false">2_Matriz_decision!J407/J$5</f>
        <v>0.0351992440847949</v>
      </c>
      <c r="K408" s="21" t="n">
        <f aca="false">2_Matriz_decision!K407/K$5</f>
        <v>0.039014903418414</v>
      </c>
      <c r="L408" s="21" t="n">
        <f aca="false">2_Matriz_decision!L407/L$5</f>
        <v>0.0353405725747472</v>
      </c>
      <c r="M408" s="21" t="n">
        <f aca="false">2_Matriz_decision!M407/M$5</f>
        <v>0.04393372092157</v>
      </c>
      <c r="N408" s="21" t="n">
        <f aca="false">2_Matriz_decision!N407/N$5</f>
        <v>0.0448392173876134</v>
      </c>
      <c r="O408" s="21" t="n">
        <f aca="false">2_Matriz_decision!O407/O$5</f>
        <v>0.0304431282773992</v>
      </c>
      <c r="P408" s="21" t="n">
        <f aca="false">2_Matriz_decision!P407/P$5</f>
        <v>0.0264720767589686</v>
      </c>
      <c r="Q408" s="21" t="n">
        <f aca="false">2_Matriz_decision!Q407/Q$5</f>
        <v>0.0133893885620924</v>
      </c>
    </row>
    <row r="409" customFormat="false" ht="15" hidden="false" customHeight="false" outlineLevel="0" collapsed="false">
      <c r="A409" s="15" t="n">
        <f aca="false">2_Matriz_decision!A408</f>
        <v>404</v>
      </c>
      <c r="B409" s="16" t="n">
        <f aca="false">2_Matriz_decision!B408</f>
        <v>40.623</v>
      </c>
      <c r="C409" s="21" t="n">
        <f aca="false">2_Matriz_decision!C408/C$5</f>
        <v>0.0439697451539424</v>
      </c>
      <c r="D409" s="21" t="n">
        <f aca="false">2_Matriz_decision!D408/D$5</f>
        <v>0.0334918645582358</v>
      </c>
      <c r="E409" s="21" t="n">
        <f aca="false">2_Matriz_decision!E408/E$5</f>
        <v>0.0500902437313038</v>
      </c>
      <c r="F409" s="21" t="n">
        <f aca="false">2_Matriz_decision!F408/F$5</f>
        <v>0.0197623055576251</v>
      </c>
      <c r="G409" s="21" t="n">
        <f aca="false">2_Matriz_decision!G408/G$5</f>
        <v>0.0411149420220302</v>
      </c>
      <c r="H409" s="21" t="n">
        <f aca="false">2_Matriz_decision!H408/H$5</f>
        <v>0.0256178772689507</v>
      </c>
      <c r="I409" s="21" t="n">
        <f aca="false">2_Matriz_decision!I408/I$5</f>
        <v>0.0592738965965849</v>
      </c>
      <c r="J409" s="21" t="n">
        <f aca="false">2_Matriz_decision!J408/J$5</f>
        <v>0.0351992440847949</v>
      </c>
      <c r="K409" s="21" t="n">
        <f aca="false">2_Matriz_decision!K408/K$5</f>
        <v>0.039014903418414</v>
      </c>
      <c r="L409" s="21" t="n">
        <f aca="false">2_Matriz_decision!L408/L$5</f>
        <v>0.0405420416370161</v>
      </c>
      <c r="M409" s="21" t="n">
        <f aca="false">2_Matriz_decision!M408/M$5</f>
        <v>0.0429947301550794</v>
      </c>
      <c r="N409" s="21" t="n">
        <f aca="false">2_Matriz_decision!N408/N$5</f>
        <v>0.0448392173876134</v>
      </c>
      <c r="O409" s="21" t="n">
        <f aca="false">2_Matriz_decision!O408/O$5</f>
        <v>0.0304431282773992</v>
      </c>
      <c r="P409" s="21" t="n">
        <f aca="false">2_Matriz_decision!P408/P$5</f>
        <v>0.0264720767589686</v>
      </c>
      <c r="Q409" s="21" t="n">
        <f aca="false">2_Matriz_decision!Q408/Q$5</f>
        <v>0.0133893885620924</v>
      </c>
    </row>
    <row r="410" customFormat="false" ht="15" hidden="false" customHeight="false" outlineLevel="0" collapsed="false">
      <c r="A410" s="15" t="n">
        <f aca="false">2_Matriz_decision!A409</f>
        <v>405</v>
      </c>
      <c r="B410" s="16" t="n">
        <f aca="false">2_Matriz_decision!B409</f>
        <v>40.722</v>
      </c>
      <c r="C410" s="21" t="n">
        <f aca="false">2_Matriz_decision!C409/C$5</f>
        <v>0.0439697451539424</v>
      </c>
      <c r="D410" s="21" t="n">
        <f aca="false">2_Matriz_decision!D409/D$5</f>
        <v>0.0334918645582358</v>
      </c>
      <c r="E410" s="21" t="n">
        <f aca="false">2_Matriz_decision!E409/E$5</f>
        <v>0.0400721949850431</v>
      </c>
      <c r="F410" s="21" t="n">
        <f aca="false">2_Matriz_decision!F409/F$5</f>
        <v>0.0296434583364376</v>
      </c>
      <c r="G410" s="21" t="n">
        <f aca="false">2_Matriz_decision!G409/G$5</f>
        <v>0.0411149420220302</v>
      </c>
      <c r="H410" s="21" t="n">
        <f aca="false">2_Matriz_decision!H409/H$5</f>
        <v>0.0256178772689507</v>
      </c>
      <c r="I410" s="21" t="n">
        <f aca="false">2_Matriz_decision!I409/I$5</f>
        <v>0.0444554224474387</v>
      </c>
      <c r="J410" s="21" t="n">
        <f aca="false">2_Matriz_decision!J409/J$5</f>
        <v>0.0351992440847949</v>
      </c>
      <c r="K410" s="21" t="n">
        <f aca="false">2_Matriz_decision!K409/K$5</f>
        <v>0.039014903418414</v>
      </c>
      <c r="L410" s="21" t="n">
        <f aca="false">2_Matriz_decision!L409/L$5</f>
        <v>0.0415181527978018</v>
      </c>
      <c r="M410" s="21" t="n">
        <f aca="false">2_Matriz_decision!M409/M$5</f>
        <v>0.0421330680399467</v>
      </c>
      <c r="N410" s="21" t="n">
        <f aca="false">2_Matriz_decision!N409/N$5</f>
        <v>0.0448392173876134</v>
      </c>
      <c r="O410" s="21" t="n">
        <f aca="false">2_Matriz_decision!O409/O$5</f>
        <v>0.0304431282773992</v>
      </c>
      <c r="P410" s="21" t="n">
        <f aca="false">2_Matriz_decision!P409/P$5</f>
        <v>0.0264720767589686</v>
      </c>
      <c r="Q410" s="21" t="n">
        <f aca="false">2_Matriz_decision!Q409/Q$5</f>
        <v>0.0133893885620924</v>
      </c>
    </row>
    <row r="411" customFormat="false" ht="15" hidden="false" customHeight="false" outlineLevel="0" collapsed="false">
      <c r="A411" s="15" t="n">
        <f aca="false">2_Matriz_decision!A410</f>
        <v>406</v>
      </c>
      <c r="B411" s="16" t="n">
        <f aca="false">2_Matriz_decision!B410</f>
        <v>40.822</v>
      </c>
      <c r="C411" s="21" t="n">
        <f aca="false">2_Matriz_decision!C410/C$5</f>
        <v>0.0439697451539424</v>
      </c>
      <c r="D411" s="21" t="n">
        <f aca="false">2_Matriz_decision!D410/D$5</f>
        <v>0.0334918645582358</v>
      </c>
      <c r="E411" s="21" t="n">
        <f aca="false">2_Matriz_decision!E410/E$5</f>
        <v>0.0400721949850431</v>
      </c>
      <c r="F411" s="21" t="n">
        <f aca="false">2_Matriz_decision!F410/F$5</f>
        <v>0.0296434583364376</v>
      </c>
      <c r="G411" s="21" t="n">
        <f aca="false">2_Matriz_decision!G410/G$5</f>
        <v>0.0411149420220302</v>
      </c>
      <c r="H411" s="21" t="n">
        <f aca="false">2_Matriz_decision!H410/H$5</f>
        <v>0.0256178772689507</v>
      </c>
      <c r="I411" s="21" t="n">
        <f aca="false">2_Matriz_decision!I410/I$5</f>
        <v>0.0444554224474387</v>
      </c>
      <c r="J411" s="21" t="n">
        <f aca="false">2_Matriz_decision!J410/J$5</f>
        <v>0.0351992440847949</v>
      </c>
      <c r="K411" s="21" t="n">
        <f aca="false">2_Matriz_decision!K410/K$5</f>
        <v>0.039014903418414</v>
      </c>
      <c r="L411" s="21" t="n">
        <f aca="false">2_Matriz_decision!L410/L$5</f>
        <v>0.0403147280790249</v>
      </c>
      <c r="M411" s="21" t="n">
        <f aca="false">2_Matriz_decision!M410/M$5</f>
        <v>0.0412603589746201</v>
      </c>
      <c r="N411" s="21" t="n">
        <f aca="false">2_Matriz_decision!N410/N$5</f>
        <v>0.0448392173876134</v>
      </c>
      <c r="O411" s="21" t="n">
        <f aca="false">2_Matriz_decision!O410/O$5</f>
        <v>0.0304431282773992</v>
      </c>
      <c r="P411" s="21" t="n">
        <f aca="false">2_Matriz_decision!P410/P$5</f>
        <v>0.0264720767589686</v>
      </c>
      <c r="Q411" s="21" t="n">
        <f aca="false">2_Matriz_decision!Q410/Q$5</f>
        <v>0.0133893885620924</v>
      </c>
    </row>
    <row r="412" customFormat="false" ht="15" hidden="false" customHeight="false" outlineLevel="0" collapsed="false">
      <c r="A412" s="15" t="n">
        <f aca="false">2_Matriz_decision!A411</f>
        <v>407</v>
      </c>
      <c r="B412" s="16" t="n">
        <f aca="false">2_Matriz_decision!B411</f>
        <v>40.922</v>
      </c>
      <c r="C412" s="21" t="n">
        <f aca="false">2_Matriz_decision!C411/C$5</f>
        <v>0.0439697451539424</v>
      </c>
      <c r="D412" s="21" t="n">
        <f aca="false">2_Matriz_decision!D411/D$5</f>
        <v>0.0334918645582358</v>
      </c>
      <c r="E412" s="21" t="n">
        <f aca="false">2_Matriz_decision!E411/E$5</f>
        <v>0.0400721949850431</v>
      </c>
      <c r="F412" s="21" t="n">
        <f aca="false">2_Matriz_decision!F411/F$5</f>
        <v>0.0197623055576251</v>
      </c>
      <c r="G412" s="21" t="n">
        <f aca="false">2_Matriz_decision!G411/G$5</f>
        <v>0.0411149420220302</v>
      </c>
      <c r="H412" s="21" t="n">
        <f aca="false">2_Matriz_decision!H411/H$5</f>
        <v>0.0256178772689507</v>
      </c>
      <c r="I412" s="21" t="n">
        <f aca="false">2_Matriz_decision!I411/I$5</f>
        <v>0.0592738965965849</v>
      </c>
      <c r="J412" s="21" t="n">
        <f aca="false">2_Matriz_decision!J411/J$5</f>
        <v>0.0351992440847949</v>
      </c>
      <c r="K412" s="21" t="n">
        <f aca="false">2_Matriz_decision!K411/K$5</f>
        <v>0.039014903418414</v>
      </c>
      <c r="L412" s="21" t="n">
        <f aca="false">2_Matriz_decision!L411/L$5</f>
        <v>0.0370654813383274</v>
      </c>
      <c r="M412" s="21" t="n">
        <f aca="false">2_Matriz_decision!M411/M$5</f>
        <v>0.0415696735800523</v>
      </c>
      <c r="N412" s="21" t="n">
        <f aca="false">2_Matriz_decision!N411/N$5</f>
        <v>0.0448392173876134</v>
      </c>
      <c r="O412" s="21" t="n">
        <f aca="false">2_Matriz_decision!O411/O$5</f>
        <v>0.0304431282773992</v>
      </c>
      <c r="P412" s="21" t="n">
        <f aca="false">2_Matriz_decision!P411/P$5</f>
        <v>0.0264720767589686</v>
      </c>
      <c r="Q412" s="21" t="n">
        <f aca="false">2_Matriz_decision!Q411/Q$5</f>
        <v>0.0133893885620924</v>
      </c>
    </row>
    <row r="413" customFormat="false" ht="15" hidden="false" customHeight="false" outlineLevel="0" collapsed="false">
      <c r="A413" s="15" t="n">
        <f aca="false">2_Matriz_decision!A412</f>
        <v>408</v>
      </c>
      <c r="B413" s="16" t="n">
        <f aca="false">2_Matriz_decision!B412</f>
        <v>41.022</v>
      </c>
      <c r="C413" s="21" t="n">
        <f aca="false">2_Matriz_decision!C412/C$5</f>
        <v>0.0439697451539424</v>
      </c>
      <c r="D413" s="21" t="n">
        <f aca="false">2_Matriz_decision!D412/D$5</f>
        <v>0.0334918645582358</v>
      </c>
      <c r="E413" s="21" t="n">
        <f aca="false">2_Matriz_decision!E412/E$5</f>
        <v>0.0500902437313038</v>
      </c>
      <c r="F413" s="21" t="n">
        <f aca="false">2_Matriz_decision!F412/F$5</f>
        <v>0.0197623055576251</v>
      </c>
      <c r="G413" s="21" t="n">
        <f aca="false">2_Matriz_decision!G412/G$5</f>
        <v>0.0411149420220302</v>
      </c>
      <c r="H413" s="21" t="n">
        <f aca="false">2_Matriz_decision!H412/H$5</f>
        <v>0.0256178772689507</v>
      </c>
      <c r="I413" s="21" t="n">
        <f aca="false">2_Matriz_decision!I412/I$5</f>
        <v>0.0592738965965849</v>
      </c>
      <c r="J413" s="21" t="n">
        <f aca="false">2_Matriz_decision!J412/J$5</f>
        <v>0.0351992440847949</v>
      </c>
      <c r="K413" s="21" t="n">
        <f aca="false">2_Matriz_decision!K412/K$5</f>
        <v>0.039014903418414</v>
      </c>
      <c r="L413" s="21" t="n">
        <f aca="false">2_Matriz_decision!L412/L$5</f>
        <v>0.0344179469570183</v>
      </c>
      <c r="M413" s="21" t="n">
        <f aca="false">2_Matriz_decision!M412/M$5</f>
        <v>0.042486570446155</v>
      </c>
      <c r="N413" s="21" t="n">
        <f aca="false">2_Matriz_decision!N412/N$5</f>
        <v>0.0448392173876134</v>
      </c>
      <c r="O413" s="21" t="n">
        <f aca="false">2_Matriz_decision!O412/O$5</f>
        <v>0.0304431282773992</v>
      </c>
      <c r="P413" s="21" t="n">
        <f aca="false">2_Matriz_decision!P412/P$5</f>
        <v>0.0264720767589686</v>
      </c>
      <c r="Q413" s="21" t="n">
        <f aca="false">2_Matriz_decision!Q412/Q$5</f>
        <v>0.0133893885620924</v>
      </c>
    </row>
    <row r="414" customFormat="false" ht="15" hidden="false" customHeight="false" outlineLevel="0" collapsed="false">
      <c r="A414" s="15" t="n">
        <f aca="false">2_Matriz_decision!A413</f>
        <v>409</v>
      </c>
      <c r="B414" s="16" t="n">
        <f aca="false">2_Matriz_decision!B413</f>
        <v>41.122</v>
      </c>
      <c r="C414" s="21" t="n">
        <f aca="false">2_Matriz_decision!C413/C$5</f>
        <v>0.0439697451539424</v>
      </c>
      <c r="D414" s="21" t="n">
        <f aca="false">2_Matriz_decision!D413/D$5</f>
        <v>0.0334918645582358</v>
      </c>
      <c r="E414" s="21" t="n">
        <f aca="false">2_Matriz_decision!E413/E$5</f>
        <v>0.0400721949850431</v>
      </c>
      <c r="F414" s="21" t="n">
        <f aca="false">2_Matriz_decision!F413/F$5</f>
        <v>0.0296434583364376</v>
      </c>
      <c r="G414" s="21" t="n">
        <f aca="false">2_Matriz_decision!G413/G$5</f>
        <v>0.0411149420220302</v>
      </c>
      <c r="H414" s="21" t="n">
        <f aca="false">2_Matriz_decision!H413/H$5</f>
        <v>0.0256178772689507</v>
      </c>
      <c r="I414" s="21" t="n">
        <f aca="false">2_Matriz_decision!I413/I$5</f>
        <v>0.0592738965965849</v>
      </c>
      <c r="J414" s="21" t="n">
        <f aca="false">2_Matriz_decision!J413/J$5</f>
        <v>0.0351992440847949</v>
      </c>
      <c r="K414" s="21" t="n">
        <f aca="false">2_Matriz_decision!K413/K$5</f>
        <v>0.039014903418414</v>
      </c>
      <c r="L414" s="21" t="n">
        <f aca="false">2_Matriz_decision!L413/L$5</f>
        <v>0.0313157854597268</v>
      </c>
      <c r="M414" s="21" t="n">
        <f aca="false">2_Matriz_decision!M413/M$5</f>
        <v>0.0412824528750081</v>
      </c>
      <c r="N414" s="21" t="n">
        <f aca="false">2_Matriz_decision!N413/N$5</f>
        <v>0.0448392173876134</v>
      </c>
      <c r="O414" s="21" t="n">
        <f aca="false">2_Matriz_decision!O413/O$5</f>
        <v>0.0304431282773992</v>
      </c>
      <c r="P414" s="21" t="n">
        <f aca="false">2_Matriz_decision!P413/P$5</f>
        <v>0.0264720767589686</v>
      </c>
      <c r="Q414" s="21" t="n">
        <f aca="false">2_Matriz_decision!Q413/Q$5</f>
        <v>0.0133893885620924</v>
      </c>
    </row>
    <row r="415" customFormat="false" ht="15" hidden="false" customHeight="false" outlineLevel="0" collapsed="false">
      <c r="A415" s="15" t="n">
        <f aca="false">2_Matriz_decision!A414</f>
        <v>410</v>
      </c>
      <c r="B415" s="16" t="n">
        <f aca="false">2_Matriz_decision!B414</f>
        <v>41.222</v>
      </c>
      <c r="C415" s="21" t="n">
        <f aca="false">2_Matriz_decision!C414/C$5</f>
        <v>0.0439697451539424</v>
      </c>
      <c r="D415" s="21" t="n">
        <f aca="false">2_Matriz_decision!D414/D$5</f>
        <v>0.0334918645582358</v>
      </c>
      <c r="E415" s="21" t="n">
        <f aca="false">2_Matriz_decision!E414/E$5</f>
        <v>0.0400721949850431</v>
      </c>
      <c r="F415" s="21" t="n">
        <f aca="false">2_Matriz_decision!F414/F$5</f>
        <v>0.0296434583364376</v>
      </c>
      <c r="G415" s="21" t="n">
        <f aca="false">2_Matriz_decision!G414/G$5</f>
        <v>0.0411149420220302</v>
      </c>
      <c r="H415" s="21" t="n">
        <f aca="false">2_Matriz_decision!H414/H$5</f>
        <v>0.0256178772689507</v>
      </c>
      <c r="I415" s="21" t="n">
        <f aca="false">2_Matriz_decision!I414/I$5</f>
        <v>0.0592738965965849</v>
      </c>
      <c r="J415" s="21" t="n">
        <f aca="false">2_Matriz_decision!J414/J$5</f>
        <v>0.0351992440847949</v>
      </c>
      <c r="K415" s="21" t="n">
        <f aca="false">2_Matriz_decision!K414/K$5</f>
        <v>0.039014903418414</v>
      </c>
      <c r="L415" s="21" t="n">
        <f aca="false">2_Matriz_decision!L414/L$5</f>
        <v>0.0363434265070612</v>
      </c>
      <c r="M415" s="21" t="n">
        <f aca="false">2_Matriz_decision!M414/M$5</f>
        <v>0.0382555885218499</v>
      </c>
      <c r="N415" s="21" t="n">
        <f aca="false">2_Matriz_decision!N414/N$5</f>
        <v>0.0448392173876134</v>
      </c>
      <c r="O415" s="21" t="n">
        <f aca="false">2_Matriz_decision!O414/O$5</f>
        <v>0.0304431282773992</v>
      </c>
      <c r="P415" s="21" t="n">
        <f aca="false">2_Matriz_decision!P414/P$5</f>
        <v>0.0264720767589686</v>
      </c>
      <c r="Q415" s="21" t="n">
        <f aca="false">2_Matriz_decision!Q414/Q$5</f>
        <v>0.0133893885620924</v>
      </c>
    </row>
    <row r="416" customFormat="false" ht="15" hidden="false" customHeight="false" outlineLevel="0" collapsed="false">
      <c r="A416" s="15" t="n">
        <f aca="false">2_Matriz_decision!A415</f>
        <v>411</v>
      </c>
      <c r="B416" s="16" t="n">
        <f aca="false">2_Matriz_decision!B415</f>
        <v>41.323</v>
      </c>
      <c r="C416" s="21" t="n">
        <f aca="false">2_Matriz_decision!C415/C$5</f>
        <v>0.0439697451539424</v>
      </c>
      <c r="D416" s="21" t="n">
        <f aca="false">2_Matriz_decision!D415/D$5</f>
        <v>0.0334918645582358</v>
      </c>
      <c r="E416" s="21" t="n">
        <f aca="false">2_Matriz_decision!E415/E$5</f>
        <v>0.0500902437313038</v>
      </c>
      <c r="F416" s="21" t="n">
        <f aca="false">2_Matriz_decision!F415/F$5</f>
        <v>0.0296434583364376</v>
      </c>
      <c r="G416" s="21" t="n">
        <f aca="false">2_Matriz_decision!G415/G$5</f>
        <v>0.0411149420220302</v>
      </c>
      <c r="H416" s="21" t="n">
        <f aca="false">2_Matriz_decision!H415/H$5</f>
        <v>0.0256178772689507</v>
      </c>
      <c r="I416" s="21" t="n">
        <f aca="false">2_Matriz_decision!I415/I$5</f>
        <v>0.0592738965965849</v>
      </c>
      <c r="J416" s="21" t="n">
        <f aca="false">2_Matriz_decision!J415/J$5</f>
        <v>0.0351992440847949</v>
      </c>
      <c r="K416" s="21" t="n">
        <f aca="false">2_Matriz_decision!K415/K$5</f>
        <v>0.039014903418414</v>
      </c>
      <c r="L416" s="21" t="n">
        <f aca="false">2_Matriz_decision!L415/L$5</f>
        <v>0.0335488068823461</v>
      </c>
      <c r="M416" s="21" t="n">
        <f aca="false">2_Matriz_decision!M415/M$5</f>
        <v>0.0388410768821323</v>
      </c>
      <c r="N416" s="21" t="n">
        <f aca="false">2_Matriz_decision!N415/N$5</f>
        <v>0.0448392173876134</v>
      </c>
      <c r="O416" s="21" t="n">
        <f aca="false">2_Matriz_decision!O415/O$5</f>
        <v>0.0304431282773992</v>
      </c>
      <c r="P416" s="21" t="n">
        <f aca="false">2_Matriz_decision!P415/P$5</f>
        <v>0.0264720767589686</v>
      </c>
      <c r="Q416" s="21" t="n">
        <f aca="false">2_Matriz_decision!Q415/Q$5</f>
        <v>0.0133893885620924</v>
      </c>
    </row>
    <row r="417" customFormat="false" ht="15" hidden="false" customHeight="false" outlineLevel="0" collapsed="false">
      <c r="A417" s="15" t="n">
        <f aca="false">2_Matriz_decision!A416</f>
        <v>412</v>
      </c>
      <c r="B417" s="16" t="n">
        <f aca="false">2_Matriz_decision!B416</f>
        <v>41.424</v>
      </c>
      <c r="C417" s="21" t="n">
        <f aca="false">2_Matriz_decision!C416/C$5</f>
        <v>0.0439697451539424</v>
      </c>
      <c r="D417" s="21" t="n">
        <f aca="false">2_Matriz_decision!D416/D$5</f>
        <v>0.0334918645582358</v>
      </c>
      <c r="E417" s="21" t="n">
        <f aca="false">2_Matriz_decision!E416/E$5</f>
        <v>0.0500902437313038</v>
      </c>
      <c r="F417" s="21" t="n">
        <f aca="false">2_Matriz_decision!F416/F$5</f>
        <v>0.0296434583364376</v>
      </c>
      <c r="G417" s="21" t="n">
        <f aca="false">2_Matriz_decision!G416/G$5</f>
        <v>0.0411149420220302</v>
      </c>
      <c r="H417" s="21" t="n">
        <f aca="false">2_Matriz_decision!H416/H$5</f>
        <v>0.0256178772689507</v>
      </c>
      <c r="I417" s="21" t="n">
        <f aca="false">2_Matriz_decision!I416/I$5</f>
        <v>0.0740923707457312</v>
      </c>
      <c r="J417" s="21" t="n">
        <f aca="false">2_Matriz_decision!J416/J$5</f>
        <v>0.0351992440847949</v>
      </c>
      <c r="K417" s="21" t="n">
        <f aca="false">2_Matriz_decision!K416/K$5</f>
        <v>0.039014903418414</v>
      </c>
      <c r="L417" s="21" t="n">
        <f aca="false">2_Matriz_decision!L416/L$5</f>
        <v>0.0349795451591141</v>
      </c>
      <c r="M417" s="21" t="n">
        <f aca="false">2_Matriz_decision!M416/M$5</f>
        <v>0.0377253349125375</v>
      </c>
      <c r="N417" s="21" t="n">
        <f aca="false">2_Matriz_decision!N416/N$5</f>
        <v>0.0448392173876134</v>
      </c>
      <c r="O417" s="21" t="n">
        <f aca="false">2_Matriz_decision!O416/O$5</f>
        <v>0.0304431282773992</v>
      </c>
      <c r="P417" s="21" t="n">
        <f aca="false">2_Matriz_decision!P416/P$5</f>
        <v>0.0264720767589686</v>
      </c>
      <c r="Q417" s="21" t="n">
        <f aca="false">2_Matriz_decision!Q416/Q$5</f>
        <v>0.0133893885620924</v>
      </c>
    </row>
    <row r="418" customFormat="false" ht="15" hidden="false" customHeight="false" outlineLevel="0" collapsed="false">
      <c r="A418" s="15" t="n">
        <f aca="false">2_Matriz_decision!A417</f>
        <v>413</v>
      </c>
      <c r="B418" s="16" t="n">
        <f aca="false">2_Matriz_decision!B417</f>
        <v>41.524</v>
      </c>
      <c r="C418" s="21" t="n">
        <f aca="false">2_Matriz_decision!C417/C$5</f>
        <v>0.0439697451539424</v>
      </c>
      <c r="D418" s="21" t="n">
        <f aca="false">2_Matriz_decision!D417/D$5</f>
        <v>0.0334918645582358</v>
      </c>
      <c r="E418" s="21" t="n">
        <f aca="false">2_Matriz_decision!E417/E$5</f>
        <v>0.0500902437313038</v>
      </c>
      <c r="F418" s="21" t="n">
        <f aca="false">2_Matriz_decision!F417/F$5</f>
        <v>0.0197623055576251</v>
      </c>
      <c r="G418" s="21" t="n">
        <f aca="false">2_Matriz_decision!G417/G$5</f>
        <v>0.0411149420220302</v>
      </c>
      <c r="H418" s="21" t="n">
        <f aca="false">2_Matriz_decision!H417/H$5</f>
        <v>0.0256178772689507</v>
      </c>
      <c r="I418" s="21" t="n">
        <f aca="false">2_Matriz_decision!I417/I$5</f>
        <v>0.0740923707457312</v>
      </c>
      <c r="J418" s="21" t="n">
        <f aca="false">2_Matriz_decision!J417/J$5</f>
        <v>0.0351992440847949</v>
      </c>
      <c r="K418" s="21" t="n">
        <f aca="false">2_Matriz_decision!K417/K$5</f>
        <v>0.039014903418414</v>
      </c>
      <c r="L418" s="21" t="n">
        <f aca="false">2_Matriz_decision!L417/L$5</f>
        <v>0.0316099559465389</v>
      </c>
      <c r="M418" s="21" t="n">
        <f aca="false">2_Matriz_decision!M417/M$5</f>
        <v>0.0394817999933848</v>
      </c>
      <c r="N418" s="21" t="n">
        <f aca="false">2_Matriz_decision!N417/N$5</f>
        <v>0.0448392173876134</v>
      </c>
      <c r="O418" s="21" t="n">
        <f aca="false">2_Matriz_decision!O417/O$5</f>
        <v>0.0304431282773992</v>
      </c>
      <c r="P418" s="21" t="n">
        <f aca="false">2_Matriz_decision!P417/P$5</f>
        <v>0.0264720767589686</v>
      </c>
      <c r="Q418" s="21" t="n">
        <f aca="false">2_Matriz_decision!Q417/Q$5</f>
        <v>0.0133893885620924</v>
      </c>
    </row>
    <row r="419" customFormat="false" ht="15" hidden="false" customHeight="false" outlineLevel="0" collapsed="false">
      <c r="A419" s="15" t="n">
        <f aca="false">2_Matriz_decision!A418</f>
        <v>414</v>
      </c>
      <c r="B419" s="16" t="n">
        <f aca="false">2_Matriz_decision!B418</f>
        <v>41.624</v>
      </c>
      <c r="C419" s="21" t="n">
        <f aca="false">2_Matriz_decision!C418/C$5</f>
        <v>0.0439697451539424</v>
      </c>
      <c r="D419" s="21" t="n">
        <f aca="false">2_Matriz_decision!D418/D$5</f>
        <v>0.0334918645582358</v>
      </c>
      <c r="E419" s="21" t="n">
        <f aca="false">2_Matriz_decision!E418/E$5</f>
        <v>0.0500902437313038</v>
      </c>
      <c r="F419" s="21" t="n">
        <f aca="false">2_Matriz_decision!F418/F$5</f>
        <v>0.0197623055576251</v>
      </c>
      <c r="G419" s="21" t="n">
        <f aca="false">2_Matriz_decision!G418/G$5</f>
        <v>0.0411149420220302</v>
      </c>
      <c r="H419" s="21" t="n">
        <f aca="false">2_Matriz_decision!H418/H$5</f>
        <v>0.0256178772689507</v>
      </c>
      <c r="I419" s="21" t="n">
        <f aca="false">2_Matriz_decision!I418/I$5</f>
        <v>0.0592738965965849</v>
      </c>
      <c r="J419" s="21" t="n">
        <f aca="false">2_Matriz_decision!J418/J$5</f>
        <v>0.0351992440847949</v>
      </c>
      <c r="K419" s="21" t="n">
        <f aca="false">2_Matriz_decision!K418/K$5</f>
        <v>0.039014903418414</v>
      </c>
      <c r="L419" s="21" t="n">
        <f aca="false">2_Matriz_decision!L418/L$5</f>
        <v>0.0341505192417345</v>
      </c>
      <c r="M419" s="21" t="n">
        <f aca="false">2_Matriz_decision!M418/M$5</f>
        <v>0.0408405748672478</v>
      </c>
      <c r="N419" s="21" t="n">
        <f aca="false">2_Matriz_decision!N418/N$5</f>
        <v>0.0448392173876134</v>
      </c>
      <c r="O419" s="21" t="n">
        <f aca="false">2_Matriz_decision!O418/O$5</f>
        <v>0.0304431282773992</v>
      </c>
      <c r="P419" s="21" t="n">
        <f aca="false">2_Matriz_decision!P418/P$5</f>
        <v>0.0264720767589686</v>
      </c>
      <c r="Q419" s="21" t="n">
        <f aca="false">2_Matriz_decision!Q418/Q$5</f>
        <v>0.0133893885620924</v>
      </c>
    </row>
    <row r="420" customFormat="false" ht="15" hidden="false" customHeight="false" outlineLevel="0" collapsed="false">
      <c r="A420" s="15" t="n">
        <f aca="false">2_Matriz_decision!A419</f>
        <v>415</v>
      </c>
      <c r="B420" s="16" t="n">
        <f aca="false">2_Matriz_decision!B419</f>
        <v>41.724</v>
      </c>
      <c r="C420" s="21" t="n">
        <f aca="false">2_Matriz_decision!C419/C$5</f>
        <v>0.0439697451539424</v>
      </c>
      <c r="D420" s="21" t="n">
        <f aca="false">2_Matriz_decision!D419/D$5</f>
        <v>0.0334918645582358</v>
      </c>
      <c r="E420" s="21" t="n">
        <f aca="false">2_Matriz_decision!E419/E$5</f>
        <v>0.0500902437313038</v>
      </c>
      <c r="F420" s="21" t="n">
        <f aca="false">2_Matriz_decision!F419/F$5</f>
        <v>0.0296434583364376</v>
      </c>
      <c r="G420" s="21" t="n">
        <f aca="false">2_Matriz_decision!G419/G$5</f>
        <v>0.0411149420220302</v>
      </c>
      <c r="H420" s="21" t="n">
        <f aca="false">2_Matriz_decision!H419/H$5</f>
        <v>0.0256178772689507</v>
      </c>
      <c r="I420" s="21" t="n">
        <f aca="false">2_Matriz_decision!I419/I$5</f>
        <v>0.0592738965965849</v>
      </c>
      <c r="J420" s="21" t="n">
        <f aca="false">2_Matriz_decision!J419/J$5</f>
        <v>0.0351992440847949</v>
      </c>
      <c r="K420" s="21" t="n">
        <f aca="false">2_Matriz_decision!K419/K$5</f>
        <v>0.039014903418414</v>
      </c>
      <c r="L420" s="21" t="n">
        <f aca="false">2_Matriz_decision!L419/L$5</f>
        <v>0.0349929165448783</v>
      </c>
      <c r="M420" s="21" t="n">
        <f aca="false">2_Matriz_decision!M419/M$5</f>
        <v>0.0439447678717641</v>
      </c>
      <c r="N420" s="21" t="n">
        <f aca="false">2_Matriz_decision!N419/N$5</f>
        <v>0.0560490217345168</v>
      </c>
      <c r="O420" s="21" t="n">
        <f aca="false">2_Matriz_decision!O419/O$5</f>
        <v>0.0304431282773992</v>
      </c>
      <c r="P420" s="21" t="n">
        <f aca="false">2_Matriz_decision!P419/P$5</f>
        <v>0.0264720767589686</v>
      </c>
      <c r="Q420" s="21" t="n">
        <f aca="false">2_Matriz_decision!Q419/Q$5</f>
        <v>0.0133893885620924</v>
      </c>
    </row>
    <row r="421" customFormat="false" ht="15" hidden="false" customHeight="false" outlineLevel="0" collapsed="false">
      <c r="A421" s="15" t="n">
        <f aca="false">2_Matriz_decision!A420</f>
        <v>416</v>
      </c>
      <c r="B421" s="16" t="n">
        <f aca="false">2_Matriz_decision!B420</f>
        <v>41.823</v>
      </c>
      <c r="C421" s="21" t="n">
        <f aca="false">2_Matriz_decision!C420/C$5</f>
        <v>0.0439697451539424</v>
      </c>
      <c r="D421" s="21" t="n">
        <f aca="false">2_Matriz_decision!D420/D$5</f>
        <v>0.0334918645582358</v>
      </c>
      <c r="E421" s="21" t="n">
        <f aca="false">2_Matriz_decision!E420/E$5</f>
        <v>0.0500902437313038</v>
      </c>
      <c r="F421" s="21" t="n">
        <f aca="false">2_Matriz_decision!F420/F$5</f>
        <v>0.0197623055576251</v>
      </c>
      <c r="G421" s="21" t="n">
        <f aca="false">2_Matriz_decision!G420/G$5</f>
        <v>0.0411149420220302</v>
      </c>
      <c r="H421" s="21" t="n">
        <f aca="false">2_Matriz_decision!H420/H$5</f>
        <v>0.0256178772689507</v>
      </c>
      <c r="I421" s="21" t="n">
        <f aca="false">2_Matriz_decision!I420/I$5</f>
        <v>0.0592738965965849</v>
      </c>
      <c r="J421" s="21" t="n">
        <f aca="false">2_Matriz_decision!J420/J$5</f>
        <v>0.0351992440847949</v>
      </c>
      <c r="K421" s="21" t="n">
        <f aca="false">2_Matriz_decision!K420/K$5</f>
        <v>0.039014903418414</v>
      </c>
      <c r="L421" s="21" t="n">
        <f aca="false">2_Matriz_decision!L420/L$5</f>
        <v>0.040181014221383</v>
      </c>
      <c r="M421" s="21" t="n">
        <f aca="false">2_Matriz_decision!M420/M$5</f>
        <v>0.0441878007760322</v>
      </c>
      <c r="N421" s="21" t="n">
        <f aca="false">2_Matriz_decision!N420/N$5</f>
        <v>0.0448392173876134</v>
      </c>
      <c r="O421" s="21" t="n">
        <f aca="false">2_Matriz_decision!O420/O$5</f>
        <v>0.0304431282773992</v>
      </c>
      <c r="P421" s="21" t="n">
        <f aca="false">2_Matriz_decision!P420/P$5</f>
        <v>0.0264720767589686</v>
      </c>
      <c r="Q421" s="21" t="n">
        <f aca="false">2_Matriz_decision!Q420/Q$5</f>
        <v>0.0133893885620924</v>
      </c>
    </row>
    <row r="422" customFormat="false" ht="15" hidden="false" customHeight="false" outlineLevel="0" collapsed="false">
      <c r="A422" s="15" t="n">
        <f aca="false">2_Matriz_decision!A421</f>
        <v>417</v>
      </c>
      <c r="B422" s="16" t="n">
        <f aca="false">2_Matriz_decision!B421</f>
        <v>41.921</v>
      </c>
      <c r="C422" s="21" t="n">
        <f aca="false">2_Matriz_decision!C421/C$5</f>
        <v>0.0439697451539424</v>
      </c>
      <c r="D422" s="21" t="n">
        <f aca="false">2_Matriz_decision!D421/D$5</f>
        <v>0.0334918645582358</v>
      </c>
      <c r="E422" s="21" t="n">
        <f aca="false">2_Matriz_decision!E421/E$5</f>
        <v>0.0400721949850431</v>
      </c>
      <c r="F422" s="21" t="n">
        <f aca="false">2_Matriz_decision!F421/F$5</f>
        <v>0.0197623055576251</v>
      </c>
      <c r="G422" s="21" t="n">
        <f aca="false">2_Matriz_decision!G421/G$5</f>
        <v>0.0411149420220302</v>
      </c>
      <c r="H422" s="21" t="n">
        <f aca="false">2_Matriz_decision!H421/H$5</f>
        <v>0.0256178772689507</v>
      </c>
      <c r="I422" s="21" t="n">
        <f aca="false">2_Matriz_decision!I421/I$5</f>
        <v>0.0592738965965849</v>
      </c>
      <c r="J422" s="21" t="n">
        <f aca="false">2_Matriz_decision!J421/J$5</f>
        <v>0.0351992440847949</v>
      </c>
      <c r="K422" s="21" t="n">
        <f aca="false">2_Matriz_decision!K421/K$5</f>
        <v>0.039014903418414</v>
      </c>
      <c r="L422" s="21" t="n">
        <f aca="false">2_Matriz_decision!L421/L$5</f>
        <v>0.03981998680575</v>
      </c>
      <c r="M422" s="21" t="n">
        <f aca="false">2_Matriz_decision!M421/M$5</f>
        <v>0.0441878007760322</v>
      </c>
      <c r="N422" s="21" t="n">
        <f aca="false">2_Matriz_decision!N421/N$5</f>
        <v>0.0448392173876134</v>
      </c>
      <c r="O422" s="21" t="n">
        <f aca="false">2_Matriz_decision!O421/O$5</f>
        <v>0.0304431282773992</v>
      </c>
      <c r="P422" s="21" t="n">
        <f aca="false">2_Matriz_decision!P421/P$5</f>
        <v>0.0264720767589686</v>
      </c>
      <c r="Q422" s="21" t="n">
        <f aca="false">2_Matriz_decision!Q421/Q$5</f>
        <v>0.0133893885620924</v>
      </c>
    </row>
    <row r="423" customFormat="false" ht="15" hidden="false" customHeight="false" outlineLevel="0" collapsed="false">
      <c r="A423" s="15" t="n">
        <f aca="false">2_Matriz_decision!A422</f>
        <v>418</v>
      </c>
      <c r="B423" s="16" t="n">
        <f aca="false">2_Matriz_decision!B422</f>
        <v>42.02</v>
      </c>
      <c r="C423" s="21" t="n">
        <f aca="false">2_Matriz_decision!C422/C$5</f>
        <v>0.0439697451539424</v>
      </c>
      <c r="D423" s="21" t="n">
        <f aca="false">2_Matriz_decision!D422/D$5</f>
        <v>0.0334918645582358</v>
      </c>
      <c r="E423" s="21" t="n">
        <f aca="false">2_Matriz_decision!E422/E$5</f>
        <v>0.0400721949850431</v>
      </c>
      <c r="F423" s="21" t="n">
        <f aca="false">2_Matriz_decision!F422/F$5</f>
        <v>0.0296434583364376</v>
      </c>
      <c r="G423" s="21" t="n">
        <f aca="false">2_Matriz_decision!G422/G$5</f>
        <v>0.0411149420220302</v>
      </c>
      <c r="H423" s="21" t="n">
        <f aca="false">2_Matriz_decision!H422/H$5</f>
        <v>0.0256178772689507</v>
      </c>
      <c r="I423" s="21" t="n">
        <f aca="false">2_Matriz_decision!I422/I$5</f>
        <v>0.0592738965965849</v>
      </c>
      <c r="J423" s="21" t="n">
        <f aca="false">2_Matriz_decision!J422/J$5</f>
        <v>0.0351992440847949</v>
      </c>
      <c r="K423" s="21" t="n">
        <f aca="false">2_Matriz_decision!K422/K$5</f>
        <v>0.039014903418414</v>
      </c>
      <c r="L423" s="21" t="n">
        <f aca="false">2_Matriz_decision!L422/L$5</f>
        <v>0.0410635256818194</v>
      </c>
      <c r="M423" s="21" t="n">
        <f aca="false">2_Matriz_decision!M422/M$5</f>
        <v>0.0441878007760322</v>
      </c>
      <c r="N423" s="21" t="n">
        <f aca="false">2_Matriz_decision!N422/N$5</f>
        <v>0.0560490217345168</v>
      </c>
      <c r="O423" s="21" t="n">
        <f aca="false">2_Matriz_decision!O422/O$5</f>
        <v>0.0304431282773992</v>
      </c>
      <c r="P423" s="21" t="n">
        <f aca="false">2_Matriz_decision!P422/P$5</f>
        <v>0.0264720767589686</v>
      </c>
      <c r="Q423" s="21" t="n">
        <f aca="false">2_Matriz_decision!Q422/Q$5</f>
        <v>0.0133893885620924</v>
      </c>
    </row>
    <row r="424" customFormat="false" ht="15" hidden="false" customHeight="false" outlineLevel="0" collapsed="false">
      <c r="A424" s="15" t="n">
        <f aca="false">2_Matriz_decision!A423</f>
        <v>419</v>
      </c>
      <c r="B424" s="16" t="n">
        <f aca="false">2_Matriz_decision!B423</f>
        <v>42.118</v>
      </c>
      <c r="C424" s="21" t="n">
        <f aca="false">2_Matriz_decision!C423/C$5</f>
        <v>0.0439697451539424</v>
      </c>
      <c r="D424" s="21" t="n">
        <f aca="false">2_Matriz_decision!D423/D$5</f>
        <v>0.0334918645582358</v>
      </c>
      <c r="E424" s="21" t="n">
        <f aca="false">2_Matriz_decision!E423/E$5</f>
        <v>0.0400721949850431</v>
      </c>
      <c r="F424" s="21" t="n">
        <f aca="false">2_Matriz_decision!F423/F$5</f>
        <v>0.0197623055576251</v>
      </c>
      <c r="G424" s="21" t="n">
        <f aca="false">2_Matriz_decision!G423/G$5</f>
        <v>0.0411149420220302</v>
      </c>
      <c r="H424" s="21" t="n">
        <f aca="false">2_Matriz_decision!H423/H$5</f>
        <v>0.0256178772689507</v>
      </c>
      <c r="I424" s="21" t="n">
        <f aca="false">2_Matriz_decision!I423/I$5</f>
        <v>0.0444554224474387</v>
      </c>
      <c r="J424" s="21" t="n">
        <f aca="false">2_Matriz_decision!J423/J$5</f>
        <v>0.0351992440847949</v>
      </c>
      <c r="K424" s="21" t="n">
        <f aca="false">2_Matriz_decision!K423/K$5</f>
        <v>0.039014903418414</v>
      </c>
      <c r="L424" s="21" t="n">
        <f aca="false">2_Matriz_decision!L423/L$5</f>
        <v>0.0396996443338723</v>
      </c>
      <c r="M424" s="21" t="n">
        <f aca="false">2_Matriz_decision!M423/M$5</f>
        <v>0.0428400728523633</v>
      </c>
      <c r="N424" s="21" t="n">
        <f aca="false">2_Matriz_decision!N423/N$5</f>
        <v>0.0560490217345168</v>
      </c>
      <c r="O424" s="21" t="n">
        <f aca="false">2_Matriz_decision!O423/O$5</f>
        <v>0.0304431282773992</v>
      </c>
      <c r="P424" s="21" t="n">
        <f aca="false">2_Matriz_decision!P423/P$5</f>
        <v>0.0264720767589686</v>
      </c>
      <c r="Q424" s="21" t="n">
        <f aca="false">2_Matriz_decision!Q423/Q$5</f>
        <v>0.0133893885620924</v>
      </c>
    </row>
    <row r="425" customFormat="false" ht="15" hidden="false" customHeight="false" outlineLevel="0" collapsed="false">
      <c r="A425" s="15" t="n">
        <f aca="false">2_Matriz_decision!A424</f>
        <v>420</v>
      </c>
      <c r="B425" s="16" t="n">
        <f aca="false">2_Matriz_decision!B424</f>
        <v>42.217</v>
      </c>
      <c r="C425" s="21" t="n">
        <f aca="false">2_Matriz_decision!C424/C$5</f>
        <v>0.0439697451539424</v>
      </c>
      <c r="D425" s="21" t="n">
        <f aca="false">2_Matriz_decision!D424/D$5</f>
        <v>0.0334918645582358</v>
      </c>
      <c r="E425" s="21" t="n">
        <f aca="false">2_Matriz_decision!E424/E$5</f>
        <v>0.0400721949850431</v>
      </c>
      <c r="F425" s="21" t="n">
        <f aca="false">2_Matriz_decision!F424/F$5</f>
        <v>0.0197623055576251</v>
      </c>
      <c r="G425" s="21" t="n">
        <f aca="false">2_Matriz_decision!G424/G$5</f>
        <v>0.0411149420220302</v>
      </c>
      <c r="H425" s="21" t="n">
        <f aca="false">2_Matriz_decision!H424/H$5</f>
        <v>0.0256178772689507</v>
      </c>
      <c r="I425" s="21" t="n">
        <f aca="false">2_Matriz_decision!I424/I$5</f>
        <v>0.0444554224474387</v>
      </c>
      <c r="J425" s="21" t="n">
        <f aca="false">2_Matriz_decision!J424/J$5</f>
        <v>0.0351992440847949</v>
      </c>
      <c r="K425" s="21" t="n">
        <f aca="false">2_Matriz_decision!K424/K$5</f>
        <v>0.039014903418414</v>
      </c>
      <c r="L425" s="21" t="n">
        <f aca="false">2_Matriz_decision!L424/L$5</f>
        <v>0.0381218208136982</v>
      </c>
      <c r="M425" s="21" t="n">
        <f aca="false">2_Matriz_decision!M424/M$5</f>
        <v>0.0419231759862606</v>
      </c>
      <c r="N425" s="21" t="n">
        <f aca="false">2_Matriz_decision!N424/N$5</f>
        <v>0.0560490217345168</v>
      </c>
      <c r="O425" s="21" t="n">
        <f aca="false">2_Matriz_decision!O424/O$5</f>
        <v>0.0304431282773992</v>
      </c>
      <c r="P425" s="21" t="n">
        <f aca="false">2_Matriz_decision!P424/P$5</f>
        <v>0.0264720767589686</v>
      </c>
      <c r="Q425" s="21" t="n">
        <f aca="false">2_Matriz_decision!Q424/Q$5</f>
        <v>0.0133893885620924</v>
      </c>
    </row>
    <row r="426" customFormat="false" ht="15" hidden="false" customHeight="false" outlineLevel="0" collapsed="false">
      <c r="A426" s="15" t="n">
        <f aca="false">2_Matriz_decision!A425</f>
        <v>421</v>
      </c>
      <c r="B426" s="16" t="n">
        <f aca="false">2_Matriz_decision!B425</f>
        <v>42.317</v>
      </c>
      <c r="C426" s="21" t="n">
        <f aca="false">2_Matriz_decision!C425/C$5</f>
        <v>0.0439697451539424</v>
      </c>
      <c r="D426" s="21" t="n">
        <f aca="false">2_Matriz_decision!D425/D$5</f>
        <v>0.0334918645582358</v>
      </c>
      <c r="E426" s="21" t="n">
        <f aca="false">2_Matriz_decision!E425/E$5</f>
        <v>0.0500902437313038</v>
      </c>
      <c r="F426" s="21" t="n">
        <f aca="false">2_Matriz_decision!F425/F$5</f>
        <v>0.0197623055576251</v>
      </c>
      <c r="G426" s="21" t="n">
        <f aca="false">2_Matriz_decision!G425/G$5</f>
        <v>0.0411149420220302</v>
      </c>
      <c r="H426" s="21" t="n">
        <f aca="false">2_Matriz_decision!H425/H$5</f>
        <v>0.0256178772689507</v>
      </c>
      <c r="I426" s="21" t="n">
        <f aca="false">2_Matriz_decision!I425/I$5</f>
        <v>0.0444554224474387</v>
      </c>
      <c r="J426" s="21" t="n">
        <f aca="false">2_Matriz_decision!J425/J$5</f>
        <v>0.0351992440847949</v>
      </c>
      <c r="K426" s="21" t="n">
        <f aca="false">2_Matriz_decision!K425/K$5</f>
        <v>0.039014903418414</v>
      </c>
      <c r="L426" s="21" t="n">
        <f aca="false">2_Matriz_decision!L425/L$5</f>
        <v>0.0395926732477588</v>
      </c>
      <c r="M426" s="21" t="n">
        <f aca="false">2_Matriz_decision!M425/M$5</f>
        <v>0.0414923449286943</v>
      </c>
      <c r="N426" s="21" t="n">
        <f aca="false">2_Matriz_decision!N425/N$5</f>
        <v>0.0560490217345168</v>
      </c>
      <c r="O426" s="21" t="n">
        <f aca="false">2_Matriz_decision!O425/O$5</f>
        <v>0.0304431282773992</v>
      </c>
      <c r="P426" s="21" t="n">
        <f aca="false">2_Matriz_decision!P425/P$5</f>
        <v>0.0264720767589686</v>
      </c>
      <c r="Q426" s="21" t="n">
        <f aca="false">2_Matriz_decision!Q425/Q$5</f>
        <v>0.0133893885620924</v>
      </c>
    </row>
    <row r="427" customFormat="false" ht="15" hidden="false" customHeight="false" outlineLevel="0" collapsed="false">
      <c r="A427" s="15" t="n">
        <f aca="false">2_Matriz_decision!A426</f>
        <v>422</v>
      </c>
      <c r="B427" s="16" t="n">
        <f aca="false">2_Matriz_decision!B426</f>
        <v>42.417</v>
      </c>
      <c r="C427" s="21" t="n">
        <f aca="false">2_Matriz_decision!C426/C$5</f>
        <v>0.0439697451539424</v>
      </c>
      <c r="D427" s="21" t="n">
        <f aca="false">2_Matriz_decision!D426/D$5</f>
        <v>0.0334918645582358</v>
      </c>
      <c r="E427" s="21" t="n">
        <f aca="false">2_Matriz_decision!E426/E$5</f>
        <v>0.0400721949850431</v>
      </c>
      <c r="F427" s="21" t="n">
        <f aca="false">2_Matriz_decision!F426/F$5</f>
        <v>0.0197623055576251</v>
      </c>
      <c r="G427" s="21" t="n">
        <f aca="false">2_Matriz_decision!G426/G$5</f>
        <v>0.0411149420220302</v>
      </c>
      <c r="H427" s="21" t="n">
        <f aca="false">2_Matriz_decision!H426/H$5</f>
        <v>0.0256178772689507</v>
      </c>
      <c r="I427" s="21" t="n">
        <f aca="false">2_Matriz_decision!I426/I$5</f>
        <v>0.0444554224474387</v>
      </c>
      <c r="J427" s="21" t="n">
        <f aca="false">2_Matriz_decision!J426/J$5</f>
        <v>0.0351992440847949</v>
      </c>
      <c r="K427" s="21" t="n">
        <f aca="false">2_Matriz_decision!K426/K$5</f>
        <v>0.039014903418414</v>
      </c>
      <c r="L427" s="21" t="n">
        <f aca="false">2_Matriz_decision!L426/L$5</f>
        <v>0.038964218116842</v>
      </c>
      <c r="M427" s="21" t="n">
        <f aca="false">2_Matriz_decision!M426/M$5</f>
        <v>0.04393372092157</v>
      </c>
      <c r="N427" s="21" t="n">
        <f aca="false">2_Matriz_decision!N426/N$5</f>
        <v>0.0560490217345168</v>
      </c>
      <c r="O427" s="21" t="n">
        <f aca="false">2_Matriz_decision!O426/O$5</f>
        <v>0.0304431282773992</v>
      </c>
      <c r="P427" s="21" t="n">
        <f aca="false">2_Matriz_decision!P426/P$5</f>
        <v>0.0264720767589686</v>
      </c>
      <c r="Q427" s="21" t="n">
        <f aca="false">2_Matriz_decision!Q426/Q$5</f>
        <v>0.0133893885620924</v>
      </c>
    </row>
    <row r="428" customFormat="false" ht="15" hidden="false" customHeight="false" outlineLevel="0" collapsed="false">
      <c r="A428" s="15" t="n">
        <f aca="false">2_Matriz_decision!A427</f>
        <v>423</v>
      </c>
      <c r="B428" s="16" t="n">
        <f aca="false">2_Matriz_decision!B427</f>
        <v>42.517</v>
      </c>
      <c r="C428" s="21" t="n">
        <f aca="false">2_Matriz_decision!C427/C$5</f>
        <v>0.0439697451539424</v>
      </c>
      <c r="D428" s="21" t="n">
        <f aca="false">2_Matriz_decision!D427/D$5</f>
        <v>0.0334918645582358</v>
      </c>
      <c r="E428" s="21" t="n">
        <f aca="false">2_Matriz_decision!E427/E$5</f>
        <v>0.0400721949850431</v>
      </c>
      <c r="F428" s="21" t="n">
        <f aca="false">2_Matriz_decision!F427/F$5</f>
        <v>0.0197623055576251</v>
      </c>
      <c r="G428" s="21" t="n">
        <f aca="false">2_Matriz_decision!G427/G$5</f>
        <v>0.0411149420220302</v>
      </c>
      <c r="H428" s="21" t="n">
        <f aca="false">2_Matriz_decision!H427/H$5</f>
        <v>0.0256178772689507</v>
      </c>
      <c r="I428" s="21" t="n">
        <f aca="false">2_Matriz_decision!I427/I$5</f>
        <v>0.0444554224474387</v>
      </c>
      <c r="J428" s="21" t="n">
        <f aca="false">2_Matriz_decision!J427/J$5</f>
        <v>0.0351992440847949</v>
      </c>
      <c r="K428" s="21" t="n">
        <f aca="false">2_Matriz_decision!K427/K$5</f>
        <v>0.039014903418414</v>
      </c>
      <c r="L428" s="21" t="n">
        <f aca="false">2_Matriz_decision!L427/L$5</f>
        <v>0.0407024982661863</v>
      </c>
      <c r="M428" s="21" t="n">
        <f aca="false">2_Matriz_decision!M427/M$5</f>
        <v>0.0436244063161378</v>
      </c>
      <c r="N428" s="21" t="n">
        <f aca="false">2_Matriz_decision!N427/N$5</f>
        <v>0.0560490217345168</v>
      </c>
      <c r="O428" s="21" t="n">
        <f aca="false">2_Matriz_decision!O427/O$5</f>
        <v>0.0304431282773992</v>
      </c>
      <c r="P428" s="21" t="n">
        <f aca="false">2_Matriz_decision!P427/P$5</f>
        <v>0.0264720767589686</v>
      </c>
      <c r="Q428" s="21" t="n">
        <f aca="false">2_Matriz_decision!Q427/Q$5</f>
        <v>0.0133893885620924</v>
      </c>
    </row>
    <row r="429" customFormat="false" ht="15" hidden="false" customHeight="false" outlineLevel="0" collapsed="false">
      <c r="A429" s="15" t="n">
        <f aca="false">2_Matriz_decision!A428</f>
        <v>424</v>
      </c>
      <c r="B429" s="16" t="n">
        <f aca="false">2_Matriz_decision!B428</f>
        <v>42.617</v>
      </c>
      <c r="C429" s="21" t="n">
        <f aca="false">2_Matriz_decision!C428/C$5</f>
        <v>0.0439697451539424</v>
      </c>
      <c r="D429" s="21" t="n">
        <f aca="false">2_Matriz_decision!D428/D$5</f>
        <v>0.0334918645582358</v>
      </c>
      <c r="E429" s="21" t="n">
        <f aca="false">2_Matriz_decision!E428/E$5</f>
        <v>0.0400721949850431</v>
      </c>
      <c r="F429" s="21" t="n">
        <f aca="false">2_Matriz_decision!F428/F$5</f>
        <v>0.0296434583364376</v>
      </c>
      <c r="G429" s="21" t="n">
        <f aca="false">2_Matriz_decision!G428/G$5</f>
        <v>0.0411149420220302</v>
      </c>
      <c r="H429" s="21" t="n">
        <f aca="false">2_Matriz_decision!H428/H$5</f>
        <v>0.0256178772689507</v>
      </c>
      <c r="I429" s="21" t="n">
        <f aca="false">2_Matriz_decision!I428/I$5</f>
        <v>0.0444554224474387</v>
      </c>
      <c r="J429" s="21" t="n">
        <f aca="false">2_Matriz_decision!J428/J$5</f>
        <v>0.0351992440847949</v>
      </c>
      <c r="K429" s="21" t="n">
        <f aca="false">2_Matriz_decision!K428/K$5</f>
        <v>0.039014903418414</v>
      </c>
      <c r="L429" s="21" t="n">
        <f aca="false">2_Matriz_decision!L428/L$5</f>
        <v>0.0411571253821687</v>
      </c>
      <c r="M429" s="21" t="n">
        <f aca="false">2_Matriz_decision!M428/M$5</f>
        <v>0.0431162466072135</v>
      </c>
      <c r="N429" s="21" t="n">
        <f aca="false">2_Matriz_decision!N428/N$5</f>
        <v>0.0560490217345168</v>
      </c>
      <c r="O429" s="21" t="n">
        <f aca="false">2_Matriz_decision!O428/O$5</f>
        <v>0.0304431282773992</v>
      </c>
      <c r="P429" s="21" t="n">
        <f aca="false">2_Matriz_decision!P428/P$5</f>
        <v>0.0264720767589686</v>
      </c>
      <c r="Q429" s="21" t="n">
        <f aca="false">2_Matriz_decision!Q428/Q$5</f>
        <v>0.0133893885620924</v>
      </c>
    </row>
    <row r="430" customFormat="false" ht="15" hidden="false" customHeight="false" outlineLevel="0" collapsed="false">
      <c r="A430" s="15" t="n">
        <f aca="false">2_Matriz_decision!A429</f>
        <v>425</v>
      </c>
      <c r="B430" s="16" t="n">
        <f aca="false">2_Matriz_decision!B429</f>
        <v>42.716</v>
      </c>
      <c r="C430" s="21" t="n">
        <f aca="false">2_Matriz_decision!C429/C$5</f>
        <v>0.0439697451539424</v>
      </c>
      <c r="D430" s="21" t="n">
        <f aca="false">2_Matriz_decision!D429/D$5</f>
        <v>0.0334918645582358</v>
      </c>
      <c r="E430" s="21" t="n">
        <f aca="false">2_Matriz_decision!E429/E$5</f>
        <v>0.0400721949850431</v>
      </c>
      <c r="F430" s="21" t="n">
        <f aca="false">2_Matriz_decision!F429/F$5</f>
        <v>0.0197623055576251</v>
      </c>
      <c r="G430" s="21" t="n">
        <f aca="false">2_Matriz_decision!G429/G$5</f>
        <v>0.0411149420220302</v>
      </c>
      <c r="H430" s="21" t="n">
        <f aca="false">2_Matriz_decision!H429/H$5</f>
        <v>0.0256178772689507</v>
      </c>
      <c r="I430" s="21" t="n">
        <f aca="false">2_Matriz_decision!I429/I$5</f>
        <v>0.0444554224474387</v>
      </c>
      <c r="J430" s="21" t="n">
        <f aca="false">2_Matriz_decision!J429/J$5</f>
        <v>0.0351992440847949</v>
      </c>
      <c r="K430" s="21" t="n">
        <f aca="false">2_Matriz_decision!K429/K$5</f>
        <v>0.039014903418414</v>
      </c>
      <c r="L430" s="21" t="n">
        <f aca="false">2_Matriz_decision!L429/L$5</f>
        <v>0.040822840738064</v>
      </c>
      <c r="M430" s="21" t="n">
        <f aca="false">2_Matriz_decision!M429/M$5</f>
        <v>0.0422214436414988</v>
      </c>
      <c r="N430" s="21" t="n">
        <f aca="false">2_Matriz_decision!N429/N$5</f>
        <v>0.0560490217345168</v>
      </c>
      <c r="O430" s="21" t="n">
        <f aca="false">2_Matriz_decision!O429/O$5</f>
        <v>0.0304431282773992</v>
      </c>
      <c r="P430" s="21" t="n">
        <f aca="false">2_Matriz_decision!P429/P$5</f>
        <v>0.0529441535179372</v>
      </c>
      <c r="Q430" s="21" t="n">
        <f aca="false">2_Matriz_decision!Q429/Q$5</f>
        <v>0.0133893885620924</v>
      </c>
    </row>
    <row r="431" customFormat="false" ht="15" hidden="false" customHeight="false" outlineLevel="0" collapsed="false">
      <c r="A431" s="15" t="n">
        <f aca="false">2_Matriz_decision!A430</f>
        <v>426</v>
      </c>
      <c r="B431" s="16" t="n">
        <f aca="false">2_Matriz_decision!B430</f>
        <v>42.816</v>
      </c>
      <c r="C431" s="21" t="n">
        <f aca="false">2_Matriz_decision!C430/C$5</f>
        <v>0.0439697451539424</v>
      </c>
      <c r="D431" s="21" t="n">
        <f aca="false">2_Matriz_decision!D430/D$5</f>
        <v>0.0334918645582358</v>
      </c>
      <c r="E431" s="21" t="n">
        <f aca="false">2_Matriz_decision!E430/E$5</f>
        <v>0.0500902437313038</v>
      </c>
      <c r="F431" s="21" t="n">
        <f aca="false">2_Matriz_decision!F430/F$5</f>
        <v>0.0197623055576251</v>
      </c>
      <c r="G431" s="21" t="n">
        <f aca="false">2_Matriz_decision!G430/G$5</f>
        <v>0.0411149420220302</v>
      </c>
      <c r="H431" s="21" t="n">
        <f aca="false">2_Matriz_decision!H430/H$5</f>
        <v>0.0256178772689507</v>
      </c>
      <c r="I431" s="21" t="n">
        <f aca="false">2_Matriz_decision!I430/I$5</f>
        <v>0.0740923707457312</v>
      </c>
      <c r="J431" s="21" t="n">
        <f aca="false">2_Matriz_decision!J430/J$5</f>
        <v>0.0351992440847949</v>
      </c>
      <c r="K431" s="21" t="n">
        <f aca="false">2_Matriz_decision!K430/K$5</f>
        <v>0.039014903418414</v>
      </c>
      <c r="L431" s="21" t="n">
        <f aca="false">2_Matriz_decision!L430/L$5</f>
        <v>0.0404083277793742</v>
      </c>
      <c r="M431" s="21" t="n">
        <f aca="false">2_Matriz_decision!M430/M$5</f>
        <v>0.0420446924383947</v>
      </c>
      <c r="N431" s="21" t="n">
        <f aca="false">2_Matriz_decision!N430/N$5</f>
        <v>0.0560490217345168</v>
      </c>
      <c r="O431" s="21" t="n">
        <f aca="false">2_Matriz_decision!O430/O$5</f>
        <v>0.0304431282773992</v>
      </c>
      <c r="P431" s="21" t="n">
        <f aca="false">2_Matriz_decision!P430/P$5</f>
        <v>0.0529441535179372</v>
      </c>
      <c r="Q431" s="21" t="n">
        <f aca="false">2_Matriz_decision!Q430/Q$5</f>
        <v>0.0133893885620924</v>
      </c>
    </row>
    <row r="432" customFormat="false" ht="15" hidden="false" customHeight="false" outlineLevel="0" collapsed="false">
      <c r="A432" s="15" t="n">
        <f aca="false">2_Matriz_decision!A431</f>
        <v>427</v>
      </c>
      <c r="B432" s="16" t="n">
        <f aca="false">2_Matriz_decision!B431</f>
        <v>42.915</v>
      </c>
      <c r="C432" s="21" t="n">
        <f aca="false">2_Matriz_decision!C431/C$5</f>
        <v>0.0439697451539424</v>
      </c>
      <c r="D432" s="21" t="n">
        <f aca="false">2_Matriz_decision!D431/D$5</f>
        <v>0.0334918645582358</v>
      </c>
      <c r="E432" s="21" t="n">
        <f aca="false">2_Matriz_decision!E431/E$5</f>
        <v>0.0500902437313038</v>
      </c>
      <c r="F432" s="21" t="n">
        <f aca="false">2_Matriz_decision!F431/F$5</f>
        <v>0.0296434583364376</v>
      </c>
      <c r="G432" s="21" t="n">
        <f aca="false">2_Matriz_decision!G431/G$5</f>
        <v>0.0411149420220302</v>
      </c>
      <c r="H432" s="21" t="n">
        <f aca="false">2_Matriz_decision!H431/H$5</f>
        <v>0.0256178772689507</v>
      </c>
      <c r="I432" s="21" t="n">
        <f aca="false">2_Matriz_decision!I431/I$5</f>
        <v>0.0740923707457312</v>
      </c>
      <c r="J432" s="21" t="n">
        <f aca="false">2_Matriz_decision!J431/J$5</f>
        <v>0.0351992440847949</v>
      </c>
      <c r="K432" s="21" t="n">
        <f aca="false">2_Matriz_decision!K431/K$5</f>
        <v>0.039014903418414</v>
      </c>
      <c r="L432" s="21" t="n">
        <f aca="false">2_Matriz_decision!L431/L$5</f>
        <v>0.0390043322741345</v>
      </c>
      <c r="M432" s="21" t="n">
        <f aca="false">2_Matriz_decision!M431/M$5</f>
        <v>0.0401335700548313</v>
      </c>
      <c r="N432" s="21" t="n">
        <f aca="false">2_Matriz_decision!N431/N$5</f>
        <v>0.0560490217345168</v>
      </c>
      <c r="O432" s="21" t="n">
        <f aca="false">2_Matriz_decision!O431/O$5</f>
        <v>0.0304431282773992</v>
      </c>
      <c r="P432" s="21" t="n">
        <f aca="false">2_Matriz_decision!P431/P$5</f>
        <v>0.0529441535179372</v>
      </c>
      <c r="Q432" s="21" t="n">
        <f aca="false">2_Matriz_decision!Q431/Q$5</f>
        <v>0.0133893885620924</v>
      </c>
    </row>
    <row r="433" customFormat="false" ht="15" hidden="false" customHeight="false" outlineLevel="0" collapsed="false">
      <c r="A433" s="15" t="n">
        <f aca="false">2_Matriz_decision!A432</f>
        <v>428</v>
      </c>
      <c r="B433" s="16" t="n">
        <f aca="false">2_Matriz_decision!B432</f>
        <v>43.014</v>
      </c>
      <c r="C433" s="21" t="n">
        <f aca="false">2_Matriz_decision!C432/C$5</f>
        <v>0.0439697451539424</v>
      </c>
      <c r="D433" s="21" t="n">
        <f aca="false">2_Matriz_decision!D432/D$5</f>
        <v>0.0334918645582358</v>
      </c>
      <c r="E433" s="21" t="n">
        <f aca="false">2_Matriz_decision!E432/E$5</f>
        <v>0.0500902437313038</v>
      </c>
      <c r="F433" s="21" t="n">
        <f aca="false">2_Matriz_decision!F432/F$5</f>
        <v>0.0197623055576251</v>
      </c>
      <c r="G433" s="21" t="n">
        <f aca="false">2_Matriz_decision!G432/G$5</f>
        <v>0.0411149420220302</v>
      </c>
      <c r="H433" s="21" t="n">
        <f aca="false">2_Matriz_decision!H432/H$5</f>
        <v>0.0256178772689507</v>
      </c>
      <c r="I433" s="21" t="n">
        <f aca="false">2_Matriz_decision!I432/I$5</f>
        <v>0.0592738965965849</v>
      </c>
      <c r="J433" s="21" t="n">
        <f aca="false">2_Matriz_decision!J432/J$5</f>
        <v>0.0351992440847949</v>
      </c>
      <c r="K433" s="21" t="n">
        <f aca="false">2_Matriz_decision!K432/K$5</f>
        <v>0.039014903418414</v>
      </c>
      <c r="L433" s="21" t="n">
        <f aca="false">2_Matriz_decision!L432/L$5</f>
        <v>0.0395926732477588</v>
      </c>
      <c r="M433" s="21" t="n">
        <f aca="false">2_Matriz_decision!M432/M$5</f>
        <v>0.0372724099545832</v>
      </c>
      <c r="N433" s="21" t="n">
        <f aca="false">2_Matriz_decision!N432/N$5</f>
        <v>0.0560490217345168</v>
      </c>
      <c r="O433" s="21" t="n">
        <f aca="false">2_Matriz_decision!O432/O$5</f>
        <v>0.0304431282773992</v>
      </c>
      <c r="P433" s="21" t="n">
        <f aca="false">2_Matriz_decision!P432/P$5</f>
        <v>0.0529441535179372</v>
      </c>
      <c r="Q433" s="21" t="n">
        <f aca="false">2_Matriz_decision!Q432/Q$5</f>
        <v>0.0133893885620924</v>
      </c>
    </row>
    <row r="434" customFormat="false" ht="15" hidden="false" customHeight="false" outlineLevel="0" collapsed="false">
      <c r="A434" s="15" t="n">
        <f aca="false">2_Matriz_decision!A433</f>
        <v>429</v>
      </c>
      <c r="B434" s="16" t="n">
        <f aca="false">2_Matriz_decision!B433</f>
        <v>43.113</v>
      </c>
      <c r="C434" s="21" t="n">
        <f aca="false">2_Matriz_decision!C433/C$5</f>
        <v>0.0351757961231539</v>
      </c>
      <c r="D434" s="21" t="n">
        <f aca="false">2_Matriz_decision!D433/D$5</f>
        <v>0.0334918645582358</v>
      </c>
      <c r="E434" s="21" t="n">
        <f aca="false">2_Matriz_decision!E433/E$5</f>
        <v>0.0500902437313038</v>
      </c>
      <c r="F434" s="21" t="n">
        <f aca="false">2_Matriz_decision!F433/F$5</f>
        <v>0.0197623055576251</v>
      </c>
      <c r="G434" s="21" t="n">
        <f aca="false">2_Matriz_decision!G433/G$5</f>
        <v>0.0411149420220302</v>
      </c>
      <c r="H434" s="21" t="n">
        <f aca="false">2_Matriz_decision!H433/H$5</f>
        <v>0.0256178772689507</v>
      </c>
      <c r="I434" s="21" t="n">
        <f aca="false">2_Matriz_decision!I433/I$5</f>
        <v>0.0740923707457312</v>
      </c>
      <c r="J434" s="21" t="n">
        <f aca="false">2_Matriz_decision!J433/J$5</f>
        <v>0.0351992440847949</v>
      </c>
      <c r="K434" s="21" t="n">
        <f aca="false">2_Matriz_decision!K433/K$5</f>
        <v>0.039014903418414</v>
      </c>
      <c r="L434" s="21" t="n">
        <f aca="false">2_Matriz_decision!L433/L$5</f>
        <v>0.0362498268067119</v>
      </c>
      <c r="M434" s="21" t="n">
        <f aca="false">2_Matriz_decision!M433/M$5</f>
        <v>0.0368857666977929</v>
      </c>
      <c r="N434" s="21" t="n">
        <f aca="false">2_Matriz_decision!N433/N$5</f>
        <v>0.0560490217345168</v>
      </c>
      <c r="O434" s="21" t="n">
        <f aca="false">2_Matriz_decision!O433/O$5</f>
        <v>0.0304431282773992</v>
      </c>
      <c r="P434" s="21" t="n">
        <f aca="false">2_Matriz_decision!P433/P$5</f>
        <v>0.0529441535179372</v>
      </c>
      <c r="Q434" s="21" t="n">
        <f aca="false">2_Matriz_decision!Q433/Q$5</f>
        <v>0.0133893885620924</v>
      </c>
    </row>
    <row r="435" customFormat="false" ht="15" hidden="false" customHeight="false" outlineLevel="0" collapsed="false">
      <c r="A435" s="15" t="n">
        <f aca="false">2_Matriz_decision!A434</f>
        <v>430</v>
      </c>
      <c r="B435" s="16" t="n">
        <f aca="false">2_Matriz_decision!B434</f>
        <v>43.212</v>
      </c>
      <c r="C435" s="21" t="n">
        <f aca="false">2_Matriz_decision!C434/C$5</f>
        <v>0.0439697451539424</v>
      </c>
      <c r="D435" s="21" t="n">
        <f aca="false">2_Matriz_decision!D434/D$5</f>
        <v>0.0334918645582358</v>
      </c>
      <c r="E435" s="21" t="n">
        <f aca="false">2_Matriz_decision!E434/E$5</f>
        <v>0.0500902437313038</v>
      </c>
      <c r="F435" s="21" t="n">
        <f aca="false">2_Matriz_decision!F434/F$5</f>
        <v>0.0197623055576251</v>
      </c>
      <c r="G435" s="21" t="n">
        <f aca="false">2_Matriz_decision!G434/G$5</f>
        <v>0.0411149420220302</v>
      </c>
      <c r="H435" s="21" t="n">
        <f aca="false">2_Matriz_decision!H434/H$5</f>
        <v>0.0256178772689507</v>
      </c>
      <c r="I435" s="21" t="n">
        <f aca="false">2_Matriz_decision!I434/I$5</f>
        <v>0.0592738965965849</v>
      </c>
      <c r="J435" s="21" t="n">
        <f aca="false">2_Matriz_decision!J434/J$5</f>
        <v>0.0351992440847949</v>
      </c>
      <c r="K435" s="21" t="n">
        <f aca="false">2_Matriz_decision!K434/K$5</f>
        <v>0.039014903418414</v>
      </c>
      <c r="L435" s="21" t="n">
        <f aca="false">2_Matriz_decision!L434/L$5</f>
        <v>0.0360091418629566</v>
      </c>
      <c r="M435" s="21" t="n">
        <f aca="false">2_Matriz_decision!M434/M$5</f>
        <v>0.0382445415716559</v>
      </c>
      <c r="N435" s="21" t="n">
        <f aca="false">2_Matriz_decision!N434/N$5</f>
        <v>0.0448392173876134</v>
      </c>
      <c r="O435" s="21" t="n">
        <f aca="false">2_Matriz_decision!O434/O$5</f>
        <v>0.0304431282773992</v>
      </c>
      <c r="P435" s="21" t="n">
        <f aca="false">2_Matriz_decision!P434/P$5</f>
        <v>0.0529441535179372</v>
      </c>
      <c r="Q435" s="21" t="n">
        <f aca="false">2_Matriz_decision!Q434/Q$5</f>
        <v>0.0133893885620924</v>
      </c>
    </row>
    <row r="436" customFormat="false" ht="15" hidden="false" customHeight="false" outlineLevel="0" collapsed="false">
      <c r="A436" s="15" t="n">
        <f aca="false">2_Matriz_decision!A435</f>
        <v>431</v>
      </c>
      <c r="B436" s="16" t="n">
        <f aca="false">2_Matriz_decision!B435</f>
        <v>43.311</v>
      </c>
      <c r="C436" s="21" t="n">
        <f aca="false">2_Matriz_decision!C435/C$5</f>
        <v>0.0439697451539424</v>
      </c>
      <c r="D436" s="21" t="n">
        <f aca="false">2_Matriz_decision!D435/D$5</f>
        <v>0.0334918645582358</v>
      </c>
      <c r="E436" s="21" t="n">
        <f aca="false">2_Matriz_decision!E435/E$5</f>
        <v>0.0500902437313038</v>
      </c>
      <c r="F436" s="21" t="n">
        <f aca="false">2_Matriz_decision!F435/F$5</f>
        <v>0.0197623055576251</v>
      </c>
      <c r="G436" s="21" t="n">
        <f aca="false">2_Matriz_decision!G435/G$5</f>
        <v>0.0411149420220302</v>
      </c>
      <c r="H436" s="21" t="n">
        <f aca="false">2_Matriz_decision!H435/H$5</f>
        <v>0.0256178772689507</v>
      </c>
      <c r="I436" s="21" t="n">
        <f aca="false">2_Matriz_decision!I435/I$5</f>
        <v>0.0592738965965849</v>
      </c>
      <c r="J436" s="21" t="n">
        <f aca="false">2_Matriz_decision!J435/J$5</f>
        <v>0.0351992440847949</v>
      </c>
      <c r="K436" s="21" t="n">
        <f aca="false">2_Matriz_decision!K435/K$5</f>
        <v>0.039014903418414</v>
      </c>
      <c r="L436" s="21" t="n">
        <f aca="false">2_Matriz_decision!L435/L$5</f>
        <v>0.0356614858330877</v>
      </c>
      <c r="M436" s="21" t="n">
        <f aca="false">2_Matriz_decision!M435/M$5</f>
        <v>0.0385096683763121</v>
      </c>
      <c r="N436" s="21" t="n">
        <f aca="false">2_Matriz_decision!N435/N$5</f>
        <v>0.0448392173876134</v>
      </c>
      <c r="O436" s="21" t="n">
        <f aca="false">2_Matriz_decision!O435/O$5</f>
        <v>0.0304431282773992</v>
      </c>
      <c r="P436" s="21" t="n">
        <f aca="false">2_Matriz_decision!P435/P$5</f>
        <v>0.0529441535179372</v>
      </c>
      <c r="Q436" s="21" t="n">
        <f aca="false">2_Matriz_decision!Q435/Q$5</f>
        <v>0.0133893885620924</v>
      </c>
    </row>
    <row r="437" customFormat="false" ht="15" hidden="false" customHeight="false" outlineLevel="0" collapsed="false">
      <c r="A437" s="15" t="n">
        <f aca="false">2_Matriz_decision!A436</f>
        <v>432</v>
      </c>
      <c r="B437" s="16" t="n">
        <f aca="false">2_Matriz_decision!B436</f>
        <v>43.41</v>
      </c>
      <c r="C437" s="21" t="n">
        <f aca="false">2_Matriz_decision!C436/C$5</f>
        <v>0.0439697451539424</v>
      </c>
      <c r="D437" s="21" t="n">
        <f aca="false">2_Matriz_decision!D436/D$5</f>
        <v>0.0334918645582358</v>
      </c>
      <c r="E437" s="21" t="n">
        <f aca="false">2_Matriz_decision!E436/E$5</f>
        <v>0.0500902437313038</v>
      </c>
      <c r="F437" s="21" t="n">
        <f aca="false">2_Matriz_decision!F436/F$5</f>
        <v>0.0197623055576251</v>
      </c>
      <c r="G437" s="21" t="n">
        <f aca="false">2_Matriz_decision!G436/G$5</f>
        <v>0.0411149420220302</v>
      </c>
      <c r="H437" s="21" t="n">
        <f aca="false">2_Matriz_decision!H436/H$5</f>
        <v>0.0256178772689507</v>
      </c>
      <c r="I437" s="21" t="n">
        <f aca="false">2_Matriz_decision!I436/I$5</f>
        <v>0.0592738965965849</v>
      </c>
      <c r="J437" s="21" t="n">
        <f aca="false">2_Matriz_decision!J436/J$5</f>
        <v>0.0351992440847949</v>
      </c>
      <c r="K437" s="21" t="n">
        <f aca="false">2_Matriz_decision!K436/K$5</f>
        <v>0.039014903418414</v>
      </c>
      <c r="L437" s="21" t="n">
        <f aca="false">2_Matriz_decision!L436/L$5</f>
        <v>0.0355545147469742</v>
      </c>
      <c r="M437" s="21" t="n">
        <f aca="false">2_Matriz_decision!M436/M$5</f>
        <v>0.041061513871128</v>
      </c>
      <c r="N437" s="21" t="n">
        <f aca="false">2_Matriz_decision!N436/N$5</f>
        <v>0.0448392173876134</v>
      </c>
      <c r="O437" s="21" t="n">
        <f aca="false">2_Matriz_decision!O436/O$5</f>
        <v>0.0304431282773992</v>
      </c>
      <c r="P437" s="21" t="n">
        <f aca="false">2_Matriz_decision!P436/P$5</f>
        <v>0.0529441535179372</v>
      </c>
      <c r="Q437" s="21" t="n">
        <f aca="false">2_Matriz_decision!Q436/Q$5</f>
        <v>0.0267787771241848</v>
      </c>
    </row>
    <row r="438" customFormat="false" ht="15" hidden="false" customHeight="false" outlineLevel="0" collapsed="false">
      <c r="A438" s="15" t="n">
        <f aca="false">2_Matriz_decision!A437</f>
        <v>433</v>
      </c>
      <c r="B438" s="16" t="n">
        <f aca="false">2_Matriz_decision!B437</f>
        <v>43.51</v>
      </c>
      <c r="C438" s="21" t="n">
        <f aca="false">2_Matriz_decision!C437/C$5</f>
        <v>0.0439697451539424</v>
      </c>
      <c r="D438" s="21" t="n">
        <f aca="false">2_Matriz_decision!D437/D$5</f>
        <v>0.0334918645582358</v>
      </c>
      <c r="E438" s="21" t="n">
        <f aca="false">2_Matriz_decision!E437/E$5</f>
        <v>0.0500902437313038</v>
      </c>
      <c r="F438" s="21" t="n">
        <f aca="false">2_Matriz_decision!F437/F$5</f>
        <v>0.0197623055576251</v>
      </c>
      <c r="G438" s="21" t="n">
        <f aca="false">2_Matriz_decision!G437/G$5</f>
        <v>0.0411149420220302</v>
      </c>
      <c r="H438" s="21" t="n">
        <f aca="false">2_Matriz_decision!H437/H$5</f>
        <v>0.0256178772689507</v>
      </c>
      <c r="I438" s="21" t="n">
        <f aca="false">2_Matriz_decision!I437/I$5</f>
        <v>0.0740923707457312</v>
      </c>
      <c r="J438" s="21" t="n">
        <f aca="false">2_Matriz_decision!J437/J$5</f>
        <v>0.0351992440847949</v>
      </c>
      <c r="K438" s="21" t="n">
        <f aca="false">2_Matriz_decision!K437/K$5</f>
        <v>0.039014903418414</v>
      </c>
      <c r="L438" s="21" t="n">
        <f aca="false">2_Matriz_decision!L437/L$5</f>
        <v>0.0310617291302072</v>
      </c>
      <c r="M438" s="21" t="n">
        <f aca="false">2_Matriz_decision!M437/M$5</f>
        <v>0.0425970399480951</v>
      </c>
      <c r="N438" s="21" t="n">
        <f aca="false">2_Matriz_decision!N437/N$5</f>
        <v>0.0448392173876134</v>
      </c>
      <c r="O438" s="21" t="n">
        <f aca="false">2_Matriz_decision!O437/O$5</f>
        <v>0.0304431282773992</v>
      </c>
      <c r="P438" s="21" t="n">
        <f aca="false">2_Matriz_decision!P437/P$5</f>
        <v>0.0529441535179372</v>
      </c>
      <c r="Q438" s="21" t="n">
        <f aca="false">2_Matriz_decision!Q437/Q$5</f>
        <v>0.0133893885620924</v>
      </c>
    </row>
    <row r="439" customFormat="false" ht="15" hidden="false" customHeight="false" outlineLevel="0" collapsed="false">
      <c r="A439" s="15" t="n">
        <f aca="false">2_Matriz_decision!A438</f>
        <v>434</v>
      </c>
      <c r="B439" s="16" t="n">
        <f aca="false">2_Matriz_decision!B438</f>
        <v>43.609</v>
      </c>
      <c r="C439" s="21" t="n">
        <f aca="false">2_Matriz_decision!C438/C$5</f>
        <v>0.0439697451539424</v>
      </c>
      <c r="D439" s="21" t="n">
        <f aca="false">2_Matriz_decision!D438/D$5</f>
        <v>0.0334918645582358</v>
      </c>
      <c r="E439" s="21" t="n">
        <f aca="false">2_Matriz_decision!E438/E$5</f>
        <v>0.0500902437313038</v>
      </c>
      <c r="F439" s="21" t="n">
        <f aca="false">2_Matriz_decision!F438/F$5</f>
        <v>0.0296434583364376</v>
      </c>
      <c r="G439" s="21" t="n">
        <f aca="false">2_Matriz_decision!G438/G$5</f>
        <v>0.0411149420220302</v>
      </c>
      <c r="H439" s="21" t="n">
        <f aca="false">2_Matriz_decision!H438/H$5</f>
        <v>0.0256178772689507</v>
      </c>
      <c r="I439" s="21" t="n">
        <f aca="false">2_Matriz_decision!I438/I$5</f>
        <v>0.0740923707457312</v>
      </c>
      <c r="J439" s="21" t="n">
        <f aca="false">2_Matriz_decision!J438/J$5</f>
        <v>0.0351992440847949</v>
      </c>
      <c r="K439" s="21" t="n">
        <f aca="false">2_Matriz_decision!K438/K$5</f>
        <v>0.039014903418414</v>
      </c>
      <c r="L439" s="21" t="n">
        <f aca="false">2_Matriz_decision!L438/L$5</f>
        <v>0.0343109758709048</v>
      </c>
      <c r="M439" s="21" t="n">
        <f aca="false">2_Matriz_decision!M438/M$5</f>
        <v>0.0379131330658357</v>
      </c>
      <c r="N439" s="21" t="n">
        <f aca="false">2_Matriz_decision!N438/N$5</f>
        <v>0.0448392173876134</v>
      </c>
      <c r="O439" s="21" t="n">
        <f aca="false">2_Matriz_decision!O438/O$5</f>
        <v>0.0304431282773992</v>
      </c>
      <c r="P439" s="21" t="n">
        <f aca="false">2_Matriz_decision!P438/P$5</f>
        <v>0.0529441535179372</v>
      </c>
      <c r="Q439" s="21" t="n">
        <f aca="false">2_Matriz_decision!Q438/Q$5</f>
        <v>0.0133893885620924</v>
      </c>
    </row>
    <row r="440" customFormat="false" ht="15" hidden="false" customHeight="false" outlineLevel="0" collapsed="false">
      <c r="A440" s="15" t="n">
        <f aca="false">2_Matriz_decision!A439</f>
        <v>435</v>
      </c>
      <c r="B440" s="16" t="n">
        <f aca="false">2_Matriz_decision!B439</f>
        <v>43.709</v>
      </c>
      <c r="C440" s="21" t="n">
        <f aca="false">2_Matriz_decision!C439/C$5</f>
        <v>0.0439697451539424</v>
      </c>
      <c r="D440" s="21" t="n">
        <f aca="false">2_Matriz_decision!D439/D$5</f>
        <v>0.0334918645582358</v>
      </c>
      <c r="E440" s="21" t="n">
        <f aca="false">2_Matriz_decision!E439/E$5</f>
        <v>0.0500902437313038</v>
      </c>
      <c r="F440" s="21" t="n">
        <f aca="false">2_Matriz_decision!F439/F$5</f>
        <v>0.0197623055576251</v>
      </c>
      <c r="G440" s="21" t="n">
        <f aca="false">2_Matriz_decision!G439/G$5</f>
        <v>0.0411149420220302</v>
      </c>
      <c r="H440" s="21" t="n">
        <f aca="false">2_Matriz_decision!H439/H$5</f>
        <v>0.0256178772689507</v>
      </c>
      <c r="I440" s="21" t="n">
        <f aca="false">2_Matriz_decision!I439/I$5</f>
        <v>0.0740923707457312</v>
      </c>
      <c r="J440" s="21" t="n">
        <f aca="false">2_Matriz_decision!J439/J$5</f>
        <v>0.0351992440847949</v>
      </c>
      <c r="K440" s="21" t="n">
        <f aca="false">2_Matriz_decision!K439/K$5</f>
        <v>0.039014903418414</v>
      </c>
      <c r="L440" s="21" t="n">
        <f aca="false">2_Matriz_decision!L439/L$5</f>
        <v>0.0401275286783263</v>
      </c>
      <c r="M440" s="21" t="n">
        <f aca="false">2_Matriz_decision!M439/M$5</f>
        <v>0.0317599818077732</v>
      </c>
      <c r="N440" s="21" t="n">
        <f aca="false">2_Matriz_decision!N439/N$5</f>
        <v>0.0448392173876134</v>
      </c>
      <c r="O440" s="21" t="n">
        <f aca="false">2_Matriz_decision!O439/O$5</f>
        <v>0.0304431282773992</v>
      </c>
      <c r="P440" s="21" t="n">
        <f aca="false">2_Matriz_decision!P439/P$5</f>
        <v>0.0529441535179372</v>
      </c>
      <c r="Q440" s="21" t="n">
        <f aca="false">2_Matriz_decision!Q439/Q$5</f>
        <v>0.0133893885620924</v>
      </c>
    </row>
    <row r="441" customFormat="false" ht="15" hidden="false" customHeight="false" outlineLevel="0" collapsed="false">
      <c r="A441" s="15" t="n">
        <f aca="false">2_Matriz_decision!A440</f>
        <v>436</v>
      </c>
      <c r="B441" s="16" t="n">
        <f aca="false">2_Matriz_decision!B440</f>
        <v>43.808</v>
      </c>
      <c r="C441" s="21" t="n">
        <f aca="false">2_Matriz_decision!C440/C$5</f>
        <v>0.0439697451539424</v>
      </c>
      <c r="D441" s="21" t="n">
        <f aca="false">2_Matriz_decision!D440/D$5</f>
        <v>0.0334918645582358</v>
      </c>
      <c r="E441" s="21" t="n">
        <f aca="false">2_Matriz_decision!E440/E$5</f>
        <v>0.0500902437313038</v>
      </c>
      <c r="F441" s="21" t="n">
        <f aca="false">2_Matriz_decision!F440/F$5</f>
        <v>0.0197623055576251</v>
      </c>
      <c r="G441" s="21" t="n">
        <f aca="false">2_Matriz_decision!G440/G$5</f>
        <v>0.0411149420220302</v>
      </c>
      <c r="H441" s="21" t="n">
        <f aca="false">2_Matriz_decision!H440/H$5</f>
        <v>0.0256178772689507</v>
      </c>
      <c r="I441" s="21" t="n">
        <f aca="false">2_Matriz_decision!I440/I$5</f>
        <v>0.0444554224474387</v>
      </c>
      <c r="J441" s="21" t="n">
        <f aca="false">2_Matriz_decision!J440/J$5</f>
        <v>0.0351992440847949</v>
      </c>
      <c r="K441" s="21" t="n">
        <f aca="false">2_Matriz_decision!K440/K$5</f>
        <v>0.039014903418414</v>
      </c>
      <c r="L441" s="21" t="n">
        <f aca="false">2_Matriz_decision!L440/L$5</f>
        <v>0.0345516608146601</v>
      </c>
      <c r="M441" s="21" t="n">
        <f aca="false">2_Matriz_decision!M440/M$5</f>
        <v>0.0311413525969087</v>
      </c>
      <c r="N441" s="21" t="n">
        <f aca="false">2_Matriz_decision!N440/N$5</f>
        <v>0.0448392173876134</v>
      </c>
      <c r="O441" s="21" t="n">
        <f aca="false">2_Matriz_decision!O440/O$5</f>
        <v>0.0304431282773992</v>
      </c>
      <c r="P441" s="21" t="n">
        <f aca="false">2_Matriz_decision!P440/P$5</f>
        <v>0.0529441535179372</v>
      </c>
      <c r="Q441" s="21" t="n">
        <f aca="false">2_Matriz_decision!Q440/Q$5</f>
        <v>0.0133893885620924</v>
      </c>
    </row>
    <row r="442" customFormat="false" ht="15" hidden="false" customHeight="false" outlineLevel="0" collapsed="false">
      <c r="A442" s="15" t="n">
        <f aca="false">2_Matriz_decision!A441</f>
        <v>437</v>
      </c>
      <c r="B442" s="16" t="n">
        <f aca="false">2_Matriz_decision!B441</f>
        <v>43.908</v>
      </c>
      <c r="C442" s="21" t="n">
        <f aca="false">2_Matriz_decision!C441/C$5</f>
        <v>0.0439697451539424</v>
      </c>
      <c r="D442" s="21" t="n">
        <f aca="false">2_Matriz_decision!D441/D$5</f>
        <v>0.0334918645582358</v>
      </c>
      <c r="E442" s="21" t="n">
        <f aca="false">2_Matriz_decision!E441/E$5</f>
        <v>0.0500902437313038</v>
      </c>
      <c r="F442" s="21" t="n">
        <f aca="false">2_Matriz_decision!F441/F$5</f>
        <v>0.0296434583364376</v>
      </c>
      <c r="G442" s="21" t="n">
        <f aca="false">2_Matriz_decision!G441/G$5</f>
        <v>0.0411149420220302</v>
      </c>
      <c r="H442" s="21" t="n">
        <f aca="false">2_Matriz_decision!H441/H$5</f>
        <v>0.0256178772689507</v>
      </c>
      <c r="I442" s="21" t="n">
        <f aca="false">2_Matriz_decision!I441/I$5</f>
        <v>0.0444554224474387</v>
      </c>
      <c r="J442" s="21" t="n">
        <f aca="false">2_Matriz_decision!J441/J$5</f>
        <v>0.0351992440847949</v>
      </c>
      <c r="K442" s="21" t="n">
        <f aca="false">2_Matriz_decision!K441/K$5</f>
        <v>0.039014903418414</v>
      </c>
      <c r="L442" s="21" t="n">
        <f aca="false">2_Matriz_decision!L441/L$5</f>
        <v>0.0294437914527406</v>
      </c>
      <c r="M442" s="21" t="n">
        <f aca="false">2_Matriz_decision!M441/M$5</f>
        <v>0.0321245311641754</v>
      </c>
      <c r="N442" s="21" t="n">
        <f aca="false">2_Matriz_decision!N441/N$5</f>
        <v>0.0448392173876134</v>
      </c>
      <c r="O442" s="21" t="n">
        <f aca="false">2_Matriz_decision!O441/O$5</f>
        <v>0.0304431282773992</v>
      </c>
      <c r="P442" s="21" t="n">
        <f aca="false">2_Matriz_decision!P441/P$5</f>
        <v>0.0529441535179372</v>
      </c>
      <c r="Q442" s="21" t="n">
        <f aca="false">2_Matriz_decision!Q441/Q$5</f>
        <v>0.0133893885620924</v>
      </c>
    </row>
    <row r="443" customFormat="false" ht="15" hidden="false" customHeight="false" outlineLevel="0" collapsed="false">
      <c r="A443" s="15" t="n">
        <f aca="false">2_Matriz_decision!A442</f>
        <v>438</v>
      </c>
      <c r="B443" s="16" t="n">
        <f aca="false">2_Matriz_decision!B442</f>
        <v>44.008</v>
      </c>
      <c r="C443" s="21" t="n">
        <f aca="false">2_Matriz_decision!C442/C$5</f>
        <v>0.0439697451539424</v>
      </c>
      <c r="D443" s="21" t="n">
        <f aca="false">2_Matriz_decision!D442/D$5</f>
        <v>0.0418648306977948</v>
      </c>
      <c r="E443" s="21" t="n">
        <f aca="false">2_Matriz_decision!E442/E$5</f>
        <v>0.0500902437313038</v>
      </c>
      <c r="F443" s="21" t="n">
        <f aca="false">2_Matriz_decision!F442/F$5</f>
        <v>0.0296434583364376</v>
      </c>
      <c r="G443" s="21" t="n">
        <f aca="false">2_Matriz_decision!G442/G$5</f>
        <v>0.0411149420220302</v>
      </c>
      <c r="H443" s="21" t="n">
        <f aca="false">2_Matriz_decision!H442/H$5</f>
        <v>0.0256178772689507</v>
      </c>
      <c r="I443" s="21" t="n">
        <f aca="false">2_Matriz_decision!I442/I$5</f>
        <v>0.0592738965965849</v>
      </c>
      <c r="J443" s="21" t="n">
        <f aca="false">2_Matriz_decision!J442/J$5</f>
        <v>0.0351992440847949</v>
      </c>
      <c r="K443" s="21" t="n">
        <f aca="false">2_Matriz_decision!K442/K$5</f>
        <v>0.039014903418414</v>
      </c>
      <c r="L443" s="21" t="n">
        <f aca="false">2_Matriz_decision!L442/L$5</f>
        <v>0.0289624215652298</v>
      </c>
      <c r="M443" s="21" t="n">
        <f aca="false">2_Matriz_decision!M442/M$5</f>
        <v>0.0282249577456906</v>
      </c>
      <c r="N443" s="21" t="n">
        <f aca="false">2_Matriz_decision!N442/N$5</f>
        <v>0.0448392173876134</v>
      </c>
      <c r="O443" s="21" t="n">
        <f aca="false">2_Matriz_decision!O442/O$5</f>
        <v>0.0304431282773992</v>
      </c>
      <c r="P443" s="21" t="n">
        <f aca="false">2_Matriz_decision!P442/P$5</f>
        <v>0.0529441535179372</v>
      </c>
      <c r="Q443" s="21" t="n">
        <f aca="false">2_Matriz_decision!Q442/Q$5</f>
        <v>0.0133893885620924</v>
      </c>
    </row>
    <row r="444" customFormat="false" ht="15" hidden="false" customHeight="false" outlineLevel="0" collapsed="false">
      <c r="A444" s="15" t="n">
        <f aca="false">2_Matriz_decision!A443</f>
        <v>439</v>
      </c>
      <c r="B444" s="16" t="n">
        <f aca="false">2_Matriz_decision!B443</f>
        <v>44.108</v>
      </c>
      <c r="C444" s="21" t="n">
        <f aca="false">2_Matriz_decision!C443/C$5</f>
        <v>0.0439697451539424</v>
      </c>
      <c r="D444" s="21" t="n">
        <f aca="false">2_Matriz_decision!D443/D$5</f>
        <v>0.0418648306977948</v>
      </c>
      <c r="E444" s="21" t="n">
        <f aca="false">2_Matriz_decision!E443/E$5</f>
        <v>0.0500902437313038</v>
      </c>
      <c r="F444" s="21" t="n">
        <f aca="false">2_Matriz_decision!F443/F$5</f>
        <v>0.0296434583364376</v>
      </c>
      <c r="G444" s="21" t="n">
        <f aca="false">2_Matriz_decision!G443/G$5</f>
        <v>0.0411149420220302</v>
      </c>
      <c r="H444" s="21" t="n">
        <f aca="false">2_Matriz_decision!H443/H$5</f>
        <v>0.0256178772689507</v>
      </c>
      <c r="I444" s="21" t="n">
        <f aca="false">2_Matriz_decision!I443/I$5</f>
        <v>0.0592738965965849</v>
      </c>
      <c r="J444" s="21" t="n">
        <f aca="false">2_Matriz_decision!J443/J$5</f>
        <v>0.0351992440847949</v>
      </c>
      <c r="K444" s="21" t="n">
        <f aca="false">2_Matriz_decision!K443/K$5</f>
        <v>0.039014903418414</v>
      </c>
      <c r="L444" s="21" t="n">
        <f aca="false">2_Matriz_decision!L443/L$5</f>
        <v>0.0294705342242689</v>
      </c>
      <c r="M444" s="21" t="n">
        <f aca="false">2_Matriz_decision!M443/M$5</f>
        <v>0.030136080129254</v>
      </c>
      <c r="N444" s="21" t="n">
        <f aca="false">2_Matriz_decision!N443/N$5</f>
        <v>0.0448392173876134</v>
      </c>
      <c r="O444" s="21" t="n">
        <f aca="false">2_Matriz_decision!O443/O$5</f>
        <v>0.0304431282773992</v>
      </c>
      <c r="P444" s="21" t="n">
        <f aca="false">2_Matriz_decision!P443/P$5</f>
        <v>0.0529441535179372</v>
      </c>
      <c r="Q444" s="21" t="n">
        <f aca="false">2_Matriz_decision!Q443/Q$5</f>
        <v>0.0133893885620924</v>
      </c>
    </row>
    <row r="445" customFormat="false" ht="15" hidden="false" customHeight="false" outlineLevel="0" collapsed="false">
      <c r="A445" s="15" t="n">
        <f aca="false">2_Matriz_decision!A444</f>
        <v>440</v>
      </c>
      <c r="B445" s="16" t="n">
        <f aca="false">2_Matriz_decision!B444</f>
        <v>44.208</v>
      </c>
      <c r="C445" s="21" t="n">
        <f aca="false">2_Matriz_decision!C444/C$5</f>
        <v>0.0439697451539424</v>
      </c>
      <c r="D445" s="21" t="n">
        <f aca="false">2_Matriz_decision!D444/D$5</f>
        <v>0.0418648306977948</v>
      </c>
      <c r="E445" s="21" t="n">
        <f aca="false">2_Matriz_decision!E444/E$5</f>
        <v>0.0500902437313038</v>
      </c>
      <c r="F445" s="21" t="n">
        <f aca="false">2_Matriz_decision!F444/F$5</f>
        <v>0.0197623055576251</v>
      </c>
      <c r="G445" s="21" t="n">
        <f aca="false">2_Matriz_decision!G444/G$5</f>
        <v>0.0411149420220302</v>
      </c>
      <c r="H445" s="21" t="n">
        <f aca="false">2_Matriz_decision!H444/H$5</f>
        <v>0.0256178772689507</v>
      </c>
      <c r="I445" s="21" t="n">
        <f aca="false">2_Matriz_decision!I444/I$5</f>
        <v>0.0592738965965849</v>
      </c>
      <c r="J445" s="21" t="n">
        <f aca="false">2_Matriz_decision!J444/J$5</f>
        <v>0.0351992440847949</v>
      </c>
      <c r="K445" s="21" t="n">
        <f aca="false">2_Matriz_decision!K444/K$5</f>
        <v>0.039014903418414</v>
      </c>
      <c r="L445" s="21" t="n">
        <f aca="false">2_Matriz_decision!L444/L$5</f>
        <v>0.0272909983447064</v>
      </c>
      <c r="M445" s="21" t="n">
        <f aca="false">2_Matriz_decision!M444/M$5</f>
        <v>0.0325443152715477</v>
      </c>
      <c r="N445" s="21" t="n">
        <f aca="false">2_Matriz_decision!N444/N$5</f>
        <v>0.0448392173876134</v>
      </c>
      <c r="O445" s="21" t="n">
        <f aca="false">2_Matriz_decision!O444/O$5</f>
        <v>0.0304431282773992</v>
      </c>
      <c r="P445" s="21" t="n">
        <f aca="false">2_Matriz_decision!P444/P$5</f>
        <v>0.0529441535179372</v>
      </c>
      <c r="Q445" s="21" t="n">
        <f aca="false">2_Matriz_decision!Q444/Q$5</f>
        <v>0.0133893885620924</v>
      </c>
    </row>
    <row r="446" customFormat="false" ht="15" hidden="false" customHeight="false" outlineLevel="0" collapsed="false">
      <c r="A446" s="15" t="n">
        <f aca="false">2_Matriz_decision!A445</f>
        <v>441</v>
      </c>
      <c r="B446" s="16" t="n">
        <f aca="false">2_Matriz_decision!B445</f>
        <v>44.307</v>
      </c>
      <c r="C446" s="21" t="n">
        <f aca="false">2_Matriz_decision!C445/C$5</f>
        <v>0.0439697451539424</v>
      </c>
      <c r="D446" s="21" t="n">
        <f aca="false">2_Matriz_decision!D445/D$5</f>
        <v>0.0418648306977948</v>
      </c>
      <c r="E446" s="21" t="n">
        <f aca="false">2_Matriz_decision!E445/E$5</f>
        <v>0.0500902437313038</v>
      </c>
      <c r="F446" s="21" t="n">
        <f aca="false">2_Matriz_decision!F445/F$5</f>
        <v>0.0296434583364376</v>
      </c>
      <c r="G446" s="21" t="n">
        <f aca="false">2_Matriz_decision!G445/G$5</f>
        <v>0.0411149420220302</v>
      </c>
      <c r="H446" s="21" t="n">
        <f aca="false">2_Matriz_decision!H445/H$5</f>
        <v>0.0256178772689507</v>
      </c>
      <c r="I446" s="21" t="n">
        <f aca="false">2_Matriz_decision!I445/I$5</f>
        <v>0.0592738965965849</v>
      </c>
      <c r="J446" s="21" t="n">
        <f aca="false">2_Matriz_decision!J445/J$5</f>
        <v>0.0351992440847949</v>
      </c>
      <c r="K446" s="21" t="n">
        <f aca="false">2_Matriz_decision!K445/K$5</f>
        <v>0.039014903418414</v>
      </c>
      <c r="L446" s="21" t="n">
        <f aca="false">2_Matriz_decision!L445/L$5</f>
        <v>0.0271037989440078</v>
      </c>
      <c r="M446" s="21" t="n">
        <f aca="false">2_Matriz_decision!M445/M$5</f>
        <v>0.0367532032954648</v>
      </c>
      <c r="N446" s="21" t="n">
        <f aca="false">2_Matriz_decision!N445/N$5</f>
        <v>0.0448392173876134</v>
      </c>
      <c r="O446" s="21" t="n">
        <f aca="false">2_Matriz_decision!O445/O$5</f>
        <v>0.0304431282773992</v>
      </c>
      <c r="P446" s="21" t="n">
        <f aca="false">2_Matriz_decision!P445/P$5</f>
        <v>0.0529441535179372</v>
      </c>
      <c r="Q446" s="21" t="n">
        <f aca="false">2_Matriz_decision!Q445/Q$5</f>
        <v>0.0133893885620924</v>
      </c>
    </row>
    <row r="447" customFormat="false" ht="15" hidden="false" customHeight="false" outlineLevel="0" collapsed="false">
      <c r="A447" s="15" t="n">
        <f aca="false">2_Matriz_decision!A446</f>
        <v>442</v>
      </c>
      <c r="B447" s="16" t="n">
        <f aca="false">2_Matriz_decision!B446</f>
        <v>44.407</v>
      </c>
      <c r="C447" s="21" t="n">
        <f aca="false">2_Matriz_decision!C446/C$5</f>
        <v>0.0351757961231539</v>
      </c>
      <c r="D447" s="21" t="n">
        <f aca="false">2_Matriz_decision!D446/D$5</f>
        <v>0.0418648306977948</v>
      </c>
      <c r="E447" s="21" t="n">
        <f aca="false">2_Matriz_decision!E446/E$5</f>
        <v>0.0500902437313038</v>
      </c>
      <c r="F447" s="21" t="n">
        <f aca="false">2_Matriz_decision!F446/F$5</f>
        <v>0.0197623055576251</v>
      </c>
      <c r="G447" s="21" t="n">
        <f aca="false">2_Matriz_decision!G446/G$5</f>
        <v>0.0411149420220302</v>
      </c>
      <c r="H447" s="21" t="n">
        <f aca="false">2_Matriz_decision!H446/H$5</f>
        <v>0.0256178772689507</v>
      </c>
      <c r="I447" s="21" t="n">
        <f aca="false">2_Matriz_decision!I446/I$5</f>
        <v>0.0740923707457312</v>
      </c>
      <c r="J447" s="21" t="n">
        <f aca="false">2_Matriz_decision!J446/J$5</f>
        <v>0.0351992440847949</v>
      </c>
      <c r="K447" s="21" t="n">
        <f aca="false">2_Matriz_decision!K446/K$5</f>
        <v>0.039014903418414</v>
      </c>
      <c r="L447" s="21" t="n">
        <f aca="false">2_Matriz_decision!L446/L$5</f>
        <v>0.0345917749719527</v>
      </c>
      <c r="M447" s="21" t="n">
        <f aca="false">2_Matriz_decision!M446/M$5</f>
        <v>0.038355011073596</v>
      </c>
      <c r="N447" s="21" t="n">
        <f aca="false">2_Matriz_decision!N446/N$5</f>
        <v>0.0448392173876134</v>
      </c>
      <c r="O447" s="21" t="n">
        <f aca="false">2_Matriz_decision!O446/O$5</f>
        <v>0.0304431282773992</v>
      </c>
      <c r="P447" s="21" t="n">
        <f aca="false">2_Matriz_decision!P446/P$5</f>
        <v>0.0529441535179372</v>
      </c>
      <c r="Q447" s="21" t="n">
        <f aca="false">2_Matriz_decision!Q446/Q$5</f>
        <v>0.0133893885620924</v>
      </c>
    </row>
    <row r="448" customFormat="false" ht="15" hidden="false" customHeight="false" outlineLevel="0" collapsed="false">
      <c r="A448" s="15" t="n">
        <f aca="false">2_Matriz_decision!A447</f>
        <v>443</v>
      </c>
      <c r="B448" s="16" t="n">
        <f aca="false">2_Matriz_decision!B447</f>
        <v>44.506</v>
      </c>
      <c r="C448" s="21" t="n">
        <f aca="false">2_Matriz_decision!C447/C$5</f>
        <v>0.0439697451539424</v>
      </c>
      <c r="D448" s="21" t="n">
        <f aca="false">2_Matriz_decision!D447/D$5</f>
        <v>0.0418648306977948</v>
      </c>
      <c r="E448" s="21" t="n">
        <f aca="false">2_Matriz_decision!E447/E$5</f>
        <v>0.0500902437313038</v>
      </c>
      <c r="F448" s="21" t="n">
        <f aca="false">2_Matriz_decision!F447/F$5</f>
        <v>0.0296434583364376</v>
      </c>
      <c r="G448" s="21" t="n">
        <f aca="false">2_Matriz_decision!G447/G$5</f>
        <v>0.0411149420220302</v>
      </c>
      <c r="H448" s="21" t="n">
        <f aca="false">2_Matriz_decision!H447/H$5</f>
        <v>0.0256178772689507</v>
      </c>
      <c r="I448" s="21" t="n">
        <f aca="false">2_Matriz_decision!I447/I$5</f>
        <v>0.0592738965965849</v>
      </c>
      <c r="J448" s="21" t="n">
        <f aca="false">2_Matriz_decision!J447/J$5</f>
        <v>0.0351992440847949</v>
      </c>
      <c r="K448" s="21" t="n">
        <f aca="false">2_Matriz_decision!K447/K$5</f>
        <v>0.039014903418414</v>
      </c>
      <c r="L448" s="21" t="n">
        <f aca="false">2_Matriz_decision!L447/L$5</f>
        <v>0.035327201188983</v>
      </c>
      <c r="M448" s="21" t="n">
        <f aca="false">2_Matriz_decision!M447/M$5</f>
        <v>0.0388631707825204</v>
      </c>
      <c r="N448" s="21" t="n">
        <f aca="false">2_Matriz_decision!N447/N$5</f>
        <v>0.0448392173876134</v>
      </c>
      <c r="O448" s="21" t="n">
        <f aca="false">2_Matriz_decision!O447/O$5</f>
        <v>0.0304431282773992</v>
      </c>
      <c r="P448" s="21" t="n">
        <f aca="false">2_Matriz_decision!P447/P$5</f>
        <v>0.0529441535179372</v>
      </c>
      <c r="Q448" s="21" t="n">
        <f aca="false">2_Matriz_decision!Q447/Q$5</f>
        <v>0.0133893885620924</v>
      </c>
    </row>
    <row r="449" customFormat="false" ht="15" hidden="false" customHeight="false" outlineLevel="0" collapsed="false">
      <c r="A449" s="15" t="n">
        <f aca="false">2_Matriz_decision!A448</f>
        <v>444</v>
      </c>
      <c r="B449" s="16" t="n">
        <f aca="false">2_Matriz_decision!B448</f>
        <v>44.606</v>
      </c>
      <c r="C449" s="21" t="n">
        <f aca="false">2_Matriz_decision!C448/C$5</f>
        <v>0.0439697451539424</v>
      </c>
      <c r="D449" s="21" t="n">
        <f aca="false">2_Matriz_decision!D448/D$5</f>
        <v>0.0418648306977948</v>
      </c>
      <c r="E449" s="21" t="n">
        <f aca="false">2_Matriz_decision!E448/E$5</f>
        <v>0.0500902437313038</v>
      </c>
      <c r="F449" s="21" t="n">
        <f aca="false">2_Matriz_decision!F448/F$5</f>
        <v>0.0395246111152501</v>
      </c>
      <c r="G449" s="21" t="n">
        <f aca="false">2_Matriz_decision!G448/G$5</f>
        <v>0.0411149420220302</v>
      </c>
      <c r="H449" s="21" t="n">
        <f aca="false">2_Matriz_decision!H448/H$5</f>
        <v>0.0256178772689507</v>
      </c>
      <c r="I449" s="21" t="n">
        <f aca="false">2_Matriz_decision!I448/I$5</f>
        <v>0.0444554224474387</v>
      </c>
      <c r="J449" s="21" t="n">
        <f aca="false">2_Matriz_decision!J448/J$5</f>
        <v>0.0351992440847949</v>
      </c>
      <c r="K449" s="21" t="n">
        <f aca="false">2_Matriz_decision!K448/K$5</f>
        <v>0.039014903418414</v>
      </c>
      <c r="L449" s="21" t="n">
        <f aca="false">2_Matriz_decision!L448/L$5</f>
        <v>0.0276252829888111</v>
      </c>
      <c r="M449" s="21" t="n">
        <f aca="false">2_Matriz_decision!M448/M$5</f>
        <v>0.0399236780011451</v>
      </c>
      <c r="N449" s="21" t="n">
        <f aca="false">2_Matriz_decision!N448/N$5</f>
        <v>0.0448392173876134</v>
      </c>
      <c r="O449" s="21" t="n">
        <f aca="false">2_Matriz_decision!O448/O$5</f>
        <v>0.0304431282773992</v>
      </c>
      <c r="P449" s="21" t="n">
        <f aca="false">2_Matriz_decision!P448/P$5</f>
        <v>0.0529441535179372</v>
      </c>
      <c r="Q449" s="21" t="n">
        <f aca="false">2_Matriz_decision!Q448/Q$5</f>
        <v>0.0133893885620924</v>
      </c>
    </row>
    <row r="450" customFormat="false" ht="15" hidden="false" customHeight="false" outlineLevel="0" collapsed="false">
      <c r="A450" s="15" t="n">
        <f aca="false">2_Matriz_decision!A449</f>
        <v>445</v>
      </c>
      <c r="B450" s="16" t="n">
        <f aca="false">2_Matriz_decision!B449</f>
        <v>44.704</v>
      </c>
      <c r="C450" s="21" t="n">
        <f aca="false">2_Matriz_decision!C449/C$5</f>
        <v>0.0439697451539424</v>
      </c>
      <c r="D450" s="21" t="n">
        <f aca="false">2_Matriz_decision!D449/D$5</f>
        <v>0.0418648306977948</v>
      </c>
      <c r="E450" s="21" t="n">
        <f aca="false">2_Matriz_decision!E449/E$5</f>
        <v>0.0500902437313038</v>
      </c>
      <c r="F450" s="21" t="n">
        <f aca="false">2_Matriz_decision!F449/F$5</f>
        <v>0.0296434583364376</v>
      </c>
      <c r="G450" s="21" t="n">
        <f aca="false">2_Matriz_decision!G449/G$5</f>
        <v>0.0411149420220302</v>
      </c>
      <c r="H450" s="21" t="n">
        <f aca="false">2_Matriz_decision!H449/H$5</f>
        <v>0.0256178772689507</v>
      </c>
      <c r="I450" s="21" t="n">
        <f aca="false">2_Matriz_decision!I449/I$5</f>
        <v>0.0740923707457312</v>
      </c>
      <c r="J450" s="21" t="n">
        <f aca="false">2_Matriz_decision!J449/J$5</f>
        <v>0.0351992440847949</v>
      </c>
      <c r="K450" s="21" t="n">
        <f aca="false">2_Matriz_decision!K449/K$5</f>
        <v>0.039014903418414</v>
      </c>
      <c r="L450" s="21" t="n">
        <f aca="false">2_Matriz_decision!L449/L$5</f>
        <v>0.0318907550475869</v>
      </c>
      <c r="M450" s="21" t="n">
        <f aca="false">2_Matriz_decision!M449/M$5</f>
        <v>0.039746926798041</v>
      </c>
      <c r="N450" s="21" t="n">
        <f aca="false">2_Matriz_decision!N449/N$5</f>
        <v>0.0448392173876134</v>
      </c>
      <c r="O450" s="21" t="n">
        <f aca="false">2_Matriz_decision!O449/O$5</f>
        <v>0.0304431282773992</v>
      </c>
      <c r="P450" s="21" t="n">
        <f aca="false">2_Matriz_decision!P449/P$5</f>
        <v>0.0529441535179372</v>
      </c>
      <c r="Q450" s="21" t="n">
        <f aca="false">2_Matriz_decision!Q449/Q$5</f>
        <v>0.0133893885620924</v>
      </c>
    </row>
    <row r="451" customFormat="false" ht="15" hidden="false" customHeight="false" outlineLevel="0" collapsed="false">
      <c r="A451" s="15" t="n">
        <f aca="false">2_Matriz_decision!A450</f>
        <v>446</v>
      </c>
      <c r="B451" s="16" t="n">
        <f aca="false">2_Matriz_decision!B450</f>
        <v>44.803</v>
      </c>
      <c r="C451" s="21" t="n">
        <f aca="false">2_Matriz_decision!C450/C$5</f>
        <v>0.0439697451539424</v>
      </c>
      <c r="D451" s="21" t="n">
        <f aca="false">2_Matriz_decision!D450/D$5</f>
        <v>0.0418648306977948</v>
      </c>
      <c r="E451" s="21" t="n">
        <f aca="false">2_Matriz_decision!E450/E$5</f>
        <v>0.0400721949850431</v>
      </c>
      <c r="F451" s="21" t="n">
        <f aca="false">2_Matriz_decision!F450/F$5</f>
        <v>0.0296434583364376</v>
      </c>
      <c r="G451" s="21" t="n">
        <f aca="false">2_Matriz_decision!G450/G$5</f>
        <v>0.0411149420220302</v>
      </c>
      <c r="H451" s="21" t="n">
        <f aca="false">2_Matriz_decision!H450/H$5</f>
        <v>0.0256178772689507</v>
      </c>
      <c r="I451" s="21" t="n">
        <f aca="false">2_Matriz_decision!I450/I$5</f>
        <v>0.0444554224474387</v>
      </c>
      <c r="J451" s="21" t="n">
        <f aca="false">2_Matriz_decision!J450/J$5</f>
        <v>0.0351992440847949</v>
      </c>
      <c r="K451" s="21" t="n">
        <f aca="false">2_Matriz_decision!K450/K$5</f>
        <v>0.039014903418414</v>
      </c>
      <c r="L451" s="21" t="n">
        <f aca="false">2_Matriz_decision!L450/L$5</f>
        <v>0.03340172163894</v>
      </c>
      <c r="M451" s="21" t="n">
        <f aca="false">2_Matriz_decision!M450/M$5</f>
        <v>0.0405975419629796</v>
      </c>
      <c r="N451" s="21" t="n">
        <f aca="false">2_Matriz_decision!N450/N$5</f>
        <v>0.0448392173876134</v>
      </c>
      <c r="O451" s="21" t="n">
        <f aca="false">2_Matriz_decision!O450/O$5</f>
        <v>0.0304431282773992</v>
      </c>
      <c r="P451" s="21" t="n">
        <f aca="false">2_Matriz_decision!P450/P$5</f>
        <v>0.0529441535179372</v>
      </c>
      <c r="Q451" s="21" t="n">
        <f aca="false">2_Matriz_decision!Q450/Q$5</f>
        <v>0.0133893885620924</v>
      </c>
    </row>
    <row r="452" customFormat="false" ht="15" hidden="false" customHeight="false" outlineLevel="0" collapsed="false">
      <c r="A452" s="15" t="n">
        <f aca="false">2_Matriz_decision!A451</f>
        <v>447</v>
      </c>
      <c r="B452" s="16" t="n">
        <f aca="false">2_Matriz_decision!B451</f>
        <v>44.902</v>
      </c>
      <c r="C452" s="21" t="n">
        <f aca="false">2_Matriz_decision!C451/C$5</f>
        <v>0.0439697451539424</v>
      </c>
      <c r="D452" s="21" t="n">
        <f aca="false">2_Matriz_decision!D451/D$5</f>
        <v>0.0418648306977948</v>
      </c>
      <c r="E452" s="21" t="n">
        <f aca="false">2_Matriz_decision!E451/E$5</f>
        <v>0.0400721949850431</v>
      </c>
      <c r="F452" s="21" t="n">
        <f aca="false">2_Matriz_decision!F451/F$5</f>
        <v>0.0296434583364376</v>
      </c>
      <c r="G452" s="21" t="n">
        <f aca="false">2_Matriz_decision!G451/G$5</f>
        <v>0.0411149420220302</v>
      </c>
      <c r="H452" s="21" t="n">
        <f aca="false">2_Matriz_decision!H451/H$5</f>
        <v>0.0256178772689507</v>
      </c>
      <c r="I452" s="21" t="n">
        <f aca="false">2_Matriz_decision!I451/I$5</f>
        <v>0.0296369482982925</v>
      </c>
      <c r="J452" s="21" t="n">
        <f aca="false">2_Matriz_decision!J451/J$5</f>
        <v>0.0351992440847949</v>
      </c>
      <c r="K452" s="21" t="n">
        <f aca="false">2_Matriz_decision!K451/K$5</f>
        <v>0.039014903418414</v>
      </c>
      <c r="L452" s="21" t="n">
        <f aca="false">2_Matriz_decision!L451/L$5</f>
        <v>0.0356748572188519</v>
      </c>
      <c r="M452" s="21" t="n">
        <f aca="false">2_Matriz_decision!M451/M$5</f>
        <v>0.0426633216492591</v>
      </c>
      <c r="N452" s="21" t="n">
        <f aca="false">2_Matriz_decision!N451/N$5</f>
        <v>0.0448392173876134</v>
      </c>
      <c r="O452" s="21" t="n">
        <f aca="false">2_Matriz_decision!O451/O$5</f>
        <v>0.0304431282773992</v>
      </c>
      <c r="P452" s="21" t="n">
        <f aca="false">2_Matriz_decision!P451/P$5</f>
        <v>0.0529441535179372</v>
      </c>
      <c r="Q452" s="21" t="n">
        <f aca="false">2_Matriz_decision!Q451/Q$5</f>
        <v>0.0133893885620924</v>
      </c>
    </row>
    <row r="453" customFormat="false" ht="15" hidden="false" customHeight="false" outlineLevel="0" collapsed="false">
      <c r="A453" s="15" t="n">
        <f aca="false">2_Matriz_decision!A452</f>
        <v>448</v>
      </c>
      <c r="B453" s="16" t="n">
        <f aca="false">2_Matriz_decision!B452</f>
        <v>45.001</v>
      </c>
      <c r="C453" s="21" t="n">
        <f aca="false">2_Matriz_decision!C452/C$5</f>
        <v>0.0439697451539424</v>
      </c>
      <c r="D453" s="21" t="n">
        <f aca="false">2_Matriz_decision!D452/D$5</f>
        <v>0.0418648306977948</v>
      </c>
      <c r="E453" s="21" t="n">
        <f aca="false">2_Matriz_decision!E452/E$5</f>
        <v>0.0400721949850431</v>
      </c>
      <c r="F453" s="21" t="n">
        <f aca="false">2_Matriz_decision!F452/F$5</f>
        <v>0.0296434583364376</v>
      </c>
      <c r="G453" s="21" t="n">
        <f aca="false">2_Matriz_decision!G452/G$5</f>
        <v>0.0411149420220302</v>
      </c>
      <c r="H453" s="21" t="n">
        <f aca="false">2_Matriz_decision!H452/H$5</f>
        <v>0.0256178772689507</v>
      </c>
      <c r="I453" s="21" t="n">
        <f aca="false">2_Matriz_decision!I452/I$5</f>
        <v>0.0444554224474387</v>
      </c>
      <c r="J453" s="21" t="n">
        <f aca="false">2_Matriz_decision!J452/J$5</f>
        <v>0.0351992440847949</v>
      </c>
      <c r="K453" s="21" t="n">
        <f aca="false">2_Matriz_decision!K452/K$5</f>
        <v>0.039014903418414</v>
      </c>
      <c r="L453" s="21" t="n">
        <f aca="false">2_Matriz_decision!L452/L$5</f>
        <v>0.0355277719754458</v>
      </c>
      <c r="M453" s="21" t="n">
        <f aca="false">2_Matriz_decision!M452/M$5</f>
        <v>0.0441878007760322</v>
      </c>
      <c r="N453" s="21" t="n">
        <f aca="false">2_Matriz_decision!N452/N$5</f>
        <v>0.0448392173876134</v>
      </c>
      <c r="O453" s="21" t="n">
        <f aca="false">2_Matriz_decision!O452/O$5</f>
        <v>0.0304431282773992</v>
      </c>
      <c r="P453" s="21" t="n">
        <f aca="false">2_Matriz_decision!P452/P$5</f>
        <v>0.0529441535179372</v>
      </c>
      <c r="Q453" s="21" t="n">
        <f aca="false">2_Matriz_decision!Q452/Q$5</f>
        <v>0.0133893885620924</v>
      </c>
    </row>
    <row r="454" customFormat="false" ht="15" hidden="false" customHeight="false" outlineLevel="0" collapsed="false">
      <c r="A454" s="15" t="n">
        <f aca="false">2_Matriz_decision!A453</f>
        <v>449</v>
      </c>
      <c r="B454" s="16" t="n">
        <f aca="false">2_Matriz_decision!B453</f>
        <v>45.101</v>
      </c>
      <c r="C454" s="21" t="n">
        <f aca="false">2_Matriz_decision!C453/C$5</f>
        <v>0.0439697451539424</v>
      </c>
      <c r="D454" s="21" t="n">
        <f aca="false">2_Matriz_decision!D453/D$5</f>
        <v>0.0418648306977948</v>
      </c>
      <c r="E454" s="21" t="n">
        <f aca="false">2_Matriz_decision!E453/E$5</f>
        <v>0.0400721949850431</v>
      </c>
      <c r="F454" s="21" t="n">
        <f aca="false">2_Matriz_decision!F453/F$5</f>
        <v>0.0197623055576251</v>
      </c>
      <c r="G454" s="21" t="n">
        <f aca="false">2_Matriz_decision!G453/G$5</f>
        <v>0.0411149420220302</v>
      </c>
      <c r="H454" s="21" t="n">
        <f aca="false">2_Matriz_decision!H453/H$5</f>
        <v>0.0256178772689507</v>
      </c>
      <c r="I454" s="21" t="n">
        <f aca="false">2_Matriz_decision!I453/I$5</f>
        <v>0.0444554224474387</v>
      </c>
      <c r="J454" s="21" t="n">
        <f aca="false">2_Matriz_decision!J453/J$5</f>
        <v>0.0351992440847949</v>
      </c>
      <c r="K454" s="21" t="n">
        <f aca="false">2_Matriz_decision!K453/K$5</f>
        <v>0.039014903418414</v>
      </c>
      <c r="L454" s="21" t="n">
        <f aca="false">2_Matriz_decision!L453/L$5</f>
        <v>0.038108449427934</v>
      </c>
      <c r="M454" s="21" t="n">
        <f aca="false">2_Matriz_decision!M453/M$5</f>
        <v>0.0424092417947969</v>
      </c>
      <c r="N454" s="21" t="n">
        <f aca="false">2_Matriz_decision!N453/N$5</f>
        <v>0.0448392173876134</v>
      </c>
      <c r="O454" s="21" t="n">
        <f aca="false">2_Matriz_decision!O453/O$5</f>
        <v>0.0304431282773992</v>
      </c>
      <c r="P454" s="21" t="n">
        <f aca="false">2_Matriz_decision!P453/P$5</f>
        <v>0.0529441535179372</v>
      </c>
      <c r="Q454" s="21" t="n">
        <f aca="false">2_Matriz_decision!Q453/Q$5</f>
        <v>0.0133893885620924</v>
      </c>
    </row>
    <row r="455" customFormat="false" ht="15" hidden="false" customHeight="false" outlineLevel="0" collapsed="false">
      <c r="A455" s="15" t="n">
        <f aca="false">2_Matriz_decision!A454</f>
        <v>450</v>
      </c>
      <c r="B455" s="16" t="n">
        <f aca="false">2_Matriz_decision!B454</f>
        <v>45.2</v>
      </c>
      <c r="C455" s="21" t="n">
        <f aca="false">2_Matriz_decision!C454/C$5</f>
        <v>0.0439697451539424</v>
      </c>
      <c r="D455" s="21" t="n">
        <f aca="false">2_Matriz_decision!D454/D$5</f>
        <v>0.0418648306977948</v>
      </c>
      <c r="E455" s="21" t="n">
        <f aca="false">2_Matriz_decision!E454/E$5</f>
        <v>0.0500902437313038</v>
      </c>
      <c r="F455" s="21" t="n">
        <f aca="false">2_Matriz_decision!F454/F$5</f>
        <v>0.0197623055576251</v>
      </c>
      <c r="G455" s="21" t="n">
        <f aca="false">2_Matriz_decision!G454/G$5</f>
        <v>0.0411149420220302</v>
      </c>
      <c r="H455" s="21" t="n">
        <f aca="false">2_Matriz_decision!H454/H$5</f>
        <v>0.0256178772689507</v>
      </c>
      <c r="I455" s="21" t="n">
        <f aca="false">2_Matriz_decision!I454/I$5</f>
        <v>0.0740923707457312</v>
      </c>
      <c r="J455" s="21" t="n">
        <f aca="false">2_Matriz_decision!J454/J$5</f>
        <v>0.0351992440847949</v>
      </c>
      <c r="K455" s="21" t="n">
        <f aca="false">2_Matriz_decision!K454/K$5</f>
        <v>0.039014903418414</v>
      </c>
      <c r="L455" s="21" t="n">
        <f aca="false">2_Matriz_decision!L454/L$5</f>
        <v>0.0362364554209478</v>
      </c>
      <c r="M455" s="21" t="n">
        <f aca="false">2_Matriz_decision!M454/M$5</f>
        <v>0.0381672129202978</v>
      </c>
      <c r="N455" s="21" t="n">
        <f aca="false">2_Matriz_decision!N454/N$5</f>
        <v>0.0448392173876134</v>
      </c>
      <c r="O455" s="21" t="n">
        <f aca="false">2_Matriz_decision!O454/O$5</f>
        <v>0.0304431282773992</v>
      </c>
      <c r="P455" s="21" t="n">
        <f aca="false">2_Matriz_decision!P454/P$5</f>
        <v>0.0529441535179372</v>
      </c>
      <c r="Q455" s="21" t="n">
        <f aca="false">2_Matriz_decision!Q454/Q$5</f>
        <v>0.0133893885620924</v>
      </c>
    </row>
    <row r="456" customFormat="false" ht="15" hidden="false" customHeight="false" outlineLevel="0" collapsed="false">
      <c r="A456" s="15" t="n">
        <f aca="false">2_Matriz_decision!A455</f>
        <v>451</v>
      </c>
      <c r="B456" s="16" t="n">
        <f aca="false">2_Matriz_decision!B455</f>
        <v>45.3</v>
      </c>
      <c r="C456" s="21" t="n">
        <f aca="false">2_Matriz_decision!C455/C$5</f>
        <v>0.0439697451539424</v>
      </c>
      <c r="D456" s="21" t="n">
        <f aca="false">2_Matriz_decision!D455/D$5</f>
        <v>0.0418648306977948</v>
      </c>
      <c r="E456" s="21" t="n">
        <f aca="false">2_Matriz_decision!E455/E$5</f>
        <v>0.0500902437313038</v>
      </c>
      <c r="F456" s="21" t="n">
        <f aca="false">2_Matriz_decision!F455/F$5</f>
        <v>0.0296434583364376</v>
      </c>
      <c r="G456" s="21" t="n">
        <f aca="false">2_Matriz_decision!G455/G$5</f>
        <v>0.0411149420220302</v>
      </c>
      <c r="H456" s="21" t="n">
        <f aca="false">2_Matriz_decision!H455/H$5</f>
        <v>0.0256178772689507</v>
      </c>
      <c r="I456" s="21" t="n">
        <f aca="false">2_Matriz_decision!I455/I$5</f>
        <v>0.0444554224474387</v>
      </c>
      <c r="J456" s="21" t="n">
        <f aca="false">2_Matriz_decision!J455/J$5</f>
        <v>0.0351992440847949</v>
      </c>
      <c r="K456" s="21" t="n">
        <f aca="false">2_Matriz_decision!K455/K$5</f>
        <v>0.039014903418414</v>
      </c>
      <c r="L456" s="21" t="n">
        <f aca="false">2_Matriz_decision!L455/L$5</f>
        <v>0.0268497426144882</v>
      </c>
      <c r="M456" s="21" t="n">
        <f aca="false">2_Matriz_decision!M455/M$5</f>
        <v>0.0391282975871765</v>
      </c>
      <c r="N456" s="21" t="n">
        <f aca="false">2_Matriz_decision!N455/N$5</f>
        <v>0.0448392173876134</v>
      </c>
      <c r="O456" s="21" t="n">
        <f aca="false">2_Matriz_decision!O455/O$5</f>
        <v>0.0304431282773992</v>
      </c>
      <c r="P456" s="21" t="n">
        <f aca="false">2_Matriz_decision!P455/P$5</f>
        <v>0.0529441535179372</v>
      </c>
      <c r="Q456" s="21" t="n">
        <f aca="false">2_Matriz_decision!Q455/Q$5</f>
        <v>0.0133893885620924</v>
      </c>
    </row>
    <row r="457" customFormat="false" ht="15" hidden="false" customHeight="false" outlineLevel="0" collapsed="false">
      <c r="A457" s="15" t="n">
        <f aca="false">2_Matriz_decision!A456</f>
        <v>452</v>
      </c>
      <c r="B457" s="16" t="n">
        <f aca="false">2_Matriz_decision!B456</f>
        <v>45.4</v>
      </c>
      <c r="C457" s="21" t="n">
        <f aca="false">2_Matriz_decision!C456/C$5</f>
        <v>0.0439697451539424</v>
      </c>
      <c r="D457" s="21" t="n">
        <f aca="false">2_Matriz_decision!D456/D$5</f>
        <v>0.0418648306977948</v>
      </c>
      <c r="E457" s="21" t="n">
        <f aca="false">2_Matriz_decision!E456/E$5</f>
        <v>0.0500902437313038</v>
      </c>
      <c r="F457" s="21" t="n">
        <f aca="false">2_Matriz_decision!F456/F$5</f>
        <v>0.0296434583364376</v>
      </c>
      <c r="G457" s="21" t="n">
        <f aca="false">2_Matriz_decision!G456/G$5</f>
        <v>0.0411149420220302</v>
      </c>
      <c r="H457" s="21" t="n">
        <f aca="false">2_Matriz_decision!H456/H$5</f>
        <v>0.0256178772689507</v>
      </c>
      <c r="I457" s="21" t="n">
        <f aca="false">2_Matriz_decision!I456/I$5</f>
        <v>0.0296369482982925</v>
      </c>
      <c r="J457" s="21" t="n">
        <f aca="false">2_Matriz_decision!J456/J$5</f>
        <v>0.0351992440847949</v>
      </c>
      <c r="K457" s="21" t="n">
        <f aca="false">2_Matriz_decision!K456/K$5</f>
        <v>0.039014903418414</v>
      </c>
      <c r="L457" s="21" t="n">
        <f aca="false">2_Matriz_decision!L456/L$5</f>
        <v>0.0249376344502094</v>
      </c>
      <c r="M457" s="21" t="n">
        <f aca="false">2_Matriz_decision!M456/M$5</f>
        <v>0.0362008557857644</v>
      </c>
      <c r="N457" s="21" t="n">
        <f aca="false">2_Matriz_decision!N456/N$5</f>
        <v>0.0448392173876134</v>
      </c>
      <c r="O457" s="21" t="n">
        <f aca="false">2_Matriz_decision!O456/O$5</f>
        <v>0.0304431282773992</v>
      </c>
      <c r="P457" s="21" t="n">
        <f aca="false">2_Matriz_decision!P456/P$5</f>
        <v>0.0529441535179372</v>
      </c>
      <c r="Q457" s="21" t="n">
        <f aca="false">2_Matriz_decision!Q456/Q$5</f>
        <v>0.0401681656862772</v>
      </c>
    </row>
    <row r="458" customFormat="false" ht="15" hidden="false" customHeight="false" outlineLevel="0" collapsed="false">
      <c r="A458" s="15" t="n">
        <f aca="false">2_Matriz_decision!A457</f>
        <v>453</v>
      </c>
      <c r="B458" s="16" t="n">
        <f aca="false">2_Matriz_decision!B457</f>
        <v>45.5</v>
      </c>
      <c r="C458" s="21" t="n">
        <f aca="false">2_Matriz_decision!C457/C$5</f>
        <v>0.0439697451539424</v>
      </c>
      <c r="D458" s="21" t="n">
        <f aca="false">2_Matriz_decision!D457/D$5</f>
        <v>0.0418648306977948</v>
      </c>
      <c r="E458" s="21" t="n">
        <f aca="false">2_Matriz_decision!E457/E$5</f>
        <v>0.0400721949850431</v>
      </c>
      <c r="F458" s="21" t="n">
        <f aca="false">2_Matriz_decision!F457/F$5</f>
        <v>0.0296434583364376</v>
      </c>
      <c r="G458" s="21" t="n">
        <f aca="false">2_Matriz_decision!G457/G$5</f>
        <v>0.0411149420220302</v>
      </c>
      <c r="H458" s="21" t="n">
        <f aca="false">2_Matriz_decision!H457/H$5</f>
        <v>0.0256178772689507</v>
      </c>
      <c r="I458" s="21" t="n">
        <f aca="false">2_Matriz_decision!I457/I$5</f>
        <v>0.0296369482982925</v>
      </c>
      <c r="J458" s="21" t="n">
        <f aca="false">2_Matriz_decision!J457/J$5</f>
        <v>0.0351992440847949</v>
      </c>
      <c r="K458" s="21" t="n">
        <f aca="false">2_Matriz_decision!K457/K$5</f>
        <v>0.039014903418414</v>
      </c>
      <c r="L458" s="21" t="n">
        <f aca="false">2_Matriz_decision!L457/L$5</f>
        <v>0.0254190043377202</v>
      </c>
      <c r="M458" s="21" t="n">
        <f aca="false">2_Matriz_decision!M457/M$5</f>
        <v>0.0396033164455189</v>
      </c>
      <c r="N458" s="21" t="n">
        <f aca="false">2_Matriz_decision!N457/N$5</f>
        <v>0.0448392173876134</v>
      </c>
      <c r="O458" s="21" t="n">
        <f aca="false">2_Matriz_decision!O457/O$5</f>
        <v>0.0304431282773992</v>
      </c>
      <c r="P458" s="21" t="n">
        <f aca="false">2_Matriz_decision!P457/P$5</f>
        <v>0.0529441535179372</v>
      </c>
      <c r="Q458" s="21" t="n">
        <f aca="false">2_Matriz_decision!Q457/Q$5</f>
        <v>0.0133893885620924</v>
      </c>
    </row>
    <row r="459" customFormat="false" ht="15" hidden="false" customHeight="false" outlineLevel="0" collapsed="false">
      <c r="A459" s="15" t="n">
        <f aca="false">2_Matriz_decision!A458</f>
        <v>454</v>
      </c>
      <c r="B459" s="16" t="n">
        <f aca="false">2_Matriz_decision!B458</f>
        <v>45.6</v>
      </c>
      <c r="C459" s="21" t="n">
        <f aca="false">2_Matriz_decision!C458/C$5</f>
        <v>0.0439697451539424</v>
      </c>
      <c r="D459" s="21" t="n">
        <f aca="false">2_Matriz_decision!D458/D$5</f>
        <v>0.0418648306977948</v>
      </c>
      <c r="E459" s="21" t="n">
        <f aca="false">2_Matriz_decision!E458/E$5</f>
        <v>0.0400721949850431</v>
      </c>
      <c r="F459" s="21" t="n">
        <f aca="false">2_Matriz_decision!F458/F$5</f>
        <v>0.0395246111152501</v>
      </c>
      <c r="G459" s="21" t="n">
        <f aca="false">2_Matriz_decision!G458/G$5</f>
        <v>0.0411149420220302</v>
      </c>
      <c r="H459" s="21" t="n">
        <f aca="false">2_Matriz_decision!H458/H$5</f>
        <v>0.0128089386344754</v>
      </c>
      <c r="I459" s="21" t="n">
        <f aca="false">2_Matriz_decision!I458/I$5</f>
        <v>0.0148184741491462</v>
      </c>
      <c r="J459" s="21" t="n">
        <f aca="false">2_Matriz_decision!J458/J$5</f>
        <v>0.0351992440847949</v>
      </c>
      <c r="K459" s="21" t="n">
        <f aca="false">2_Matriz_decision!K458/K$5</f>
        <v>0.039014903418414</v>
      </c>
      <c r="L459" s="21" t="n">
        <f aca="false">2_Matriz_decision!L458/L$5</f>
        <v>0.0297245905537885</v>
      </c>
      <c r="M459" s="21" t="n">
        <f aca="false">2_Matriz_decision!M458/M$5</f>
        <v>0.0441767538258382</v>
      </c>
      <c r="N459" s="21" t="n">
        <f aca="false">2_Matriz_decision!N458/N$5</f>
        <v>0.0448392173876134</v>
      </c>
      <c r="O459" s="21" t="n">
        <f aca="false">2_Matriz_decision!O458/O$5</f>
        <v>0.0304431282773992</v>
      </c>
      <c r="P459" s="21" t="n">
        <f aca="false">2_Matriz_decision!P458/P$5</f>
        <v>0.0529441535179372</v>
      </c>
      <c r="Q459" s="21" t="n">
        <f aca="false">2_Matriz_decision!Q458/Q$5</f>
        <v>0.0133893885620924</v>
      </c>
    </row>
    <row r="460" customFormat="false" ht="15" hidden="false" customHeight="false" outlineLevel="0" collapsed="false">
      <c r="A460" s="15" t="n">
        <f aca="false">2_Matriz_decision!A459</f>
        <v>455</v>
      </c>
      <c r="B460" s="16" t="n">
        <f aca="false">2_Matriz_decision!B459</f>
        <v>45.7</v>
      </c>
      <c r="C460" s="21" t="n">
        <f aca="false">2_Matriz_decision!C459/C$5</f>
        <v>0.0439697451539424</v>
      </c>
      <c r="D460" s="21" t="n">
        <f aca="false">2_Matriz_decision!D459/D$5</f>
        <v>0.0418648306977948</v>
      </c>
      <c r="E460" s="21" t="n">
        <f aca="false">2_Matriz_decision!E459/E$5</f>
        <v>0.0400721949850431</v>
      </c>
      <c r="F460" s="21" t="n">
        <f aca="false">2_Matriz_decision!F459/F$5</f>
        <v>0.0395246111152501</v>
      </c>
      <c r="G460" s="21" t="n">
        <f aca="false">2_Matriz_decision!G459/G$5</f>
        <v>0.0411149420220302</v>
      </c>
      <c r="H460" s="21" t="n">
        <f aca="false">2_Matriz_decision!H459/H$5</f>
        <v>0.0128089386344754</v>
      </c>
      <c r="I460" s="21" t="n">
        <f aca="false">2_Matriz_decision!I459/I$5</f>
        <v>0.0296369482982925</v>
      </c>
      <c r="J460" s="21" t="n">
        <f aca="false">2_Matriz_decision!J459/J$5</f>
        <v>0.0351992440847949</v>
      </c>
      <c r="K460" s="21" t="n">
        <f aca="false">2_Matriz_decision!K459/K$5</f>
        <v>0.039014903418414</v>
      </c>
      <c r="L460" s="21" t="n">
        <f aca="false">2_Matriz_decision!L459/L$5</f>
        <v>0.028975792950994</v>
      </c>
      <c r="M460" s="21" t="n">
        <f aca="false">2_Matriz_decision!M459/M$5</f>
        <v>0.0412051242236501</v>
      </c>
      <c r="N460" s="21" t="n">
        <f aca="false">2_Matriz_decision!N459/N$5</f>
        <v>0.0448392173876134</v>
      </c>
      <c r="O460" s="21" t="n">
        <f aca="false">2_Matriz_decision!O459/O$5</f>
        <v>0.0304431282773992</v>
      </c>
      <c r="P460" s="21" t="n">
        <f aca="false">2_Matriz_decision!P459/P$5</f>
        <v>0.0529441535179372</v>
      </c>
      <c r="Q460" s="21" t="n">
        <f aca="false">2_Matriz_decision!Q459/Q$5</f>
        <v>0.0133893885620924</v>
      </c>
    </row>
    <row r="461" customFormat="false" ht="15" hidden="false" customHeight="false" outlineLevel="0" collapsed="false">
      <c r="A461" s="15" t="n">
        <f aca="false">2_Matriz_decision!A460</f>
        <v>456</v>
      </c>
      <c r="B461" s="16" t="n">
        <f aca="false">2_Matriz_decision!B460</f>
        <v>45.8</v>
      </c>
      <c r="C461" s="21" t="n">
        <f aca="false">2_Matriz_decision!C460/C$5</f>
        <v>0.0439697451539424</v>
      </c>
      <c r="D461" s="21" t="n">
        <f aca="false">2_Matriz_decision!D460/D$5</f>
        <v>0.0418648306977948</v>
      </c>
      <c r="E461" s="21" t="n">
        <f aca="false">2_Matriz_decision!E460/E$5</f>
        <v>0.0400721949850431</v>
      </c>
      <c r="F461" s="21" t="n">
        <f aca="false">2_Matriz_decision!F460/F$5</f>
        <v>0.0296434583364376</v>
      </c>
      <c r="G461" s="21" t="n">
        <f aca="false">2_Matriz_decision!G460/G$5</f>
        <v>0.0411149420220302</v>
      </c>
      <c r="H461" s="21" t="n">
        <f aca="false">2_Matriz_decision!H460/H$5</f>
        <v>0.0128089386344754</v>
      </c>
      <c r="I461" s="21" t="n">
        <f aca="false">2_Matriz_decision!I460/I$5</f>
        <v>0.0296369482982925</v>
      </c>
      <c r="J461" s="21" t="n">
        <f aca="false">2_Matriz_decision!J460/J$5</f>
        <v>0.0351992440847949</v>
      </c>
      <c r="K461" s="21" t="n">
        <f aca="false">2_Matriz_decision!K460/K$5</f>
        <v>0.039014903418414</v>
      </c>
      <c r="L461" s="21" t="n">
        <f aca="false">2_Matriz_decision!L460/L$5</f>
        <v>0.0267160287568463</v>
      </c>
      <c r="M461" s="21" t="n">
        <f aca="false">2_Matriz_decision!M460/M$5</f>
        <v>0.0404870724610395</v>
      </c>
      <c r="N461" s="21" t="n">
        <f aca="false">2_Matriz_decision!N460/N$5</f>
        <v>0.0448392173876134</v>
      </c>
      <c r="O461" s="21" t="n">
        <f aca="false">2_Matriz_decision!O460/O$5</f>
        <v>0.0304431282773992</v>
      </c>
      <c r="P461" s="21" t="n">
        <f aca="false">2_Matriz_decision!P460/P$5</f>
        <v>0.0529441535179372</v>
      </c>
      <c r="Q461" s="21" t="n">
        <f aca="false">2_Matriz_decision!Q460/Q$5</f>
        <v>0.0133893885620924</v>
      </c>
    </row>
    <row r="462" customFormat="false" ht="15" hidden="false" customHeight="false" outlineLevel="0" collapsed="false">
      <c r="A462" s="15" t="n">
        <f aca="false">2_Matriz_decision!A461</f>
        <v>457</v>
      </c>
      <c r="B462" s="16" t="n">
        <f aca="false">2_Matriz_decision!B461</f>
        <v>45.9</v>
      </c>
      <c r="C462" s="21" t="n">
        <f aca="false">2_Matriz_decision!C461/C$5</f>
        <v>0.0439697451539424</v>
      </c>
      <c r="D462" s="21" t="n">
        <f aca="false">2_Matriz_decision!D461/D$5</f>
        <v>0.0418648306977948</v>
      </c>
      <c r="E462" s="21" t="n">
        <f aca="false">2_Matriz_decision!E461/E$5</f>
        <v>0.0400721949850431</v>
      </c>
      <c r="F462" s="21" t="n">
        <f aca="false">2_Matriz_decision!F461/F$5</f>
        <v>0.0395246111152501</v>
      </c>
      <c r="G462" s="21" t="n">
        <f aca="false">2_Matriz_decision!G461/G$5</f>
        <v>0.0411149420220302</v>
      </c>
      <c r="H462" s="21" t="n">
        <f aca="false">2_Matriz_decision!H461/H$5</f>
        <v>0.0128089386344754</v>
      </c>
      <c r="I462" s="21" t="n">
        <f aca="false">2_Matriz_decision!I461/I$5</f>
        <v>0.0148184741491462</v>
      </c>
      <c r="J462" s="21" t="n">
        <f aca="false">2_Matriz_decision!J461/J$5</f>
        <v>0.0351992440847949</v>
      </c>
      <c r="K462" s="21" t="n">
        <f aca="false">2_Matriz_decision!K461/K$5</f>
        <v>0.039014903418414</v>
      </c>
      <c r="L462" s="21" t="n">
        <f aca="false">2_Matriz_decision!L461/L$5</f>
        <v>0.032332010777805</v>
      </c>
      <c r="M462" s="21" t="n">
        <f aca="false">2_Matriz_decision!M461/M$5</f>
        <v>0.0418348003847085</v>
      </c>
      <c r="N462" s="21" t="n">
        <f aca="false">2_Matriz_decision!N461/N$5</f>
        <v>0.0448392173876134</v>
      </c>
      <c r="O462" s="21" t="n">
        <f aca="false">2_Matriz_decision!O461/O$5</f>
        <v>0.0304431282773992</v>
      </c>
      <c r="P462" s="21" t="n">
        <f aca="false">2_Matriz_decision!P461/P$5</f>
        <v>0.0529441535179372</v>
      </c>
      <c r="Q462" s="21" t="n">
        <f aca="false">2_Matriz_decision!Q461/Q$5</f>
        <v>0.0133893885620924</v>
      </c>
    </row>
    <row r="463" customFormat="false" ht="15" hidden="false" customHeight="false" outlineLevel="0" collapsed="false">
      <c r="A463" s="15" t="n">
        <f aca="false">2_Matriz_decision!A462</f>
        <v>458</v>
      </c>
      <c r="B463" s="16" t="n">
        <f aca="false">2_Matriz_decision!B462</f>
        <v>46</v>
      </c>
      <c r="C463" s="21" t="n">
        <f aca="false">2_Matriz_decision!C462/C$5</f>
        <v>0.0439697451539424</v>
      </c>
      <c r="D463" s="21" t="n">
        <f aca="false">2_Matriz_decision!D462/D$5</f>
        <v>0.0418648306977948</v>
      </c>
      <c r="E463" s="21" t="n">
        <f aca="false">2_Matriz_decision!E462/E$5</f>
        <v>0.0400721949850431</v>
      </c>
      <c r="F463" s="21" t="n">
        <f aca="false">2_Matriz_decision!F462/F$5</f>
        <v>0.0395246111152501</v>
      </c>
      <c r="G463" s="21" t="n">
        <f aca="false">2_Matriz_decision!G462/G$5</f>
        <v>0.0411149420220302</v>
      </c>
      <c r="H463" s="21" t="n">
        <f aca="false">2_Matriz_decision!H462/H$5</f>
        <v>0.0128089386344754</v>
      </c>
      <c r="I463" s="21" t="n">
        <f aca="false">2_Matriz_decision!I462/I$5</f>
        <v>0.0148184741491462</v>
      </c>
      <c r="J463" s="21" t="n">
        <f aca="false">2_Matriz_decision!J462/J$5</f>
        <v>0.0351992440847949</v>
      </c>
      <c r="K463" s="21" t="n">
        <f aca="false">2_Matriz_decision!K462/K$5</f>
        <v>0.039014903418414</v>
      </c>
      <c r="L463" s="21" t="n">
        <f aca="false">2_Matriz_decision!L462/L$5</f>
        <v>0.0323854963208618</v>
      </c>
      <c r="M463" s="21" t="n">
        <f aca="false">2_Matriz_decision!M462/M$5</f>
        <v>0.0430168240554674</v>
      </c>
      <c r="N463" s="21" t="n">
        <f aca="false">2_Matriz_decision!N462/N$5</f>
        <v>0.0448392173876134</v>
      </c>
      <c r="O463" s="21" t="n">
        <f aca="false">2_Matriz_decision!O462/O$5</f>
        <v>0.0304431282773992</v>
      </c>
      <c r="P463" s="21" t="n">
        <f aca="false">2_Matriz_decision!P462/P$5</f>
        <v>0.0529441535179372</v>
      </c>
      <c r="Q463" s="21" t="n">
        <f aca="false">2_Matriz_decision!Q462/Q$5</f>
        <v>0.0133893885620924</v>
      </c>
    </row>
    <row r="464" customFormat="false" ht="15" hidden="false" customHeight="false" outlineLevel="0" collapsed="false">
      <c r="A464" s="15" t="n">
        <f aca="false">2_Matriz_decision!A463</f>
        <v>459</v>
      </c>
      <c r="B464" s="16" t="n">
        <f aca="false">2_Matriz_decision!B463</f>
        <v>46.101</v>
      </c>
      <c r="C464" s="21" t="n">
        <f aca="false">2_Matriz_decision!C463/C$5</f>
        <v>0.0439697451539424</v>
      </c>
      <c r="D464" s="21" t="n">
        <f aca="false">2_Matriz_decision!D463/D$5</f>
        <v>0.0418648306977948</v>
      </c>
      <c r="E464" s="21" t="n">
        <f aca="false">2_Matriz_decision!E463/E$5</f>
        <v>0.0400721949850431</v>
      </c>
      <c r="F464" s="21" t="n">
        <f aca="false">2_Matriz_decision!F463/F$5</f>
        <v>0.0395246111152501</v>
      </c>
      <c r="G464" s="21" t="n">
        <f aca="false">2_Matriz_decision!G463/G$5</f>
        <v>0.0411149420220302</v>
      </c>
      <c r="H464" s="21" t="n">
        <f aca="false">2_Matriz_decision!H463/H$5</f>
        <v>0.0128089386344754</v>
      </c>
      <c r="I464" s="21" t="n">
        <f aca="false">2_Matriz_decision!I463/I$5</f>
        <v>0.0148184741491462</v>
      </c>
      <c r="J464" s="21" t="n">
        <f aca="false">2_Matriz_decision!J463/J$5</f>
        <v>0.0351992440847949</v>
      </c>
      <c r="K464" s="21" t="n">
        <f aca="false">2_Matriz_decision!K463/K$5</f>
        <v>0.039014903418414</v>
      </c>
      <c r="L464" s="21" t="n">
        <f aca="false">2_Matriz_decision!L463/L$5</f>
        <v>0.0286415083068893</v>
      </c>
      <c r="M464" s="21" t="n">
        <f aca="false">2_Matriz_decision!M463/M$5</f>
        <v>0.0426080868982891</v>
      </c>
      <c r="N464" s="21" t="n">
        <f aca="false">2_Matriz_decision!N463/N$5</f>
        <v>0.0448392173876134</v>
      </c>
      <c r="O464" s="21" t="n">
        <f aca="false">2_Matriz_decision!O463/O$5</f>
        <v>0.0304431282773992</v>
      </c>
      <c r="P464" s="21" t="n">
        <f aca="false">2_Matriz_decision!P463/P$5</f>
        <v>0.0529441535179372</v>
      </c>
      <c r="Q464" s="21" t="n">
        <f aca="false">2_Matriz_decision!Q463/Q$5</f>
        <v>0.0133893885620924</v>
      </c>
    </row>
    <row r="465" customFormat="false" ht="15" hidden="false" customHeight="false" outlineLevel="0" collapsed="false">
      <c r="A465" s="15" t="n">
        <f aca="false">2_Matriz_decision!A464</f>
        <v>460</v>
      </c>
      <c r="B465" s="16" t="n">
        <f aca="false">2_Matriz_decision!B464</f>
        <v>46.202</v>
      </c>
      <c r="C465" s="21" t="n">
        <f aca="false">2_Matriz_decision!C464/C$5</f>
        <v>0.0439697451539424</v>
      </c>
      <c r="D465" s="21" t="n">
        <f aca="false">2_Matriz_decision!D464/D$5</f>
        <v>0.0418648306977948</v>
      </c>
      <c r="E465" s="21" t="n">
        <f aca="false">2_Matriz_decision!E464/E$5</f>
        <v>0.0500902437313038</v>
      </c>
      <c r="F465" s="21" t="n">
        <f aca="false">2_Matriz_decision!F464/F$5</f>
        <v>0.0197623055576251</v>
      </c>
      <c r="G465" s="21" t="n">
        <f aca="false">2_Matriz_decision!G464/G$5</f>
        <v>0.0411149420220302</v>
      </c>
      <c r="H465" s="21" t="n">
        <f aca="false">2_Matriz_decision!H464/H$5</f>
        <v>0.0128089386344754</v>
      </c>
      <c r="I465" s="21" t="n">
        <f aca="false">2_Matriz_decision!I464/I$5</f>
        <v>0.0296369482982925</v>
      </c>
      <c r="J465" s="21" t="n">
        <f aca="false">2_Matriz_decision!J464/J$5</f>
        <v>0.0351992440847949</v>
      </c>
      <c r="K465" s="21" t="n">
        <f aca="false">2_Matriz_decision!K464/K$5</f>
        <v>0.039014903418414</v>
      </c>
      <c r="L465" s="21" t="n">
        <f aca="false">2_Matriz_decision!L464/L$5</f>
        <v>0.0309948722013863</v>
      </c>
      <c r="M465" s="21" t="n">
        <f aca="false">2_Matriz_decision!M464/M$5</f>
        <v>0.0395480816945489</v>
      </c>
      <c r="N465" s="21" t="n">
        <f aca="false">2_Matriz_decision!N464/N$5</f>
        <v>0.0448392173876134</v>
      </c>
      <c r="O465" s="21" t="n">
        <f aca="false">2_Matriz_decision!O464/O$5</f>
        <v>0.0304431282773992</v>
      </c>
      <c r="P465" s="21" t="n">
        <f aca="false">2_Matriz_decision!P464/P$5</f>
        <v>0.0529441535179372</v>
      </c>
      <c r="Q465" s="21" t="n">
        <f aca="false">2_Matriz_decision!Q464/Q$5</f>
        <v>0.066946942810462</v>
      </c>
    </row>
    <row r="466" customFormat="false" ht="15" hidden="false" customHeight="false" outlineLevel="0" collapsed="false">
      <c r="A466" s="15" t="n">
        <f aca="false">2_Matriz_decision!A465</f>
        <v>461</v>
      </c>
      <c r="B466" s="16" t="n">
        <f aca="false">2_Matriz_decision!B465</f>
        <v>46.303</v>
      </c>
      <c r="C466" s="21" t="n">
        <f aca="false">2_Matriz_decision!C465/C$5</f>
        <v>0.0439697451539424</v>
      </c>
      <c r="D466" s="21" t="n">
        <f aca="false">2_Matriz_decision!D465/D$5</f>
        <v>0.0418648306977948</v>
      </c>
      <c r="E466" s="21" t="n">
        <f aca="false">2_Matriz_decision!E465/E$5</f>
        <v>0.0400721949850431</v>
      </c>
      <c r="F466" s="21" t="n">
        <f aca="false">2_Matriz_decision!F465/F$5</f>
        <v>0.0494057638940627</v>
      </c>
      <c r="G466" s="21" t="n">
        <f aca="false">2_Matriz_decision!G465/G$5</f>
        <v>0.0411149420220302</v>
      </c>
      <c r="H466" s="21" t="n">
        <f aca="false">2_Matriz_decision!H465/H$5</f>
        <v>0.0128089386344754</v>
      </c>
      <c r="I466" s="21" t="n">
        <f aca="false">2_Matriz_decision!I465/I$5</f>
        <v>0.0296369482982925</v>
      </c>
      <c r="J466" s="21" t="n">
        <f aca="false">2_Matriz_decision!J465/J$5</f>
        <v>0.0351992440847949</v>
      </c>
      <c r="K466" s="21" t="n">
        <f aca="false">2_Matriz_decision!K465/K$5</f>
        <v>0.039014903418414</v>
      </c>
      <c r="L466" s="21" t="n">
        <f aca="false">2_Matriz_decision!L465/L$5</f>
        <v>0.0373195376678469</v>
      </c>
      <c r="M466" s="21" t="n">
        <f aca="false">2_Matriz_decision!M465/M$5</f>
        <v>0.0382666354720439</v>
      </c>
      <c r="N466" s="21" t="n">
        <f aca="false">2_Matriz_decision!N465/N$5</f>
        <v>0.0448392173876134</v>
      </c>
      <c r="O466" s="21" t="n">
        <f aca="false">2_Matriz_decision!O465/O$5</f>
        <v>0.0304431282773992</v>
      </c>
      <c r="P466" s="21" t="n">
        <f aca="false">2_Matriz_decision!P465/P$5</f>
        <v>0.0529441535179372</v>
      </c>
      <c r="Q466" s="21" t="n">
        <f aca="false">2_Matriz_decision!Q465/Q$5</f>
        <v>0.066946942810462</v>
      </c>
    </row>
    <row r="467" customFormat="false" ht="15" hidden="false" customHeight="false" outlineLevel="0" collapsed="false">
      <c r="A467" s="15" t="n">
        <f aca="false">2_Matriz_decision!A466</f>
        <v>462</v>
      </c>
      <c r="B467" s="16" t="n">
        <f aca="false">2_Matriz_decision!B466</f>
        <v>46.403</v>
      </c>
      <c r="C467" s="21" t="n">
        <f aca="false">2_Matriz_decision!C466/C$5</f>
        <v>0.0439697451539424</v>
      </c>
      <c r="D467" s="21" t="n">
        <f aca="false">2_Matriz_decision!D466/D$5</f>
        <v>0.0418648306977948</v>
      </c>
      <c r="E467" s="21" t="n">
        <f aca="false">2_Matriz_decision!E466/E$5</f>
        <v>0.0500902437313038</v>
      </c>
      <c r="F467" s="21" t="n">
        <f aca="false">2_Matriz_decision!F466/F$5</f>
        <v>0.0197623055576251</v>
      </c>
      <c r="G467" s="21" t="n">
        <f aca="false">2_Matriz_decision!G466/G$5</f>
        <v>0.0411149420220302</v>
      </c>
      <c r="H467" s="21" t="n">
        <f aca="false">2_Matriz_decision!H466/H$5</f>
        <v>0.0128089386344754</v>
      </c>
      <c r="I467" s="21" t="n">
        <f aca="false">2_Matriz_decision!I466/I$5</f>
        <v>0.0444554224474387</v>
      </c>
      <c r="J467" s="21" t="n">
        <f aca="false">2_Matriz_decision!J466/J$5</f>
        <v>0.0351992440847949</v>
      </c>
      <c r="K467" s="21" t="n">
        <f aca="false">2_Matriz_decision!K466/K$5</f>
        <v>0.039014903418414</v>
      </c>
      <c r="L467" s="21" t="n">
        <f aca="false">2_Matriz_decision!L466/L$5</f>
        <v>0.0381753063567549</v>
      </c>
      <c r="M467" s="21" t="n">
        <f aca="false">2_Matriz_decision!M466/M$5</f>
        <v>0.035681649126646</v>
      </c>
      <c r="N467" s="21" t="n">
        <f aca="false">2_Matriz_decision!N466/N$5</f>
        <v>0.0448392173876134</v>
      </c>
      <c r="O467" s="21" t="n">
        <f aca="false">2_Matriz_decision!O466/O$5</f>
        <v>0.0304431282773992</v>
      </c>
      <c r="P467" s="21" t="n">
        <f aca="false">2_Matriz_decision!P466/P$5</f>
        <v>0.0529441535179372</v>
      </c>
      <c r="Q467" s="21" t="n">
        <f aca="false">2_Matriz_decision!Q466/Q$5</f>
        <v>0.066946942810462</v>
      </c>
    </row>
    <row r="468" customFormat="false" ht="15" hidden="false" customHeight="false" outlineLevel="0" collapsed="false">
      <c r="A468" s="15" t="n">
        <f aca="false">2_Matriz_decision!A467</f>
        <v>463</v>
      </c>
      <c r="B468" s="16" t="n">
        <f aca="false">2_Matriz_decision!B467</f>
        <v>46.503</v>
      </c>
      <c r="C468" s="21" t="n">
        <f aca="false">2_Matriz_decision!C467/C$5</f>
        <v>0.0439697451539424</v>
      </c>
      <c r="D468" s="21" t="n">
        <f aca="false">2_Matriz_decision!D467/D$5</f>
        <v>0.0418648306977948</v>
      </c>
      <c r="E468" s="21" t="n">
        <f aca="false">2_Matriz_decision!E467/E$5</f>
        <v>0.0400721949850431</v>
      </c>
      <c r="F468" s="21" t="n">
        <f aca="false">2_Matriz_decision!F467/F$5</f>
        <v>0.0296434583364376</v>
      </c>
      <c r="G468" s="21" t="n">
        <f aca="false">2_Matriz_decision!G467/G$5</f>
        <v>0.0411149420220302</v>
      </c>
      <c r="H468" s="21" t="n">
        <f aca="false">2_Matriz_decision!H467/H$5</f>
        <v>0.0128089386344754</v>
      </c>
      <c r="I468" s="21" t="n">
        <f aca="false">2_Matriz_decision!I467/I$5</f>
        <v>0.0296369482982925</v>
      </c>
      <c r="J468" s="21" t="n">
        <f aca="false">2_Matriz_decision!J467/J$5</f>
        <v>0.0351992440847949</v>
      </c>
      <c r="K468" s="21" t="n">
        <f aca="false">2_Matriz_decision!K467/K$5</f>
        <v>0.039014903418414</v>
      </c>
      <c r="L468" s="21" t="n">
        <f aca="false">2_Matriz_decision!L467/L$5</f>
        <v>0.0350998876309918</v>
      </c>
      <c r="M468" s="21" t="n">
        <f aca="false">2_Matriz_decision!M467/M$5</f>
        <v>0.0345769541072452</v>
      </c>
      <c r="N468" s="21" t="n">
        <f aca="false">2_Matriz_decision!N467/N$5</f>
        <v>0.0448392173876134</v>
      </c>
      <c r="O468" s="21" t="n">
        <f aca="false">2_Matriz_decision!O467/O$5</f>
        <v>0.0304431282773992</v>
      </c>
      <c r="P468" s="21" t="n">
        <f aca="false">2_Matriz_decision!P467/P$5</f>
        <v>0.0529441535179372</v>
      </c>
      <c r="Q468" s="21" t="n">
        <f aca="false">2_Matriz_decision!Q467/Q$5</f>
        <v>0.066946942810462</v>
      </c>
    </row>
    <row r="469" customFormat="false" ht="15" hidden="false" customHeight="false" outlineLevel="0" collapsed="false">
      <c r="A469" s="15" t="n">
        <f aca="false">2_Matriz_decision!A468</f>
        <v>464</v>
      </c>
      <c r="B469" s="16" t="n">
        <f aca="false">2_Matriz_decision!B468</f>
        <v>46.603</v>
      </c>
      <c r="C469" s="21" t="n">
        <f aca="false">2_Matriz_decision!C468/C$5</f>
        <v>0.0439697451539424</v>
      </c>
      <c r="D469" s="21" t="n">
        <f aca="false">2_Matriz_decision!D468/D$5</f>
        <v>0.0418648306977948</v>
      </c>
      <c r="E469" s="21" t="n">
        <f aca="false">2_Matriz_decision!E468/E$5</f>
        <v>0.0500902437313038</v>
      </c>
      <c r="F469" s="21" t="n">
        <f aca="false">2_Matriz_decision!F468/F$5</f>
        <v>0.0296434583364376</v>
      </c>
      <c r="G469" s="21" t="n">
        <f aca="false">2_Matriz_decision!G468/G$5</f>
        <v>0.0411149420220302</v>
      </c>
      <c r="H469" s="21" t="n">
        <f aca="false">2_Matriz_decision!H468/H$5</f>
        <v>0.0128089386344754</v>
      </c>
      <c r="I469" s="21" t="n">
        <f aca="false">2_Matriz_decision!I468/I$5</f>
        <v>0.0296369482982925</v>
      </c>
      <c r="J469" s="21" t="n">
        <f aca="false">2_Matriz_decision!J468/J$5</f>
        <v>0.0351992440847949</v>
      </c>
      <c r="K469" s="21" t="n">
        <f aca="false">2_Matriz_decision!K468/K$5</f>
        <v>0.039014903418414</v>
      </c>
      <c r="L469" s="21" t="n">
        <f aca="false">2_Matriz_decision!L468/L$5</f>
        <v>0.0409298118241775</v>
      </c>
      <c r="M469" s="21" t="n">
        <f aca="false">2_Matriz_decision!M468/M$5</f>
        <v>0.0335495877392025</v>
      </c>
      <c r="N469" s="21" t="n">
        <f aca="false">2_Matriz_decision!N468/N$5</f>
        <v>0.0448392173876134</v>
      </c>
      <c r="O469" s="21" t="n">
        <f aca="false">2_Matriz_decision!O468/O$5</f>
        <v>0.0304431282773992</v>
      </c>
      <c r="P469" s="21" t="n">
        <f aca="false">2_Matriz_decision!P468/P$5</f>
        <v>0.0529441535179372</v>
      </c>
      <c r="Q469" s="21" t="n">
        <f aca="false">2_Matriz_decision!Q468/Q$5</f>
        <v>0.066946942810462</v>
      </c>
    </row>
    <row r="470" customFormat="false" ht="15" hidden="false" customHeight="false" outlineLevel="0" collapsed="false">
      <c r="A470" s="15" t="n">
        <f aca="false">2_Matriz_decision!A469</f>
        <v>465</v>
      </c>
      <c r="B470" s="16" t="n">
        <f aca="false">2_Matriz_decision!B469</f>
        <v>46.701</v>
      </c>
      <c r="C470" s="21" t="n">
        <f aca="false">2_Matriz_decision!C469/C$5</f>
        <v>0.0439697451539424</v>
      </c>
      <c r="D470" s="21" t="n">
        <f aca="false">2_Matriz_decision!D469/D$5</f>
        <v>0.0418648306977948</v>
      </c>
      <c r="E470" s="21" t="n">
        <f aca="false">2_Matriz_decision!E469/E$5</f>
        <v>0.0500902437313038</v>
      </c>
      <c r="F470" s="21" t="n">
        <f aca="false">2_Matriz_decision!F469/F$5</f>
        <v>0.0197623055576251</v>
      </c>
      <c r="G470" s="21" t="n">
        <f aca="false">2_Matriz_decision!G469/G$5</f>
        <v>0.0411149420220302</v>
      </c>
      <c r="H470" s="21" t="n">
        <f aca="false">2_Matriz_decision!H469/H$5</f>
        <v>0.0128089386344754</v>
      </c>
      <c r="I470" s="21" t="n">
        <f aca="false">2_Matriz_decision!I469/I$5</f>
        <v>0.0592738965965849</v>
      </c>
      <c r="J470" s="21" t="n">
        <f aca="false">2_Matriz_decision!J469/J$5</f>
        <v>0.0351992440847949</v>
      </c>
      <c r="K470" s="21" t="n">
        <f aca="false">2_Matriz_decision!K469/K$5</f>
        <v>0.039014903418414</v>
      </c>
      <c r="L470" s="21" t="n">
        <f aca="false">2_Matriz_decision!L469/L$5</f>
        <v>0.0396327874050513</v>
      </c>
      <c r="M470" s="21" t="n">
        <f aca="false">2_Matriz_decision!M469/M$5</f>
        <v>0.0322018598155335</v>
      </c>
      <c r="N470" s="21" t="n">
        <f aca="false">2_Matriz_decision!N469/N$5</f>
        <v>0.0448392173876134</v>
      </c>
      <c r="O470" s="21" t="n">
        <f aca="false">2_Matriz_decision!O469/O$5</f>
        <v>0.0304431282773992</v>
      </c>
      <c r="P470" s="21" t="n">
        <f aca="false">2_Matriz_decision!P469/P$5</f>
        <v>0.0529441535179372</v>
      </c>
      <c r="Q470" s="21" t="n">
        <f aca="false">2_Matriz_decision!Q469/Q$5</f>
        <v>0.0535575542483696</v>
      </c>
    </row>
    <row r="471" customFormat="false" ht="15" hidden="false" customHeight="false" outlineLevel="0" collapsed="false">
      <c r="A471" s="15" t="n">
        <f aca="false">2_Matriz_decision!A470</f>
        <v>466</v>
      </c>
      <c r="B471" s="16" t="n">
        <f aca="false">2_Matriz_decision!B470</f>
        <v>46.799</v>
      </c>
      <c r="C471" s="21" t="n">
        <f aca="false">2_Matriz_decision!C470/C$5</f>
        <v>0.0439697451539424</v>
      </c>
      <c r="D471" s="21" t="n">
        <f aca="false">2_Matriz_decision!D470/D$5</f>
        <v>0.0418648306977948</v>
      </c>
      <c r="E471" s="21" t="n">
        <f aca="false">2_Matriz_decision!E470/E$5</f>
        <v>0.0500902437313038</v>
      </c>
      <c r="F471" s="21" t="n">
        <f aca="false">2_Matriz_decision!F470/F$5</f>
        <v>0.0197623055576251</v>
      </c>
      <c r="G471" s="21" t="n">
        <f aca="false">2_Matriz_decision!G470/G$5</f>
        <v>0.0411149420220302</v>
      </c>
      <c r="H471" s="21" t="n">
        <f aca="false">2_Matriz_decision!H470/H$5</f>
        <v>0.0128089386344754</v>
      </c>
      <c r="I471" s="21" t="n">
        <f aca="false">2_Matriz_decision!I470/I$5</f>
        <v>0.0740923707457312</v>
      </c>
      <c r="J471" s="21" t="n">
        <f aca="false">2_Matriz_decision!J470/J$5</f>
        <v>0.0351992440847949</v>
      </c>
      <c r="K471" s="21" t="n">
        <f aca="false">2_Matriz_decision!K470/K$5</f>
        <v>0.039014903418414</v>
      </c>
      <c r="L471" s="21" t="n">
        <f aca="false">2_Matriz_decision!L470/L$5</f>
        <v>0.0267294001426105</v>
      </c>
      <c r="M471" s="21" t="n">
        <f aca="false">2_Matriz_decision!M470/M$5</f>
        <v>0.0365101703911966</v>
      </c>
      <c r="N471" s="21" t="n">
        <f aca="false">2_Matriz_decision!N470/N$5</f>
        <v>0.0448392173876134</v>
      </c>
      <c r="O471" s="21" t="n">
        <f aca="false">2_Matriz_decision!O470/O$5</f>
        <v>0.0304431282773992</v>
      </c>
      <c r="P471" s="21" t="n">
        <f aca="false">2_Matriz_decision!P470/P$5</f>
        <v>0.0529441535179372</v>
      </c>
      <c r="Q471" s="21" t="n">
        <f aca="false">2_Matriz_decision!Q470/Q$5</f>
        <v>0.0401681656862772</v>
      </c>
    </row>
    <row r="472" customFormat="false" ht="15" hidden="false" customHeight="false" outlineLevel="0" collapsed="false">
      <c r="A472" s="15" t="n">
        <f aca="false">2_Matriz_decision!A471</f>
        <v>467</v>
      </c>
      <c r="B472" s="16" t="n">
        <f aca="false">2_Matriz_decision!B471</f>
        <v>46.897</v>
      </c>
      <c r="C472" s="21" t="n">
        <f aca="false">2_Matriz_decision!C471/C$5</f>
        <v>0.0439697451539424</v>
      </c>
      <c r="D472" s="21" t="n">
        <f aca="false">2_Matriz_decision!D471/D$5</f>
        <v>0.0418648306977948</v>
      </c>
      <c r="E472" s="21" t="n">
        <f aca="false">2_Matriz_decision!E471/E$5</f>
        <v>0.0400721949850431</v>
      </c>
      <c r="F472" s="21" t="n">
        <f aca="false">2_Matriz_decision!F471/F$5</f>
        <v>0.0494057638940627</v>
      </c>
      <c r="G472" s="21" t="n">
        <f aca="false">2_Matriz_decision!G471/G$5</f>
        <v>0.0411149420220302</v>
      </c>
      <c r="H472" s="21" t="n">
        <f aca="false">2_Matriz_decision!H471/H$5</f>
        <v>0.0128089386344754</v>
      </c>
      <c r="I472" s="21" t="n">
        <f aca="false">2_Matriz_decision!I471/I$5</f>
        <v>0.0444554224474387</v>
      </c>
      <c r="J472" s="21" t="n">
        <f aca="false">2_Matriz_decision!J471/J$5</f>
        <v>0.0351992440847949</v>
      </c>
      <c r="K472" s="21" t="n">
        <f aca="false">2_Matriz_decision!K471/K$5</f>
        <v>0.039014903418414</v>
      </c>
      <c r="L472" s="21" t="n">
        <f aca="false">2_Matriz_decision!L471/L$5</f>
        <v>0.0160055487597323</v>
      </c>
      <c r="M472" s="21" t="n">
        <f aca="false">2_Matriz_decision!M471/M$5</f>
        <v>0.0419231759862606</v>
      </c>
      <c r="N472" s="21" t="n">
        <f aca="false">2_Matriz_decision!N471/N$5</f>
        <v>0.0448392173876134</v>
      </c>
      <c r="O472" s="21" t="n">
        <f aca="false">2_Matriz_decision!O471/O$5</f>
        <v>0.0304431282773992</v>
      </c>
      <c r="P472" s="21" t="n">
        <f aca="false">2_Matriz_decision!P471/P$5</f>
        <v>0.0529441535179372</v>
      </c>
      <c r="Q472" s="21" t="n">
        <f aca="false">2_Matriz_decision!Q471/Q$5</f>
        <v>0.0401681656862772</v>
      </c>
    </row>
    <row r="473" customFormat="false" ht="15" hidden="false" customHeight="false" outlineLevel="0" collapsed="false">
      <c r="A473" s="15" t="n">
        <f aca="false">2_Matriz_decision!A472</f>
        <v>468</v>
      </c>
      <c r="B473" s="16" t="n">
        <f aca="false">2_Matriz_decision!B472</f>
        <v>46.994</v>
      </c>
      <c r="C473" s="21" t="n">
        <f aca="false">2_Matriz_decision!C472/C$5</f>
        <v>0.0439697451539424</v>
      </c>
      <c r="D473" s="21" t="n">
        <f aca="false">2_Matriz_decision!D472/D$5</f>
        <v>0.0418648306977948</v>
      </c>
      <c r="E473" s="21" t="n">
        <f aca="false">2_Matriz_decision!E472/E$5</f>
        <v>0.0400721949850431</v>
      </c>
      <c r="F473" s="21" t="n">
        <f aca="false">2_Matriz_decision!F472/F$5</f>
        <v>0.0494057638940627</v>
      </c>
      <c r="G473" s="21" t="n">
        <f aca="false">2_Matriz_decision!G472/G$5</f>
        <v>0.0411149420220302</v>
      </c>
      <c r="H473" s="21" t="n">
        <f aca="false">2_Matriz_decision!H472/H$5</f>
        <v>0.0128089386344754</v>
      </c>
      <c r="I473" s="21" t="n">
        <f aca="false">2_Matriz_decision!I472/I$5</f>
        <v>0.0444554224474387</v>
      </c>
      <c r="J473" s="21" t="n">
        <f aca="false">2_Matriz_decision!J472/J$5</f>
        <v>0.0351992440847949</v>
      </c>
      <c r="K473" s="21" t="n">
        <f aca="false">2_Matriz_decision!K472/K$5</f>
        <v>0.039014903418414</v>
      </c>
      <c r="L473" s="21" t="n">
        <f aca="false">2_Matriz_decision!L472/L$5</f>
        <v>0.022410442540778</v>
      </c>
      <c r="M473" s="21" t="n">
        <f aca="false">2_Matriz_decision!M472/M$5</f>
        <v>0.0345548602068572</v>
      </c>
      <c r="N473" s="21" t="n">
        <f aca="false">2_Matriz_decision!N472/N$5</f>
        <v>0.0448392173876134</v>
      </c>
      <c r="O473" s="21" t="n">
        <f aca="false">2_Matriz_decision!O472/O$5</f>
        <v>0.0304431282773992</v>
      </c>
      <c r="P473" s="21" t="n">
        <f aca="false">2_Matriz_decision!P472/P$5</f>
        <v>0.0529441535179372</v>
      </c>
      <c r="Q473" s="21" t="n">
        <f aca="false">2_Matriz_decision!Q472/Q$5</f>
        <v>0.066946942810462</v>
      </c>
    </row>
    <row r="474" customFormat="false" ht="15" hidden="false" customHeight="false" outlineLevel="0" collapsed="false">
      <c r="A474" s="15" t="n">
        <f aca="false">2_Matriz_decision!A473</f>
        <v>469</v>
      </c>
      <c r="B474" s="16" t="n">
        <f aca="false">2_Matriz_decision!B473</f>
        <v>47.093</v>
      </c>
      <c r="C474" s="21" t="n">
        <f aca="false">2_Matriz_decision!C473/C$5</f>
        <v>0.0439697451539424</v>
      </c>
      <c r="D474" s="21" t="n">
        <f aca="false">2_Matriz_decision!D473/D$5</f>
        <v>0.0418648306977948</v>
      </c>
      <c r="E474" s="21" t="n">
        <f aca="false">2_Matriz_decision!E473/E$5</f>
        <v>0.0400721949850431</v>
      </c>
      <c r="F474" s="21" t="n">
        <f aca="false">2_Matriz_decision!F473/F$5</f>
        <v>0.0494057638940627</v>
      </c>
      <c r="G474" s="21" t="n">
        <f aca="false">2_Matriz_decision!G473/G$5</f>
        <v>0.0411149420220302</v>
      </c>
      <c r="H474" s="21" t="n">
        <f aca="false">2_Matriz_decision!H473/H$5</f>
        <v>0.0128089386344754</v>
      </c>
      <c r="I474" s="21" t="n">
        <f aca="false">2_Matriz_decision!I473/I$5</f>
        <v>0.0592738965965849</v>
      </c>
      <c r="J474" s="21" t="n">
        <f aca="false">2_Matriz_decision!J473/J$5</f>
        <v>0.0351992440847949</v>
      </c>
      <c r="K474" s="21" t="n">
        <f aca="false">2_Matriz_decision!K473/K$5</f>
        <v>0.039014903418414</v>
      </c>
      <c r="L474" s="21" t="n">
        <f aca="false">2_Matriz_decision!L473/L$5</f>
        <v>0.0268631140002524</v>
      </c>
      <c r="M474" s="21" t="n">
        <f aca="false">2_Matriz_decision!M473/M$5</f>
        <v>0.0368526258472109</v>
      </c>
      <c r="N474" s="21" t="n">
        <f aca="false">2_Matriz_decision!N473/N$5</f>
        <v>0.0448392173876134</v>
      </c>
      <c r="O474" s="21" t="n">
        <f aca="false">2_Matriz_decision!O473/O$5</f>
        <v>0.0304431282773992</v>
      </c>
      <c r="P474" s="21" t="n">
        <f aca="false">2_Matriz_decision!P473/P$5</f>
        <v>0.0529441535179372</v>
      </c>
      <c r="Q474" s="21" t="n">
        <f aca="false">2_Matriz_decision!Q473/Q$5</f>
        <v>0.066946942810462</v>
      </c>
    </row>
    <row r="475" customFormat="false" ht="15" hidden="false" customHeight="false" outlineLevel="0" collapsed="false">
      <c r="A475" s="15" t="n">
        <f aca="false">2_Matriz_decision!A474</f>
        <v>470</v>
      </c>
      <c r="B475" s="16" t="n">
        <f aca="false">2_Matriz_decision!B474</f>
        <v>47.191</v>
      </c>
      <c r="C475" s="21" t="n">
        <f aca="false">2_Matriz_decision!C474/C$5</f>
        <v>0.0439697451539424</v>
      </c>
      <c r="D475" s="21" t="n">
        <f aca="false">2_Matriz_decision!D474/D$5</f>
        <v>0.0418648306977948</v>
      </c>
      <c r="E475" s="21" t="n">
        <f aca="false">2_Matriz_decision!E474/E$5</f>
        <v>0.0400721949850431</v>
      </c>
      <c r="F475" s="21" t="n">
        <f aca="false">2_Matriz_decision!F474/F$5</f>
        <v>0.0494057638940627</v>
      </c>
      <c r="G475" s="21" t="n">
        <f aca="false">2_Matriz_decision!G474/G$5</f>
        <v>0.0411149420220302</v>
      </c>
      <c r="H475" s="21" t="n">
        <f aca="false">2_Matriz_decision!H474/H$5</f>
        <v>0.0128089386344754</v>
      </c>
      <c r="I475" s="21" t="n">
        <f aca="false">2_Matriz_decision!I474/I$5</f>
        <v>0.0592738965965849</v>
      </c>
      <c r="J475" s="21" t="n">
        <f aca="false">2_Matriz_decision!J474/J$5</f>
        <v>0.0351992440847949</v>
      </c>
      <c r="K475" s="21" t="n">
        <f aca="false">2_Matriz_decision!K474/K$5</f>
        <v>0.039014903418414</v>
      </c>
      <c r="L475" s="21" t="n">
        <f aca="false">2_Matriz_decision!L474/L$5</f>
        <v>0.0415716383408585</v>
      </c>
      <c r="M475" s="21" t="n">
        <f aca="false">2_Matriz_decision!M474/M$5</f>
        <v>0.0258167226033968</v>
      </c>
      <c r="N475" s="21" t="n">
        <f aca="false">2_Matriz_decision!N474/N$5</f>
        <v>0.0448392173876134</v>
      </c>
      <c r="O475" s="21" t="n">
        <f aca="false">2_Matriz_decision!O474/O$5</f>
        <v>0.0304431282773992</v>
      </c>
      <c r="P475" s="21" t="n">
        <f aca="false">2_Matriz_decision!P474/P$5</f>
        <v>0.0529441535179372</v>
      </c>
      <c r="Q475" s="21" t="n">
        <f aca="false">2_Matriz_decision!Q474/Q$5</f>
        <v>0.066946942810462</v>
      </c>
    </row>
    <row r="476" customFormat="false" ht="15" hidden="false" customHeight="false" outlineLevel="0" collapsed="false">
      <c r="A476" s="15" t="n">
        <f aca="false">2_Matriz_decision!A475</f>
        <v>471</v>
      </c>
      <c r="B476" s="16" t="n">
        <f aca="false">2_Matriz_decision!B475</f>
        <v>47.29</v>
      </c>
      <c r="C476" s="21" t="n">
        <f aca="false">2_Matriz_decision!C475/C$5</f>
        <v>0.0439697451539424</v>
      </c>
      <c r="D476" s="21" t="n">
        <f aca="false">2_Matriz_decision!D475/D$5</f>
        <v>0.0418648306977948</v>
      </c>
      <c r="E476" s="21" t="n">
        <f aca="false">2_Matriz_decision!E475/E$5</f>
        <v>0.0400721949850431</v>
      </c>
      <c r="F476" s="21" t="n">
        <f aca="false">2_Matriz_decision!F475/F$5</f>
        <v>0.0494057638940627</v>
      </c>
      <c r="G476" s="21" t="n">
        <f aca="false">2_Matriz_decision!G475/G$5</f>
        <v>0.0411149420220302</v>
      </c>
      <c r="H476" s="21" t="n">
        <f aca="false">2_Matriz_decision!H475/H$5</f>
        <v>0.0128089386344754</v>
      </c>
      <c r="I476" s="21" t="n">
        <f aca="false">2_Matriz_decision!I475/I$5</f>
        <v>0.0740923707457312</v>
      </c>
      <c r="J476" s="21" t="n">
        <f aca="false">2_Matriz_decision!J475/J$5</f>
        <v>0.0351992440847949</v>
      </c>
      <c r="K476" s="21" t="n">
        <f aca="false">2_Matriz_decision!K475/K$5</f>
        <v>0.039014903418414</v>
      </c>
      <c r="L476" s="21" t="n">
        <f aca="false">2_Matriz_decision!L475/L$5</f>
        <v>0.038322391600161</v>
      </c>
      <c r="M476" s="21" t="n">
        <f aca="false">2_Matriz_decision!M475/M$5</f>
        <v>0.0280482065425865</v>
      </c>
      <c r="N476" s="21" t="n">
        <f aca="false">2_Matriz_decision!N475/N$5</f>
        <v>0.0448392173876134</v>
      </c>
      <c r="O476" s="21" t="n">
        <f aca="false">2_Matriz_decision!O475/O$5</f>
        <v>0.0304431282773992</v>
      </c>
      <c r="P476" s="21" t="n">
        <f aca="false">2_Matriz_decision!P475/P$5</f>
        <v>0.0529441535179372</v>
      </c>
      <c r="Q476" s="21" t="n">
        <f aca="false">2_Matriz_decision!Q475/Q$5</f>
        <v>0.0133893885620924</v>
      </c>
    </row>
    <row r="477" customFormat="false" ht="15" hidden="false" customHeight="false" outlineLevel="0" collapsed="false">
      <c r="A477" s="15" t="n">
        <f aca="false">2_Matriz_decision!A476</f>
        <v>472</v>
      </c>
      <c r="B477" s="16" t="n">
        <f aca="false">2_Matriz_decision!B476</f>
        <v>47.389</v>
      </c>
      <c r="C477" s="21" t="n">
        <f aca="false">2_Matriz_decision!C476/C$5</f>
        <v>0.0439697451539424</v>
      </c>
      <c r="D477" s="21" t="n">
        <f aca="false">2_Matriz_decision!D476/D$5</f>
        <v>0.0418648306977948</v>
      </c>
      <c r="E477" s="21" t="n">
        <f aca="false">2_Matriz_decision!E476/E$5</f>
        <v>0.0500902437313038</v>
      </c>
      <c r="F477" s="21" t="n">
        <f aca="false">2_Matriz_decision!F476/F$5</f>
        <v>0.0494057638940627</v>
      </c>
      <c r="G477" s="21" t="n">
        <f aca="false">2_Matriz_decision!G476/G$5</f>
        <v>0.0411149420220302</v>
      </c>
      <c r="H477" s="21" t="n">
        <f aca="false">2_Matriz_decision!H476/H$5</f>
        <v>0.0128089386344754</v>
      </c>
      <c r="I477" s="21" t="n">
        <f aca="false">2_Matriz_decision!I476/I$5</f>
        <v>0.0740923707457312</v>
      </c>
      <c r="J477" s="21" t="n">
        <f aca="false">2_Matriz_decision!J476/J$5</f>
        <v>0.0351992440847949</v>
      </c>
      <c r="K477" s="21" t="n">
        <f aca="false">2_Matriz_decision!K476/K$5</f>
        <v>0.039014903418414</v>
      </c>
      <c r="L477" s="21" t="n">
        <f aca="false">2_Matriz_decision!L476/L$5</f>
        <v>0.0394857021616453</v>
      </c>
      <c r="M477" s="21" t="n">
        <f aca="false">2_Matriz_decision!M476/M$5</f>
        <v>0.0279487839908404</v>
      </c>
      <c r="N477" s="21" t="n">
        <f aca="false">2_Matriz_decision!N476/N$5</f>
        <v>0.0448392173876134</v>
      </c>
      <c r="O477" s="21" t="n">
        <f aca="false">2_Matriz_decision!O476/O$5</f>
        <v>0.0304431282773992</v>
      </c>
      <c r="P477" s="21" t="n">
        <f aca="false">2_Matriz_decision!P476/P$5</f>
        <v>0.0529441535179372</v>
      </c>
      <c r="Q477" s="21" t="n">
        <f aca="false">2_Matriz_decision!Q476/Q$5</f>
        <v>0.066946942810462</v>
      </c>
    </row>
    <row r="478" customFormat="false" ht="15" hidden="false" customHeight="false" outlineLevel="0" collapsed="false">
      <c r="A478" s="15" t="n">
        <f aca="false">2_Matriz_decision!A477</f>
        <v>473</v>
      </c>
      <c r="B478" s="16" t="n">
        <f aca="false">2_Matriz_decision!B477</f>
        <v>47.49</v>
      </c>
      <c r="C478" s="21" t="n">
        <f aca="false">2_Matriz_decision!C477/C$5</f>
        <v>0.0439697451539424</v>
      </c>
      <c r="D478" s="21" t="n">
        <f aca="false">2_Matriz_decision!D477/D$5</f>
        <v>0.0418648306977948</v>
      </c>
      <c r="E478" s="21" t="n">
        <f aca="false">2_Matriz_decision!E477/E$5</f>
        <v>0.0500902437313038</v>
      </c>
      <c r="F478" s="21" t="n">
        <f aca="false">2_Matriz_decision!F477/F$5</f>
        <v>0.0395246111152501</v>
      </c>
      <c r="G478" s="21" t="n">
        <f aca="false">2_Matriz_decision!G477/G$5</f>
        <v>0.0411149420220302</v>
      </c>
      <c r="H478" s="21" t="n">
        <f aca="false">2_Matriz_decision!H477/H$5</f>
        <v>0.0128089386344754</v>
      </c>
      <c r="I478" s="21" t="n">
        <f aca="false">2_Matriz_decision!I477/I$5</f>
        <v>0.0740923707457312</v>
      </c>
      <c r="J478" s="21" t="n">
        <f aca="false">2_Matriz_decision!J477/J$5</f>
        <v>0.0351992440847949</v>
      </c>
      <c r="K478" s="21" t="n">
        <f aca="false">2_Matriz_decision!K477/K$5</f>
        <v>0.039014903418414</v>
      </c>
      <c r="L478" s="21" t="n">
        <f aca="false">2_Matriz_decision!L477/L$5</f>
        <v>0.017556629508378</v>
      </c>
      <c r="M478" s="21" t="n">
        <f aca="false">2_Matriz_decision!M477/M$5</f>
        <v>0.038355011073596</v>
      </c>
      <c r="N478" s="21" t="n">
        <f aca="false">2_Matriz_decision!N477/N$5</f>
        <v>0.0448392173876134</v>
      </c>
      <c r="O478" s="21" t="n">
        <f aca="false">2_Matriz_decision!O477/O$5</f>
        <v>0.0304431282773992</v>
      </c>
      <c r="P478" s="21" t="n">
        <f aca="false">2_Matriz_decision!P477/P$5</f>
        <v>0.0529441535179372</v>
      </c>
      <c r="Q478" s="21" t="n">
        <f aca="false">2_Matriz_decision!Q477/Q$5</f>
        <v>0.0133893885620924</v>
      </c>
    </row>
    <row r="479" customFormat="false" ht="15" hidden="false" customHeight="false" outlineLevel="0" collapsed="false">
      <c r="A479" s="15" t="n">
        <f aca="false">2_Matriz_decision!A478</f>
        <v>474</v>
      </c>
      <c r="B479" s="16" t="n">
        <f aca="false">2_Matriz_decision!B478</f>
        <v>47.59</v>
      </c>
      <c r="C479" s="21" t="n">
        <f aca="false">2_Matriz_decision!C478/C$5</f>
        <v>0.0439697451539424</v>
      </c>
      <c r="D479" s="21" t="n">
        <f aca="false">2_Matriz_decision!D478/D$5</f>
        <v>0.0418648306977948</v>
      </c>
      <c r="E479" s="21" t="n">
        <f aca="false">2_Matriz_decision!E478/E$5</f>
        <v>0.0500902437313038</v>
      </c>
      <c r="F479" s="21" t="n">
        <f aca="false">2_Matriz_decision!F478/F$5</f>
        <v>0.0296434583364376</v>
      </c>
      <c r="G479" s="21" t="n">
        <f aca="false">2_Matriz_decision!G478/G$5</f>
        <v>0.0411149420220302</v>
      </c>
      <c r="H479" s="21" t="n">
        <f aca="false">2_Matriz_decision!H478/H$5</f>
        <v>0.0128089386344754</v>
      </c>
      <c r="I479" s="21" t="n">
        <f aca="false">2_Matriz_decision!I478/I$5</f>
        <v>0.0740923707457312</v>
      </c>
      <c r="J479" s="21" t="n">
        <f aca="false">2_Matriz_decision!J478/J$5</f>
        <v>0.0351992440847949</v>
      </c>
      <c r="K479" s="21" t="n">
        <f aca="false">2_Matriz_decision!K478/K$5</f>
        <v>0.039014903418414</v>
      </c>
      <c r="L479" s="21" t="n">
        <f aca="false">2_Matriz_decision!L478/L$5</f>
        <v>0.0214878169230491</v>
      </c>
      <c r="M479" s="21" t="n">
        <f aca="false">2_Matriz_decision!M478/M$5</f>
        <v>0.0394155182922208</v>
      </c>
      <c r="N479" s="21" t="n">
        <f aca="false">2_Matriz_decision!N478/N$5</f>
        <v>0.0448392173876134</v>
      </c>
      <c r="O479" s="21" t="n">
        <f aca="false">2_Matriz_decision!O478/O$5</f>
        <v>0.0304431282773992</v>
      </c>
      <c r="P479" s="21" t="n">
        <f aca="false">2_Matriz_decision!P478/P$5</f>
        <v>0.0529441535179372</v>
      </c>
      <c r="Q479" s="21" t="n">
        <f aca="false">2_Matriz_decision!Q478/Q$5</f>
        <v>0.0133893885620924</v>
      </c>
    </row>
    <row r="480" customFormat="false" ht="15" hidden="false" customHeight="false" outlineLevel="0" collapsed="false">
      <c r="A480" s="15" t="n">
        <f aca="false">2_Matriz_decision!A479</f>
        <v>475</v>
      </c>
      <c r="B480" s="16" t="n">
        <f aca="false">2_Matriz_decision!B479</f>
        <v>47.691</v>
      </c>
      <c r="C480" s="21" t="n">
        <f aca="false">2_Matriz_decision!C479/C$5</f>
        <v>0.0439697451539424</v>
      </c>
      <c r="D480" s="21" t="n">
        <f aca="false">2_Matriz_decision!D479/D$5</f>
        <v>0.0418648306977948</v>
      </c>
      <c r="E480" s="21" t="n">
        <f aca="false">2_Matriz_decision!E479/E$5</f>
        <v>0.0400721949850431</v>
      </c>
      <c r="F480" s="21" t="n">
        <f aca="false">2_Matriz_decision!F479/F$5</f>
        <v>0.0395246111152501</v>
      </c>
      <c r="G480" s="21" t="n">
        <f aca="false">2_Matriz_decision!G479/G$5</f>
        <v>0.0411149420220302</v>
      </c>
      <c r="H480" s="21" t="n">
        <f aca="false">2_Matriz_decision!H479/H$5</f>
        <v>0.0128089386344754</v>
      </c>
      <c r="I480" s="21" t="n">
        <f aca="false">2_Matriz_decision!I479/I$5</f>
        <v>0.0592738965965849</v>
      </c>
      <c r="J480" s="21" t="n">
        <f aca="false">2_Matriz_decision!J479/J$5</f>
        <v>0.0351992440847949</v>
      </c>
      <c r="K480" s="21" t="n">
        <f aca="false">2_Matriz_decision!K479/K$5</f>
        <v>0.039014903418414</v>
      </c>
      <c r="L480" s="21" t="n">
        <f aca="false">2_Matriz_decision!L479/L$5</f>
        <v>0.0265422007419119</v>
      </c>
      <c r="M480" s="21" t="n">
        <f aca="false">2_Matriz_decision!M479/M$5</f>
        <v>0.0413818754267542</v>
      </c>
      <c r="N480" s="21" t="n">
        <f aca="false">2_Matriz_decision!N479/N$5</f>
        <v>0.0448392173876134</v>
      </c>
      <c r="O480" s="21" t="n">
        <f aca="false">2_Matriz_decision!O479/O$5</f>
        <v>0.0304431282773992</v>
      </c>
      <c r="P480" s="21" t="n">
        <f aca="false">2_Matriz_decision!P479/P$5</f>
        <v>0.0529441535179372</v>
      </c>
      <c r="Q480" s="21" t="n">
        <f aca="false">2_Matriz_decision!Q479/Q$5</f>
        <v>0.0133893885620924</v>
      </c>
    </row>
    <row r="481" customFormat="false" ht="15" hidden="false" customHeight="false" outlineLevel="0" collapsed="false">
      <c r="A481" s="15" t="n">
        <f aca="false">2_Matriz_decision!A480</f>
        <v>476</v>
      </c>
      <c r="B481" s="16" t="n">
        <f aca="false">2_Matriz_decision!B480</f>
        <v>47.792</v>
      </c>
      <c r="C481" s="21" t="n">
        <f aca="false">2_Matriz_decision!C480/C$5</f>
        <v>0.0439697451539424</v>
      </c>
      <c r="D481" s="21" t="n">
        <f aca="false">2_Matriz_decision!D480/D$5</f>
        <v>0.0418648306977948</v>
      </c>
      <c r="E481" s="21" t="n">
        <f aca="false">2_Matriz_decision!E480/E$5</f>
        <v>0.0500902437313038</v>
      </c>
      <c r="F481" s="21" t="n">
        <f aca="false">2_Matriz_decision!F480/F$5</f>
        <v>0.0296434583364376</v>
      </c>
      <c r="G481" s="21" t="n">
        <f aca="false">2_Matriz_decision!G480/G$5</f>
        <v>0.0411149420220302</v>
      </c>
      <c r="H481" s="21" t="n">
        <f aca="false">2_Matriz_decision!H480/H$5</f>
        <v>0.0128089386344754</v>
      </c>
      <c r="I481" s="21" t="n">
        <f aca="false">2_Matriz_decision!I480/I$5</f>
        <v>0.0740923707457312</v>
      </c>
      <c r="J481" s="21" t="n">
        <f aca="false">2_Matriz_decision!J480/J$5</f>
        <v>0.0351992440847949</v>
      </c>
      <c r="K481" s="21" t="n">
        <f aca="false">2_Matriz_decision!K480/K$5</f>
        <v>0.039014903418414</v>
      </c>
      <c r="L481" s="21" t="n">
        <f aca="false">2_Matriz_decision!L480/L$5</f>
        <v>0.0320378402909929</v>
      </c>
      <c r="M481" s="21" t="n">
        <f aca="false">2_Matriz_decision!M480/M$5</f>
        <v>0.039713785947459</v>
      </c>
      <c r="N481" s="21" t="n">
        <f aca="false">2_Matriz_decision!N480/N$5</f>
        <v>0.0448392173876134</v>
      </c>
      <c r="O481" s="21" t="n">
        <f aca="false">2_Matriz_decision!O480/O$5</f>
        <v>0.0304431282773992</v>
      </c>
      <c r="P481" s="21" t="n">
        <f aca="false">2_Matriz_decision!P480/P$5</f>
        <v>0.0529441535179372</v>
      </c>
      <c r="Q481" s="21" t="n">
        <f aca="false">2_Matriz_decision!Q480/Q$5</f>
        <v>0.0133893885620924</v>
      </c>
    </row>
    <row r="482" customFormat="false" ht="15" hidden="false" customHeight="false" outlineLevel="0" collapsed="false">
      <c r="A482" s="15" t="n">
        <f aca="false">2_Matriz_decision!A481</f>
        <v>477</v>
      </c>
      <c r="B482" s="16" t="n">
        <f aca="false">2_Matriz_decision!B481</f>
        <v>47.892</v>
      </c>
      <c r="C482" s="21" t="n">
        <f aca="false">2_Matriz_decision!C481/C$5</f>
        <v>0.0439697451539424</v>
      </c>
      <c r="D482" s="21" t="n">
        <f aca="false">2_Matriz_decision!D481/D$5</f>
        <v>0.0418648306977948</v>
      </c>
      <c r="E482" s="21" t="n">
        <f aca="false">2_Matriz_decision!E481/E$5</f>
        <v>0.0400721949850431</v>
      </c>
      <c r="F482" s="21" t="n">
        <f aca="false">2_Matriz_decision!F481/F$5</f>
        <v>0.0395246111152501</v>
      </c>
      <c r="G482" s="21" t="n">
        <f aca="false">2_Matriz_decision!G481/G$5</f>
        <v>0.0411149420220302</v>
      </c>
      <c r="H482" s="21" t="n">
        <f aca="false">2_Matriz_decision!H481/H$5</f>
        <v>0.0128089386344754</v>
      </c>
      <c r="I482" s="21" t="n">
        <f aca="false">2_Matriz_decision!I481/I$5</f>
        <v>0.0592738965965849</v>
      </c>
      <c r="J482" s="21" t="n">
        <f aca="false">2_Matriz_decision!J481/J$5</f>
        <v>0.0351992440847949</v>
      </c>
      <c r="K482" s="21" t="n">
        <f aca="false">2_Matriz_decision!K481/K$5</f>
        <v>0.039014903418414</v>
      </c>
      <c r="L482" s="21" t="n">
        <f aca="false">2_Matriz_decision!L481/L$5</f>
        <v>0.0252585477085499</v>
      </c>
      <c r="M482" s="21" t="n">
        <f aca="false">2_Matriz_decision!M481/M$5</f>
        <v>0.0413155937255901</v>
      </c>
      <c r="N482" s="21" t="n">
        <f aca="false">2_Matriz_decision!N481/N$5</f>
        <v>0.0448392173876134</v>
      </c>
      <c r="O482" s="21" t="n">
        <f aca="false">2_Matriz_decision!O481/O$5</f>
        <v>0.0304431282773992</v>
      </c>
      <c r="P482" s="21" t="n">
        <f aca="false">2_Matriz_decision!P481/P$5</f>
        <v>0.0529441535179372</v>
      </c>
      <c r="Q482" s="21" t="n">
        <f aca="false">2_Matriz_decision!Q481/Q$5</f>
        <v>0.0133893885620924</v>
      </c>
    </row>
    <row r="483" customFormat="false" ht="15" hidden="false" customHeight="false" outlineLevel="0" collapsed="false">
      <c r="A483" s="15" t="n">
        <f aca="false">2_Matriz_decision!A482</f>
        <v>478</v>
      </c>
      <c r="B483" s="16" t="n">
        <f aca="false">2_Matriz_decision!B482</f>
        <v>47.992</v>
      </c>
      <c r="C483" s="21" t="n">
        <f aca="false">2_Matriz_decision!C482/C$5</f>
        <v>0.0439697451539424</v>
      </c>
      <c r="D483" s="21" t="n">
        <f aca="false">2_Matriz_decision!D482/D$5</f>
        <v>0.0334918645582358</v>
      </c>
      <c r="E483" s="21" t="n">
        <f aca="false">2_Matriz_decision!E482/E$5</f>
        <v>0.0500902437313038</v>
      </c>
      <c r="F483" s="21" t="n">
        <f aca="false">2_Matriz_decision!F482/F$5</f>
        <v>0.0296434583364376</v>
      </c>
      <c r="G483" s="21" t="n">
        <f aca="false">2_Matriz_decision!G482/G$5</f>
        <v>0.0411149420220302</v>
      </c>
      <c r="H483" s="21" t="n">
        <f aca="false">2_Matriz_decision!H482/H$5</f>
        <v>0.0128089386344754</v>
      </c>
      <c r="I483" s="21" t="n">
        <f aca="false">2_Matriz_decision!I482/I$5</f>
        <v>0.0740923707457312</v>
      </c>
      <c r="J483" s="21" t="n">
        <f aca="false">2_Matriz_decision!J482/J$5</f>
        <v>0.0351992440847949</v>
      </c>
      <c r="K483" s="21" t="n">
        <f aca="false">2_Matriz_decision!K482/K$5</f>
        <v>0.039014903418414</v>
      </c>
      <c r="L483" s="21" t="n">
        <f aca="false">2_Matriz_decision!L482/L$5</f>
        <v>0.0229319265855813</v>
      </c>
      <c r="M483" s="21" t="n">
        <f aca="false">2_Matriz_decision!M482/M$5</f>
        <v>0.0432046222087655</v>
      </c>
      <c r="N483" s="21" t="n">
        <f aca="false">2_Matriz_decision!N482/N$5</f>
        <v>0.0448392173876134</v>
      </c>
      <c r="O483" s="21" t="n">
        <f aca="false">2_Matriz_decision!O482/O$5</f>
        <v>0.0304431282773992</v>
      </c>
      <c r="P483" s="21" t="n">
        <f aca="false">2_Matriz_decision!P482/P$5</f>
        <v>0.0529441535179372</v>
      </c>
      <c r="Q483" s="21" t="n">
        <f aca="false">2_Matriz_decision!Q482/Q$5</f>
        <v>0.0133893885620924</v>
      </c>
    </row>
    <row r="484" customFormat="false" ht="15" hidden="false" customHeight="false" outlineLevel="0" collapsed="false">
      <c r="A484" s="15" t="n">
        <f aca="false">2_Matriz_decision!A483</f>
        <v>479</v>
      </c>
      <c r="B484" s="16" t="n">
        <f aca="false">2_Matriz_decision!B483</f>
        <v>48.092</v>
      </c>
      <c r="C484" s="21" t="n">
        <f aca="false">2_Matriz_decision!C483/C$5</f>
        <v>0.0439697451539424</v>
      </c>
      <c r="D484" s="21" t="n">
        <f aca="false">2_Matriz_decision!D483/D$5</f>
        <v>0.0334918645582358</v>
      </c>
      <c r="E484" s="21" t="n">
        <f aca="false">2_Matriz_decision!E483/E$5</f>
        <v>0.0400721949850431</v>
      </c>
      <c r="F484" s="21" t="n">
        <f aca="false">2_Matriz_decision!F483/F$5</f>
        <v>0.0197623055576251</v>
      </c>
      <c r="G484" s="21" t="n">
        <f aca="false">2_Matriz_decision!G483/G$5</f>
        <v>0.0411149420220302</v>
      </c>
      <c r="H484" s="21" t="n">
        <f aca="false">2_Matriz_decision!H483/H$5</f>
        <v>0.0128089386344754</v>
      </c>
      <c r="I484" s="21" t="n">
        <f aca="false">2_Matriz_decision!I483/I$5</f>
        <v>0.0592738965965849</v>
      </c>
      <c r="J484" s="21" t="n">
        <f aca="false">2_Matriz_decision!J483/J$5</f>
        <v>0.0351992440847949</v>
      </c>
      <c r="K484" s="21" t="n">
        <f aca="false">2_Matriz_decision!K483/K$5</f>
        <v>0.039014903418414</v>
      </c>
      <c r="L484" s="21" t="n">
        <f aca="false">2_Matriz_decision!L483/L$5</f>
        <v>0.0244027790196419</v>
      </c>
      <c r="M484" s="21" t="n">
        <f aca="false">2_Matriz_decision!M483/M$5</f>
        <v>0.0435139368141978</v>
      </c>
      <c r="N484" s="21" t="n">
        <f aca="false">2_Matriz_decision!N483/N$5</f>
        <v>0.0560490217345168</v>
      </c>
      <c r="O484" s="21" t="n">
        <f aca="false">2_Matriz_decision!O483/O$5</f>
        <v>0.0304431282773992</v>
      </c>
      <c r="P484" s="21" t="n">
        <f aca="false">2_Matriz_decision!P483/P$5</f>
        <v>0.0529441535179372</v>
      </c>
      <c r="Q484" s="21" t="n">
        <f aca="false">2_Matriz_decision!Q483/Q$5</f>
        <v>0.0133893885620924</v>
      </c>
    </row>
    <row r="485" customFormat="false" ht="15" hidden="false" customHeight="false" outlineLevel="0" collapsed="false">
      <c r="A485" s="15" t="n">
        <f aca="false">2_Matriz_decision!A484</f>
        <v>480</v>
      </c>
      <c r="B485" s="16" t="n">
        <f aca="false">2_Matriz_decision!B484</f>
        <v>48.191</v>
      </c>
      <c r="C485" s="21" t="n">
        <f aca="false">2_Matriz_decision!C484/C$5</f>
        <v>0.0439697451539424</v>
      </c>
      <c r="D485" s="21" t="n">
        <f aca="false">2_Matriz_decision!D484/D$5</f>
        <v>0.0334918645582358</v>
      </c>
      <c r="E485" s="21" t="n">
        <f aca="false">2_Matriz_decision!E484/E$5</f>
        <v>0.0400721949850431</v>
      </c>
      <c r="F485" s="21" t="n">
        <f aca="false">2_Matriz_decision!F484/F$5</f>
        <v>0.0296434583364376</v>
      </c>
      <c r="G485" s="21" t="n">
        <f aca="false">2_Matriz_decision!G484/G$5</f>
        <v>0.0411149420220302</v>
      </c>
      <c r="H485" s="21" t="n">
        <f aca="false">2_Matriz_decision!H484/H$5</f>
        <v>0.0128089386344754</v>
      </c>
      <c r="I485" s="21" t="n">
        <f aca="false">2_Matriz_decision!I484/I$5</f>
        <v>0.0444554224474387</v>
      </c>
      <c r="J485" s="21" t="n">
        <f aca="false">2_Matriz_decision!J484/J$5</f>
        <v>0.0351992440847949</v>
      </c>
      <c r="K485" s="21" t="n">
        <f aca="false">2_Matriz_decision!K484/K$5</f>
        <v>0.039014903418414</v>
      </c>
      <c r="L485" s="21" t="n">
        <f aca="false">2_Matriz_decision!L484/L$5</f>
        <v>0.0347656029868871</v>
      </c>
      <c r="M485" s="21" t="n">
        <f aca="false">2_Matriz_decision!M484/M$5</f>
        <v>0.0386311848284462</v>
      </c>
      <c r="N485" s="21" t="n">
        <f aca="false">2_Matriz_decision!N484/N$5</f>
        <v>0.0560490217345168</v>
      </c>
      <c r="O485" s="21" t="n">
        <f aca="false">2_Matriz_decision!O484/O$5</f>
        <v>0.0304431282773992</v>
      </c>
      <c r="P485" s="21" t="n">
        <f aca="false">2_Matriz_decision!P484/P$5</f>
        <v>0.0529441535179372</v>
      </c>
      <c r="Q485" s="21" t="n">
        <f aca="false">2_Matriz_decision!Q484/Q$5</f>
        <v>0.0267787771241848</v>
      </c>
    </row>
    <row r="486" customFormat="false" ht="15" hidden="false" customHeight="false" outlineLevel="0" collapsed="false">
      <c r="A486" s="15" t="n">
        <f aca="false">2_Matriz_decision!A485</f>
        <v>481</v>
      </c>
      <c r="B486" s="16" t="n">
        <f aca="false">2_Matriz_decision!B485</f>
        <v>48.29</v>
      </c>
      <c r="C486" s="21" t="n">
        <f aca="false">2_Matriz_decision!C485/C$5</f>
        <v>0.0439697451539424</v>
      </c>
      <c r="D486" s="21" t="n">
        <f aca="false">2_Matriz_decision!D485/D$5</f>
        <v>0.0334918645582358</v>
      </c>
      <c r="E486" s="21" t="n">
        <f aca="false">2_Matriz_decision!E485/E$5</f>
        <v>0.0400721949850431</v>
      </c>
      <c r="F486" s="21" t="n">
        <f aca="false">2_Matriz_decision!F485/F$5</f>
        <v>0.0395246111152501</v>
      </c>
      <c r="G486" s="21" t="n">
        <f aca="false">2_Matriz_decision!G485/G$5</f>
        <v>0.0411149420220302</v>
      </c>
      <c r="H486" s="21" t="n">
        <f aca="false">2_Matriz_decision!H485/H$5</f>
        <v>0.0128089386344754</v>
      </c>
      <c r="I486" s="21" t="n">
        <f aca="false">2_Matriz_decision!I485/I$5</f>
        <v>0.0296369482982925</v>
      </c>
      <c r="J486" s="21" t="n">
        <f aca="false">2_Matriz_decision!J485/J$5</f>
        <v>0.0351992440847949</v>
      </c>
      <c r="K486" s="21" t="n">
        <f aca="false">2_Matriz_decision!K485/K$5</f>
        <v>0.039014903418414</v>
      </c>
      <c r="L486" s="21" t="n">
        <f aca="false">2_Matriz_decision!L485/L$5</f>
        <v>0.0328000092795516</v>
      </c>
      <c r="M486" s="21" t="n">
        <f aca="false">2_Matriz_decision!M485/M$5</f>
        <v>0.0418237534345145</v>
      </c>
      <c r="N486" s="21" t="n">
        <f aca="false">2_Matriz_decision!N485/N$5</f>
        <v>0.0560490217345168</v>
      </c>
      <c r="O486" s="21" t="n">
        <f aca="false">2_Matriz_decision!O485/O$5</f>
        <v>0.0304431282773992</v>
      </c>
      <c r="P486" s="21" t="n">
        <f aca="false">2_Matriz_decision!P485/P$5</f>
        <v>0.0529441535179372</v>
      </c>
      <c r="Q486" s="21" t="n">
        <f aca="false">2_Matriz_decision!Q485/Q$5</f>
        <v>0.0133893885620924</v>
      </c>
    </row>
    <row r="487" customFormat="false" ht="15" hidden="false" customHeight="false" outlineLevel="0" collapsed="false">
      <c r="A487" s="15" t="n">
        <f aca="false">2_Matriz_decision!A486</f>
        <v>482</v>
      </c>
      <c r="B487" s="16" t="n">
        <f aca="false">2_Matriz_decision!B486</f>
        <v>48.389</v>
      </c>
      <c r="C487" s="21" t="n">
        <f aca="false">2_Matriz_decision!C486/C$5</f>
        <v>0.0439697451539424</v>
      </c>
      <c r="D487" s="21" t="n">
        <f aca="false">2_Matriz_decision!D486/D$5</f>
        <v>0.0334918645582358</v>
      </c>
      <c r="E487" s="21" t="n">
        <f aca="false">2_Matriz_decision!E486/E$5</f>
        <v>0.0400721949850431</v>
      </c>
      <c r="F487" s="21" t="n">
        <f aca="false">2_Matriz_decision!F486/F$5</f>
        <v>0.0395246111152501</v>
      </c>
      <c r="G487" s="21" t="n">
        <f aca="false">2_Matriz_decision!G486/G$5</f>
        <v>0.0411149420220302</v>
      </c>
      <c r="H487" s="21" t="n">
        <f aca="false">2_Matriz_decision!H486/H$5</f>
        <v>0.0128089386344754</v>
      </c>
      <c r="I487" s="21" t="n">
        <f aca="false">2_Matriz_decision!I486/I$5</f>
        <v>0.0148184741491462</v>
      </c>
      <c r="J487" s="21" t="n">
        <f aca="false">2_Matriz_decision!J486/J$5</f>
        <v>0.0351992440847949</v>
      </c>
      <c r="K487" s="21" t="n">
        <f aca="false">2_Matriz_decision!K486/K$5</f>
        <v>0.039014903418414</v>
      </c>
      <c r="L487" s="21" t="n">
        <f aca="false">2_Matriz_decision!L486/L$5</f>
        <v>0.0303129315274127</v>
      </c>
      <c r="M487" s="21" t="n">
        <f aca="false">2_Matriz_decision!M486/M$5</f>
        <v>0.0441878007760322</v>
      </c>
      <c r="N487" s="21" t="n">
        <f aca="false">2_Matriz_decision!N486/N$5</f>
        <v>0.0560490217345168</v>
      </c>
      <c r="O487" s="21" t="n">
        <f aca="false">2_Matriz_decision!O486/O$5</f>
        <v>0.0304431282773992</v>
      </c>
      <c r="P487" s="21" t="n">
        <f aca="false">2_Matriz_decision!P486/P$5</f>
        <v>0.0529441535179372</v>
      </c>
      <c r="Q487" s="21" t="n">
        <f aca="false">2_Matriz_decision!Q486/Q$5</f>
        <v>0.0133893885620924</v>
      </c>
    </row>
    <row r="488" customFormat="false" ht="15" hidden="false" customHeight="false" outlineLevel="0" collapsed="false">
      <c r="A488" s="15" t="n">
        <f aca="false">2_Matriz_decision!A487</f>
        <v>483</v>
      </c>
      <c r="B488" s="16" t="n">
        <f aca="false">2_Matriz_decision!B487</f>
        <v>48.488</v>
      </c>
      <c r="C488" s="21" t="n">
        <f aca="false">2_Matriz_decision!C487/C$5</f>
        <v>0.0439697451539424</v>
      </c>
      <c r="D488" s="21" t="n">
        <f aca="false">2_Matriz_decision!D487/D$5</f>
        <v>0.0418648306977948</v>
      </c>
      <c r="E488" s="21" t="n">
        <f aca="false">2_Matriz_decision!E487/E$5</f>
        <v>0.0400721949850431</v>
      </c>
      <c r="F488" s="21" t="n">
        <f aca="false">2_Matriz_decision!F487/F$5</f>
        <v>0.0395246111152501</v>
      </c>
      <c r="G488" s="21" t="n">
        <f aca="false">2_Matriz_decision!G487/G$5</f>
        <v>0.0411149420220302</v>
      </c>
      <c r="H488" s="21" t="n">
        <f aca="false">2_Matriz_decision!H487/H$5</f>
        <v>0.0128089386344754</v>
      </c>
      <c r="I488" s="21" t="n">
        <f aca="false">2_Matriz_decision!I487/I$5</f>
        <v>0.0148184741491462</v>
      </c>
      <c r="J488" s="21" t="n">
        <f aca="false">2_Matriz_decision!J487/J$5</f>
        <v>0.0351992440847949</v>
      </c>
      <c r="K488" s="21" t="n">
        <f aca="false">2_Matriz_decision!K487/K$5</f>
        <v>0.039014903418414</v>
      </c>
      <c r="L488" s="21" t="n">
        <f aca="false">2_Matriz_decision!L487/L$5</f>
        <v>0.032184925534399</v>
      </c>
      <c r="M488" s="21" t="n">
        <f aca="false">2_Matriz_decision!M487/M$5</f>
        <v>0.0441878007760322</v>
      </c>
      <c r="N488" s="21" t="n">
        <f aca="false">2_Matriz_decision!N487/N$5</f>
        <v>0.0560490217345168</v>
      </c>
      <c r="O488" s="21" t="n">
        <f aca="false">2_Matriz_decision!O487/O$5</f>
        <v>0.0304431282773992</v>
      </c>
      <c r="P488" s="21" t="n">
        <f aca="false">2_Matriz_decision!P487/P$5</f>
        <v>0.0529441535179372</v>
      </c>
      <c r="Q488" s="21" t="n">
        <f aca="false">2_Matriz_decision!Q487/Q$5</f>
        <v>0.0133893885620924</v>
      </c>
    </row>
    <row r="489" customFormat="false" ht="15" hidden="false" customHeight="false" outlineLevel="0" collapsed="false">
      <c r="A489" s="15" t="n">
        <f aca="false">2_Matriz_decision!A488</f>
        <v>484</v>
      </c>
      <c r="B489" s="16" t="n">
        <f aca="false">2_Matriz_decision!B488</f>
        <v>48.587</v>
      </c>
      <c r="C489" s="21" t="n">
        <f aca="false">2_Matriz_decision!C488/C$5</f>
        <v>0.0439697451539424</v>
      </c>
      <c r="D489" s="21" t="n">
        <f aca="false">2_Matriz_decision!D488/D$5</f>
        <v>0.0418648306977948</v>
      </c>
      <c r="E489" s="21" t="n">
        <f aca="false">2_Matriz_decision!E488/E$5</f>
        <v>0.0400721949850431</v>
      </c>
      <c r="F489" s="21" t="n">
        <f aca="false">2_Matriz_decision!F488/F$5</f>
        <v>0.0296434583364376</v>
      </c>
      <c r="G489" s="21" t="n">
        <f aca="false">2_Matriz_decision!G488/G$5</f>
        <v>0.0411149420220302</v>
      </c>
      <c r="H489" s="21" t="n">
        <f aca="false">2_Matriz_decision!H488/H$5</f>
        <v>0.0128089386344754</v>
      </c>
      <c r="I489" s="21" t="n">
        <f aca="false">2_Matriz_decision!I488/I$5</f>
        <v>0.0148184741491462</v>
      </c>
      <c r="J489" s="21" t="n">
        <f aca="false">2_Matriz_decision!J488/J$5</f>
        <v>0.0351992440847949</v>
      </c>
      <c r="K489" s="21" t="n">
        <f aca="false">2_Matriz_decision!K488/K$5</f>
        <v>0.039014903418414</v>
      </c>
      <c r="L489" s="21" t="n">
        <f aca="false">2_Matriz_decision!L488/L$5</f>
        <v>0.0317436698041808</v>
      </c>
      <c r="M489" s="21" t="n">
        <f aca="false">2_Matriz_decision!M488/M$5</f>
        <v>0.0441878007760322</v>
      </c>
      <c r="N489" s="21" t="n">
        <f aca="false">2_Matriz_decision!N488/N$5</f>
        <v>0.0560490217345168</v>
      </c>
      <c r="O489" s="21" t="n">
        <f aca="false">2_Matriz_decision!O488/O$5</f>
        <v>0.0304431282773992</v>
      </c>
      <c r="P489" s="21" t="n">
        <f aca="false">2_Matriz_decision!P488/P$5</f>
        <v>0.0529441535179372</v>
      </c>
      <c r="Q489" s="21" t="n">
        <f aca="false">2_Matriz_decision!Q488/Q$5</f>
        <v>0.0133893885620924</v>
      </c>
    </row>
    <row r="490" customFormat="false" ht="15" hidden="false" customHeight="false" outlineLevel="0" collapsed="false">
      <c r="A490" s="15" t="n">
        <f aca="false">2_Matriz_decision!A489</f>
        <v>485</v>
      </c>
      <c r="B490" s="16" t="n">
        <f aca="false">2_Matriz_decision!B489</f>
        <v>48.687</v>
      </c>
      <c r="C490" s="21" t="n">
        <f aca="false">2_Matriz_decision!C489/C$5</f>
        <v>0.0439697451539424</v>
      </c>
      <c r="D490" s="21" t="n">
        <f aca="false">2_Matriz_decision!D489/D$5</f>
        <v>0.0418648306977948</v>
      </c>
      <c r="E490" s="21" t="n">
        <f aca="false">2_Matriz_decision!E489/E$5</f>
        <v>0.0400721949850431</v>
      </c>
      <c r="F490" s="21" t="n">
        <f aca="false">2_Matriz_decision!F489/F$5</f>
        <v>0.0296434583364376</v>
      </c>
      <c r="G490" s="21" t="n">
        <f aca="false">2_Matriz_decision!G489/G$5</f>
        <v>0.0411149420220302</v>
      </c>
      <c r="H490" s="21" t="n">
        <f aca="false">2_Matriz_decision!H489/H$5</f>
        <v>0.0128089386344754</v>
      </c>
      <c r="I490" s="21" t="n">
        <f aca="false">2_Matriz_decision!I489/I$5</f>
        <v>0.0148184741491462</v>
      </c>
      <c r="J490" s="21" t="n">
        <f aca="false">2_Matriz_decision!J489/J$5</f>
        <v>0.0351992440847949</v>
      </c>
      <c r="K490" s="21" t="n">
        <f aca="false">2_Matriz_decision!K489/K$5</f>
        <v>0.039014903418414</v>
      </c>
      <c r="L490" s="21" t="n">
        <f aca="false">2_Matriz_decision!L489/L$5</f>
        <v>0.0318907550475869</v>
      </c>
      <c r="M490" s="21" t="n">
        <f aca="false">2_Matriz_decision!M489/M$5</f>
        <v>0.0441878007760322</v>
      </c>
      <c r="N490" s="21" t="n">
        <f aca="false">2_Matriz_decision!N489/N$5</f>
        <v>0.0560490217345168</v>
      </c>
      <c r="O490" s="21" t="n">
        <f aca="false">2_Matriz_decision!O489/O$5</f>
        <v>0.0304431282773992</v>
      </c>
      <c r="P490" s="21" t="n">
        <f aca="false">2_Matriz_decision!P489/P$5</f>
        <v>0.0529441535179372</v>
      </c>
      <c r="Q490" s="21" t="n">
        <f aca="false">2_Matriz_decision!Q489/Q$5</f>
        <v>0.0133893885620924</v>
      </c>
    </row>
    <row r="491" customFormat="false" ht="15" hidden="false" customHeight="false" outlineLevel="0" collapsed="false">
      <c r="A491" s="15" t="n">
        <f aca="false">2_Matriz_decision!A490</f>
        <v>486</v>
      </c>
      <c r="B491" s="16" t="n">
        <f aca="false">2_Matriz_decision!B490</f>
        <v>48.786</v>
      </c>
      <c r="C491" s="21" t="n">
        <f aca="false">2_Matriz_decision!C490/C$5</f>
        <v>0.0439697451539424</v>
      </c>
      <c r="D491" s="21" t="n">
        <f aca="false">2_Matriz_decision!D490/D$5</f>
        <v>0.0418648306977948</v>
      </c>
      <c r="E491" s="21" t="n">
        <f aca="false">2_Matriz_decision!E490/E$5</f>
        <v>0.0400721949850431</v>
      </c>
      <c r="F491" s="21" t="n">
        <f aca="false">2_Matriz_decision!F490/F$5</f>
        <v>0.0296434583364376</v>
      </c>
      <c r="G491" s="21" t="n">
        <f aca="false">2_Matriz_decision!G490/G$5</f>
        <v>0.0411149420220302</v>
      </c>
      <c r="H491" s="21" t="n">
        <f aca="false">2_Matriz_decision!H490/H$5</f>
        <v>0.0128089386344754</v>
      </c>
      <c r="I491" s="21" t="n">
        <f aca="false">2_Matriz_decision!I490/I$5</f>
        <v>0.0148184741491462</v>
      </c>
      <c r="J491" s="21" t="n">
        <f aca="false">2_Matriz_decision!J490/J$5</f>
        <v>0.0351992440847949</v>
      </c>
      <c r="K491" s="21" t="n">
        <f aca="false">2_Matriz_decision!K490/K$5</f>
        <v>0.039014903418414</v>
      </c>
      <c r="L491" s="21" t="n">
        <f aca="false">2_Matriz_decision!L490/L$5</f>
        <v>0.031757041189945</v>
      </c>
      <c r="M491" s="21" t="n">
        <f aca="false">2_Matriz_decision!M490/M$5</f>
        <v>0.0441878007760322</v>
      </c>
      <c r="N491" s="21" t="n">
        <f aca="false">2_Matriz_decision!N490/N$5</f>
        <v>0.0560490217345168</v>
      </c>
      <c r="O491" s="21" t="n">
        <f aca="false">2_Matriz_decision!O490/O$5</f>
        <v>0.0304431282773992</v>
      </c>
      <c r="P491" s="21" t="n">
        <f aca="false">2_Matriz_decision!P490/P$5</f>
        <v>0.0529441535179372</v>
      </c>
      <c r="Q491" s="21" t="n">
        <f aca="false">2_Matriz_decision!Q490/Q$5</f>
        <v>0.0133893885620924</v>
      </c>
    </row>
    <row r="492" customFormat="false" ht="15" hidden="false" customHeight="false" outlineLevel="0" collapsed="false">
      <c r="A492" s="15" t="n">
        <f aca="false">2_Matriz_decision!A491</f>
        <v>487</v>
      </c>
      <c r="B492" s="16" t="n">
        <f aca="false">2_Matriz_decision!B491</f>
        <v>48.885</v>
      </c>
      <c r="C492" s="21" t="n">
        <f aca="false">2_Matriz_decision!C491/C$5</f>
        <v>0.0439697451539424</v>
      </c>
      <c r="D492" s="21" t="n">
        <f aca="false">2_Matriz_decision!D491/D$5</f>
        <v>0.0418648306977948</v>
      </c>
      <c r="E492" s="21" t="n">
        <f aca="false">2_Matriz_decision!E491/E$5</f>
        <v>0.0400721949850431</v>
      </c>
      <c r="F492" s="21" t="n">
        <f aca="false">2_Matriz_decision!F491/F$5</f>
        <v>0.0296434583364376</v>
      </c>
      <c r="G492" s="21" t="n">
        <f aca="false">2_Matriz_decision!G491/G$5</f>
        <v>0.0411149420220302</v>
      </c>
      <c r="H492" s="21" t="n">
        <f aca="false">2_Matriz_decision!H491/H$5</f>
        <v>0.0128089386344754</v>
      </c>
      <c r="I492" s="21" t="n">
        <f aca="false">2_Matriz_decision!I491/I$5</f>
        <v>0.0148184741491462</v>
      </c>
      <c r="J492" s="21" t="n">
        <f aca="false">2_Matriz_decision!J491/J$5</f>
        <v>0.0351992440847949</v>
      </c>
      <c r="K492" s="21" t="n">
        <f aca="false">2_Matriz_decision!K491/K$5</f>
        <v>0.039014903418414</v>
      </c>
      <c r="L492" s="21" t="n">
        <f aca="false">2_Matriz_decision!L491/L$5</f>
        <v>0.032184925534399</v>
      </c>
      <c r="M492" s="21" t="n">
        <f aca="false">2_Matriz_decision!M491/M$5</f>
        <v>0.0441878007760322</v>
      </c>
      <c r="N492" s="21" t="n">
        <f aca="false">2_Matriz_decision!N491/N$5</f>
        <v>0.0560490217345168</v>
      </c>
      <c r="O492" s="21" t="n">
        <f aca="false">2_Matriz_decision!O491/O$5</f>
        <v>0.0304431282773992</v>
      </c>
      <c r="P492" s="21" t="n">
        <f aca="false">2_Matriz_decision!P491/P$5</f>
        <v>0.0529441535179372</v>
      </c>
      <c r="Q492" s="21" t="n">
        <f aca="false">2_Matriz_decision!Q491/Q$5</f>
        <v>0.0133893885620924</v>
      </c>
    </row>
    <row r="493" customFormat="false" ht="15" hidden="false" customHeight="false" outlineLevel="0" collapsed="false">
      <c r="A493" s="15" t="n">
        <f aca="false">2_Matriz_decision!A492</f>
        <v>488</v>
      </c>
      <c r="B493" s="16" t="n">
        <f aca="false">2_Matriz_decision!B492</f>
        <v>48.984</v>
      </c>
      <c r="C493" s="21" t="n">
        <f aca="false">2_Matriz_decision!C492/C$5</f>
        <v>0.0439697451539424</v>
      </c>
      <c r="D493" s="21" t="n">
        <f aca="false">2_Matriz_decision!D492/D$5</f>
        <v>0.0418648306977948</v>
      </c>
      <c r="E493" s="21" t="n">
        <f aca="false">2_Matriz_decision!E492/E$5</f>
        <v>0.0400721949850431</v>
      </c>
      <c r="F493" s="21" t="n">
        <f aca="false">2_Matriz_decision!F492/F$5</f>
        <v>0.0296434583364376</v>
      </c>
      <c r="G493" s="21" t="n">
        <f aca="false">2_Matriz_decision!G492/G$5</f>
        <v>0.0411149420220302</v>
      </c>
      <c r="H493" s="21" t="n">
        <f aca="false">2_Matriz_decision!H492/H$5</f>
        <v>0.0128089386344754</v>
      </c>
      <c r="I493" s="21" t="n">
        <f aca="false">2_Matriz_decision!I492/I$5</f>
        <v>0.0148184741491462</v>
      </c>
      <c r="J493" s="21" t="n">
        <f aca="false">2_Matriz_decision!J492/J$5</f>
        <v>0.0351992440847949</v>
      </c>
      <c r="K493" s="21" t="n">
        <f aca="false">2_Matriz_decision!K492/K$5</f>
        <v>0.039014903418414</v>
      </c>
      <c r="L493" s="21" t="n">
        <f aca="false">2_Matriz_decision!L492/L$5</f>
        <v>0.0326395526503814</v>
      </c>
      <c r="M493" s="21" t="n">
        <f aca="false">2_Matriz_decision!M492/M$5</f>
        <v>0.0441878007760322</v>
      </c>
      <c r="N493" s="21" t="n">
        <f aca="false">2_Matriz_decision!N492/N$5</f>
        <v>0.0560490217345168</v>
      </c>
      <c r="O493" s="21" t="n">
        <f aca="false">2_Matriz_decision!O492/O$5</f>
        <v>0.0304431282773992</v>
      </c>
      <c r="P493" s="21" t="n">
        <f aca="false">2_Matriz_decision!P492/P$5</f>
        <v>0.0529441535179372</v>
      </c>
      <c r="Q493" s="21" t="n">
        <f aca="false">2_Matriz_decision!Q492/Q$5</f>
        <v>0.0133893885620924</v>
      </c>
    </row>
    <row r="494" customFormat="false" ht="15" hidden="false" customHeight="false" outlineLevel="0" collapsed="false">
      <c r="A494" s="15" t="n">
        <f aca="false">2_Matriz_decision!A493</f>
        <v>489</v>
      </c>
      <c r="B494" s="16" t="n">
        <f aca="false">2_Matriz_decision!B493</f>
        <v>49.084</v>
      </c>
      <c r="C494" s="21" t="n">
        <f aca="false">2_Matriz_decision!C493/C$5</f>
        <v>0.0351757961231539</v>
      </c>
      <c r="D494" s="21" t="n">
        <f aca="false">2_Matriz_decision!D493/D$5</f>
        <v>0.0418648306977948</v>
      </c>
      <c r="E494" s="21" t="n">
        <f aca="false">2_Matriz_decision!E493/E$5</f>
        <v>0.0400721949850431</v>
      </c>
      <c r="F494" s="21" t="n">
        <f aca="false">2_Matriz_decision!F493/F$5</f>
        <v>0.0296434583364376</v>
      </c>
      <c r="G494" s="21" t="n">
        <f aca="false">2_Matriz_decision!G493/G$5</f>
        <v>0.0411149420220302</v>
      </c>
      <c r="H494" s="21" t="n">
        <f aca="false">2_Matriz_decision!H493/H$5</f>
        <v>0.0128089386344754</v>
      </c>
      <c r="I494" s="21" t="n">
        <f aca="false">2_Matriz_decision!I493/I$5</f>
        <v>0.0296369482982925</v>
      </c>
      <c r="J494" s="21" t="n">
        <f aca="false">2_Matriz_decision!J493/J$5</f>
        <v>0.0351992440847949</v>
      </c>
      <c r="K494" s="21" t="n">
        <f aca="false">2_Matriz_decision!K493/K$5</f>
        <v>0.039014903418414</v>
      </c>
      <c r="L494" s="21" t="n">
        <f aca="false">2_Matriz_decision!L493/L$5</f>
        <v>0.0331075511521279</v>
      </c>
      <c r="M494" s="21" t="n">
        <f aca="false">2_Matriz_decision!M493/M$5</f>
        <v>0.0441878007760322</v>
      </c>
      <c r="N494" s="21" t="n">
        <f aca="false">2_Matriz_decision!N493/N$5</f>
        <v>0.0560490217345168</v>
      </c>
      <c r="O494" s="21" t="n">
        <f aca="false">2_Matriz_decision!O493/O$5</f>
        <v>0.0304431282773992</v>
      </c>
      <c r="P494" s="21" t="n">
        <f aca="false">2_Matriz_decision!P493/P$5</f>
        <v>0.0529441535179372</v>
      </c>
      <c r="Q494" s="21" t="n">
        <f aca="false">2_Matriz_decision!Q493/Q$5</f>
        <v>0.0133893885620924</v>
      </c>
    </row>
    <row r="495" customFormat="false" ht="15" hidden="false" customHeight="false" outlineLevel="0" collapsed="false">
      <c r="A495" s="15" t="n">
        <f aca="false">2_Matriz_decision!A494</f>
        <v>490</v>
      </c>
      <c r="B495" s="16" t="n">
        <f aca="false">2_Matriz_decision!B494</f>
        <v>49.183</v>
      </c>
      <c r="C495" s="21" t="n">
        <f aca="false">2_Matriz_decision!C494/C$5</f>
        <v>0.0351757961231539</v>
      </c>
      <c r="D495" s="21" t="n">
        <f aca="false">2_Matriz_decision!D494/D$5</f>
        <v>0.0418648306977948</v>
      </c>
      <c r="E495" s="21" t="n">
        <f aca="false">2_Matriz_decision!E494/E$5</f>
        <v>0.0400721949850431</v>
      </c>
      <c r="F495" s="21" t="n">
        <f aca="false">2_Matriz_decision!F494/F$5</f>
        <v>0.0296434583364376</v>
      </c>
      <c r="G495" s="21" t="n">
        <f aca="false">2_Matriz_decision!G494/G$5</f>
        <v>0.0411149420220302</v>
      </c>
      <c r="H495" s="21" t="n">
        <f aca="false">2_Matriz_decision!H494/H$5</f>
        <v>0.0128089386344754</v>
      </c>
      <c r="I495" s="21" t="n">
        <f aca="false">2_Matriz_decision!I494/I$5</f>
        <v>0.0296369482982925</v>
      </c>
      <c r="J495" s="21" t="n">
        <f aca="false">2_Matriz_decision!J494/J$5</f>
        <v>0.0351992440847949</v>
      </c>
      <c r="K495" s="21" t="n">
        <f aca="false">2_Matriz_decision!K494/K$5</f>
        <v>0.039014903418414</v>
      </c>
      <c r="L495" s="21" t="n">
        <f aca="false">2_Matriz_decision!L494/L$5</f>
        <v>0.0328000092795516</v>
      </c>
      <c r="M495" s="21" t="n">
        <f aca="false">2_Matriz_decision!M494/M$5</f>
        <v>0.0441878007760322</v>
      </c>
      <c r="N495" s="21" t="n">
        <f aca="false">2_Matriz_decision!N494/N$5</f>
        <v>0.0560490217345168</v>
      </c>
      <c r="O495" s="21" t="n">
        <f aca="false">2_Matriz_decision!O494/O$5</f>
        <v>0.0304431282773992</v>
      </c>
      <c r="P495" s="21" t="n">
        <f aca="false">2_Matriz_decision!P494/P$5</f>
        <v>0.0529441535179372</v>
      </c>
      <c r="Q495" s="21" t="n">
        <f aca="false">2_Matriz_decision!Q494/Q$5</f>
        <v>0.0133893885620924</v>
      </c>
    </row>
    <row r="496" customFormat="false" ht="15" hidden="false" customHeight="false" outlineLevel="0" collapsed="false">
      <c r="A496" s="15" t="n">
        <f aca="false">2_Matriz_decision!A495</f>
        <v>491</v>
      </c>
      <c r="B496" s="16" t="n">
        <f aca="false">2_Matriz_decision!B495</f>
        <v>49.282</v>
      </c>
      <c r="C496" s="21" t="n">
        <f aca="false">2_Matriz_decision!C495/C$5</f>
        <v>0.0351757961231539</v>
      </c>
      <c r="D496" s="21" t="n">
        <f aca="false">2_Matriz_decision!D495/D$5</f>
        <v>0.0418648306977948</v>
      </c>
      <c r="E496" s="21" t="n">
        <f aca="false">2_Matriz_decision!E495/E$5</f>
        <v>0.0400721949850431</v>
      </c>
      <c r="F496" s="21" t="n">
        <f aca="false">2_Matriz_decision!F495/F$5</f>
        <v>0.0395246111152501</v>
      </c>
      <c r="G496" s="21" t="n">
        <f aca="false">2_Matriz_decision!G495/G$5</f>
        <v>0.0411149420220302</v>
      </c>
      <c r="H496" s="21" t="n">
        <f aca="false">2_Matriz_decision!H495/H$5</f>
        <v>0.0128089386344754</v>
      </c>
      <c r="I496" s="21" t="n">
        <f aca="false">2_Matriz_decision!I495/I$5</f>
        <v>0.0296369482982925</v>
      </c>
      <c r="J496" s="21" t="n">
        <f aca="false">2_Matriz_decision!J495/J$5</f>
        <v>0.0351992440847949</v>
      </c>
      <c r="K496" s="21" t="n">
        <f aca="false">2_Matriz_decision!K495/K$5</f>
        <v>0.039014903418414</v>
      </c>
      <c r="L496" s="21" t="n">
        <f aca="false">2_Matriz_decision!L495/L$5</f>
        <v>0.0332412650097698</v>
      </c>
      <c r="M496" s="21" t="n">
        <f aca="false">2_Matriz_decision!M495/M$5</f>
        <v>0.0441878007760322</v>
      </c>
      <c r="N496" s="21" t="n">
        <f aca="false">2_Matriz_decision!N495/N$5</f>
        <v>0.0560490217345168</v>
      </c>
      <c r="O496" s="21" t="n">
        <f aca="false">2_Matriz_decision!O495/O$5</f>
        <v>0.0304431282773992</v>
      </c>
      <c r="P496" s="21" t="n">
        <f aca="false">2_Matriz_decision!P495/P$5</f>
        <v>0.0529441535179372</v>
      </c>
      <c r="Q496" s="21" t="n">
        <f aca="false">2_Matriz_decision!Q495/Q$5</f>
        <v>0.0133893885620924</v>
      </c>
    </row>
    <row r="497" customFormat="false" ht="15" hidden="false" customHeight="false" outlineLevel="0" collapsed="false">
      <c r="A497" s="15" t="n">
        <f aca="false">2_Matriz_decision!A496</f>
        <v>492</v>
      </c>
      <c r="B497" s="16" t="n">
        <f aca="false">2_Matriz_decision!B496</f>
        <v>49.381</v>
      </c>
      <c r="C497" s="21" t="n">
        <f aca="false">2_Matriz_decision!C496/C$5</f>
        <v>0.0351757961231539</v>
      </c>
      <c r="D497" s="21" t="n">
        <f aca="false">2_Matriz_decision!D496/D$5</f>
        <v>0.0418648306977948</v>
      </c>
      <c r="E497" s="21" t="n">
        <f aca="false">2_Matriz_decision!E496/E$5</f>
        <v>0.0400721949850431</v>
      </c>
      <c r="F497" s="21" t="n">
        <f aca="false">2_Matriz_decision!F496/F$5</f>
        <v>0.0395246111152501</v>
      </c>
      <c r="G497" s="21" t="n">
        <f aca="false">2_Matriz_decision!G496/G$5</f>
        <v>0.0411149420220302</v>
      </c>
      <c r="H497" s="21" t="n">
        <f aca="false">2_Matriz_decision!H496/H$5</f>
        <v>0.0128089386344754</v>
      </c>
      <c r="I497" s="21" t="n">
        <f aca="false">2_Matriz_decision!I496/I$5</f>
        <v>0.0148184741491462</v>
      </c>
      <c r="J497" s="21" t="n">
        <f aca="false">2_Matriz_decision!J496/J$5</f>
        <v>0.0351992440847949</v>
      </c>
      <c r="K497" s="21" t="n">
        <f aca="false">2_Matriz_decision!K496/K$5</f>
        <v>0.039014903418414</v>
      </c>
      <c r="L497" s="21" t="n">
        <f aca="false">2_Matriz_decision!L496/L$5</f>
        <v>0.0329470945229577</v>
      </c>
      <c r="M497" s="21" t="n">
        <f aca="false">2_Matriz_decision!M496/M$5</f>
        <v>0.0441878007760322</v>
      </c>
      <c r="N497" s="21" t="n">
        <f aca="false">2_Matriz_decision!N496/N$5</f>
        <v>0.0560490217345168</v>
      </c>
      <c r="O497" s="21" t="n">
        <f aca="false">2_Matriz_decision!O496/O$5</f>
        <v>0.0304431282773992</v>
      </c>
      <c r="P497" s="21" t="n">
        <f aca="false">2_Matriz_decision!P496/P$5</f>
        <v>0.0529441535179372</v>
      </c>
      <c r="Q497" s="21" t="n">
        <f aca="false">2_Matriz_decision!Q496/Q$5</f>
        <v>0.0133893885620924</v>
      </c>
    </row>
    <row r="498" customFormat="false" ht="15" hidden="false" customHeight="false" outlineLevel="0" collapsed="false">
      <c r="A498" s="15" t="n">
        <f aca="false">2_Matriz_decision!A497</f>
        <v>493</v>
      </c>
      <c r="B498" s="16" t="n">
        <f aca="false">2_Matriz_decision!B497</f>
        <v>49.481</v>
      </c>
      <c r="C498" s="21" t="n">
        <f aca="false">2_Matriz_decision!C497/C$5</f>
        <v>0.0351757961231539</v>
      </c>
      <c r="D498" s="21" t="n">
        <f aca="false">2_Matriz_decision!D497/D$5</f>
        <v>0.0418648306977948</v>
      </c>
      <c r="E498" s="21" t="n">
        <f aca="false">2_Matriz_decision!E497/E$5</f>
        <v>0.0400721949850431</v>
      </c>
      <c r="F498" s="21" t="n">
        <f aca="false">2_Matriz_decision!F497/F$5</f>
        <v>0.0296434583364376</v>
      </c>
      <c r="G498" s="21" t="n">
        <f aca="false">2_Matriz_decision!G497/G$5</f>
        <v>0.0411149420220302</v>
      </c>
      <c r="H498" s="21" t="n">
        <f aca="false">2_Matriz_decision!H497/H$5</f>
        <v>0.0128089386344754</v>
      </c>
      <c r="I498" s="21" t="n">
        <f aca="false">2_Matriz_decision!I497/I$5</f>
        <v>0.0296369482982925</v>
      </c>
      <c r="J498" s="21" t="n">
        <f aca="false">2_Matriz_decision!J497/J$5</f>
        <v>0.0351992440847949</v>
      </c>
      <c r="K498" s="21" t="n">
        <f aca="false">2_Matriz_decision!K497/K$5</f>
        <v>0.039014903418414</v>
      </c>
      <c r="L498" s="21" t="n">
        <f aca="false">2_Matriz_decision!L497/L$5</f>
        <v>0.032332010777805</v>
      </c>
      <c r="M498" s="21" t="n">
        <f aca="false">2_Matriz_decision!M497/M$5</f>
        <v>0.0441878007760322</v>
      </c>
      <c r="N498" s="21" t="n">
        <f aca="false">2_Matriz_decision!N497/N$5</f>
        <v>0.0560490217345168</v>
      </c>
      <c r="O498" s="21" t="n">
        <f aca="false">2_Matriz_decision!O497/O$5</f>
        <v>0.0304431282773992</v>
      </c>
      <c r="P498" s="21" t="n">
        <f aca="false">2_Matriz_decision!P497/P$5</f>
        <v>0.0529441535179372</v>
      </c>
      <c r="Q498" s="21" t="n">
        <f aca="false">2_Matriz_decision!Q497/Q$5</f>
        <v>0.0133893885620924</v>
      </c>
    </row>
    <row r="499" customFormat="false" ht="15" hidden="false" customHeight="false" outlineLevel="0" collapsed="false">
      <c r="A499" s="15" t="n">
        <f aca="false">2_Matriz_decision!A498</f>
        <v>494</v>
      </c>
      <c r="B499" s="16" t="n">
        <f aca="false">2_Matriz_decision!B498</f>
        <v>49.58</v>
      </c>
      <c r="C499" s="21" t="n">
        <f aca="false">2_Matriz_decision!C498/C$5</f>
        <v>0.0351757961231539</v>
      </c>
      <c r="D499" s="21" t="n">
        <f aca="false">2_Matriz_decision!D498/D$5</f>
        <v>0.0418648306977948</v>
      </c>
      <c r="E499" s="21" t="n">
        <f aca="false">2_Matriz_decision!E498/E$5</f>
        <v>0.0500902437313038</v>
      </c>
      <c r="F499" s="21" t="n">
        <f aca="false">2_Matriz_decision!F498/F$5</f>
        <v>0.0296434583364376</v>
      </c>
      <c r="G499" s="21" t="n">
        <f aca="false">2_Matriz_decision!G498/G$5</f>
        <v>0.0411149420220302</v>
      </c>
      <c r="H499" s="21" t="n">
        <f aca="false">2_Matriz_decision!H498/H$5</f>
        <v>0.0128089386344754</v>
      </c>
      <c r="I499" s="21" t="n">
        <f aca="false">2_Matriz_decision!I498/I$5</f>
        <v>0.0296369482982925</v>
      </c>
      <c r="J499" s="21" t="n">
        <f aca="false">2_Matriz_decision!J498/J$5</f>
        <v>0.0351992440847949</v>
      </c>
      <c r="K499" s="21" t="n">
        <f aca="false">2_Matriz_decision!K498/K$5</f>
        <v>0.039014903418414</v>
      </c>
      <c r="L499" s="21" t="n">
        <f aca="false">2_Matriz_decision!L498/L$5</f>
        <v>0.0322785252347483</v>
      </c>
      <c r="M499" s="21" t="n">
        <f aca="false">2_Matriz_decision!M498/M$5</f>
        <v>0.0441878007760322</v>
      </c>
      <c r="N499" s="21" t="n">
        <f aca="false">2_Matriz_decision!N498/N$5</f>
        <v>0.0560490217345168</v>
      </c>
      <c r="O499" s="21" t="n">
        <f aca="false">2_Matriz_decision!O498/O$5</f>
        <v>0.0304431282773992</v>
      </c>
      <c r="P499" s="21" t="n">
        <f aca="false">2_Matriz_decision!P498/P$5</f>
        <v>0.0529441535179372</v>
      </c>
      <c r="Q499" s="21" t="n">
        <f aca="false">2_Matriz_decision!Q498/Q$5</f>
        <v>0.0133893885620924</v>
      </c>
    </row>
    <row r="500" customFormat="false" ht="15" hidden="false" customHeight="false" outlineLevel="0" collapsed="false">
      <c r="A500" s="15" t="n">
        <f aca="false">2_Matriz_decision!A499</f>
        <v>495</v>
      </c>
      <c r="B500" s="16" t="n">
        <f aca="false">2_Matriz_decision!B499</f>
        <v>49.679</v>
      </c>
      <c r="C500" s="21" t="n">
        <f aca="false">2_Matriz_decision!C499/C$5</f>
        <v>0.0351757961231539</v>
      </c>
      <c r="D500" s="21" t="n">
        <f aca="false">2_Matriz_decision!D499/D$5</f>
        <v>0.0418648306977948</v>
      </c>
      <c r="E500" s="21" t="n">
        <f aca="false">2_Matriz_decision!E499/E$5</f>
        <v>0.0400721949850431</v>
      </c>
      <c r="F500" s="21" t="n">
        <f aca="false">2_Matriz_decision!F499/F$5</f>
        <v>0.0395246111152501</v>
      </c>
      <c r="G500" s="21" t="n">
        <f aca="false">2_Matriz_decision!G499/G$5</f>
        <v>0.0411149420220302</v>
      </c>
      <c r="H500" s="21" t="n">
        <f aca="false">2_Matriz_decision!H499/H$5</f>
        <v>0.0128089386344754</v>
      </c>
      <c r="I500" s="21" t="n">
        <f aca="false">2_Matriz_decision!I499/I$5</f>
        <v>0.0296369482982925</v>
      </c>
      <c r="J500" s="21" t="n">
        <f aca="false">2_Matriz_decision!J499/J$5</f>
        <v>0.0351992440847949</v>
      </c>
      <c r="K500" s="21" t="n">
        <f aca="false">2_Matriz_decision!K499/K$5</f>
        <v>0.039014903418414</v>
      </c>
      <c r="L500" s="21" t="n">
        <f aca="false">2_Matriz_decision!L499/L$5</f>
        <v>0.0324256104781544</v>
      </c>
      <c r="M500" s="21" t="n">
        <f aca="false">2_Matriz_decision!M499/M$5</f>
        <v>0.0441878007760322</v>
      </c>
      <c r="N500" s="21" t="n">
        <f aca="false">2_Matriz_decision!N499/N$5</f>
        <v>0.0560490217345168</v>
      </c>
      <c r="O500" s="21" t="n">
        <f aca="false">2_Matriz_decision!O499/O$5</f>
        <v>0.0304431282773992</v>
      </c>
      <c r="P500" s="21" t="n">
        <f aca="false">2_Matriz_decision!P499/P$5</f>
        <v>0.0529441535179372</v>
      </c>
      <c r="Q500" s="21" t="n">
        <f aca="false">2_Matriz_decision!Q499/Q$5</f>
        <v>0.0133893885620924</v>
      </c>
    </row>
    <row r="501" customFormat="false" ht="15" hidden="false" customHeight="false" outlineLevel="0" collapsed="false">
      <c r="A501" s="15" t="n">
        <f aca="false">2_Matriz_decision!A500</f>
        <v>496</v>
      </c>
      <c r="B501" s="16" t="n">
        <f aca="false">2_Matriz_decision!B500</f>
        <v>49.778</v>
      </c>
      <c r="C501" s="21" t="n">
        <f aca="false">2_Matriz_decision!C500/C$5</f>
        <v>0.0351757961231539</v>
      </c>
      <c r="D501" s="21" t="n">
        <f aca="false">2_Matriz_decision!D500/D$5</f>
        <v>0.0418648306977948</v>
      </c>
      <c r="E501" s="21" t="n">
        <f aca="false">2_Matriz_decision!E500/E$5</f>
        <v>0.0400721949850431</v>
      </c>
      <c r="F501" s="21" t="n">
        <f aca="false">2_Matriz_decision!F500/F$5</f>
        <v>0.0296434583364376</v>
      </c>
      <c r="G501" s="21" t="n">
        <f aca="false">2_Matriz_decision!G500/G$5</f>
        <v>0.0411149420220302</v>
      </c>
      <c r="H501" s="21" t="n">
        <f aca="false">2_Matriz_decision!H500/H$5</f>
        <v>0.0128089386344754</v>
      </c>
      <c r="I501" s="21" t="n">
        <f aca="false">2_Matriz_decision!I500/I$5</f>
        <v>0.0296369482982925</v>
      </c>
      <c r="J501" s="21" t="n">
        <f aca="false">2_Matriz_decision!J500/J$5</f>
        <v>0.0351992440847949</v>
      </c>
      <c r="K501" s="21" t="n">
        <f aca="false">2_Matriz_decision!K500/K$5</f>
        <v>0.039014903418414</v>
      </c>
      <c r="L501" s="21" t="n">
        <f aca="false">2_Matriz_decision!L500/L$5</f>
        <v>0.0324523532496827</v>
      </c>
      <c r="M501" s="21" t="n">
        <f aca="false">2_Matriz_decision!M500/M$5</f>
        <v>0.0437127819176899</v>
      </c>
      <c r="N501" s="21" t="n">
        <f aca="false">2_Matriz_decision!N500/N$5</f>
        <v>0.0560490217345168</v>
      </c>
      <c r="O501" s="21" t="n">
        <f aca="false">2_Matriz_decision!O500/O$5</f>
        <v>0.0304431282773992</v>
      </c>
      <c r="P501" s="21" t="n">
        <f aca="false">2_Matriz_decision!P500/P$5</f>
        <v>0.0529441535179372</v>
      </c>
      <c r="Q501" s="21" t="n">
        <f aca="false">2_Matriz_decision!Q500/Q$5</f>
        <v>0.0133893885620924</v>
      </c>
    </row>
    <row r="502" customFormat="false" ht="15" hidden="false" customHeight="false" outlineLevel="0" collapsed="false">
      <c r="A502" s="15" t="n">
        <f aca="false">2_Matriz_decision!A501</f>
        <v>497</v>
      </c>
      <c r="B502" s="16" t="n">
        <f aca="false">2_Matriz_decision!B501</f>
        <v>49.877</v>
      </c>
      <c r="C502" s="21" t="n">
        <f aca="false">2_Matriz_decision!C501/C$5</f>
        <v>0.0351757961231539</v>
      </c>
      <c r="D502" s="21" t="n">
        <f aca="false">2_Matriz_decision!D501/D$5</f>
        <v>0.0418648306977948</v>
      </c>
      <c r="E502" s="21" t="n">
        <f aca="false">2_Matriz_decision!E501/E$5</f>
        <v>0.0400721949850431</v>
      </c>
      <c r="F502" s="21" t="n">
        <f aca="false">2_Matriz_decision!F501/F$5</f>
        <v>0.0395246111152501</v>
      </c>
      <c r="G502" s="21" t="n">
        <f aca="false">2_Matriz_decision!G501/G$5</f>
        <v>0.0411149420220302</v>
      </c>
      <c r="H502" s="21" t="n">
        <f aca="false">2_Matriz_decision!H501/H$5</f>
        <v>0.0128089386344754</v>
      </c>
      <c r="I502" s="21" t="n">
        <f aca="false">2_Matriz_decision!I501/I$5</f>
        <v>0.0296369482982925</v>
      </c>
      <c r="J502" s="21" t="n">
        <f aca="false">2_Matriz_decision!J501/J$5</f>
        <v>0.0351992440847949</v>
      </c>
      <c r="K502" s="21" t="n">
        <f aca="false">2_Matriz_decision!K501/K$5</f>
        <v>0.039014903418414</v>
      </c>
      <c r="L502" s="21" t="n">
        <f aca="false">2_Matriz_decision!L501/L$5</f>
        <v>0.0320645830625213</v>
      </c>
      <c r="M502" s="21" t="n">
        <f aca="false">2_Matriz_decision!M501/M$5</f>
        <v>0.0423429600936329</v>
      </c>
      <c r="N502" s="21" t="n">
        <f aca="false">2_Matriz_decision!N501/N$5</f>
        <v>0.0560490217345168</v>
      </c>
      <c r="O502" s="21" t="n">
        <f aca="false">2_Matriz_decision!O501/O$5</f>
        <v>0.0304431282773992</v>
      </c>
      <c r="P502" s="21" t="n">
        <f aca="false">2_Matriz_decision!P501/P$5</f>
        <v>0.0529441535179372</v>
      </c>
      <c r="Q502" s="21" t="n">
        <f aca="false">2_Matriz_decision!Q501/Q$5</f>
        <v>0.0133893885620924</v>
      </c>
    </row>
    <row r="503" customFormat="false" ht="15" hidden="false" customHeight="false" outlineLevel="0" collapsed="false">
      <c r="A503" s="15" t="n">
        <f aca="false">2_Matriz_decision!A502</f>
        <v>498</v>
      </c>
      <c r="B503" s="16" t="n">
        <f aca="false">2_Matriz_decision!B502</f>
        <v>49.975</v>
      </c>
      <c r="C503" s="21" t="n">
        <f aca="false">2_Matriz_decision!C502/C$5</f>
        <v>0.0351757961231539</v>
      </c>
      <c r="D503" s="21" t="n">
        <f aca="false">2_Matriz_decision!D502/D$5</f>
        <v>0.0418648306977948</v>
      </c>
      <c r="E503" s="21" t="n">
        <f aca="false">2_Matriz_decision!E502/E$5</f>
        <v>0.0400721949850431</v>
      </c>
      <c r="F503" s="21" t="n">
        <f aca="false">2_Matriz_decision!F502/F$5</f>
        <v>0.0395246111152501</v>
      </c>
      <c r="G503" s="21" t="n">
        <f aca="false">2_Matriz_decision!G502/G$5</f>
        <v>0.0411149420220302</v>
      </c>
      <c r="H503" s="21" t="n">
        <f aca="false">2_Matriz_decision!H502/H$5</f>
        <v>0.0128089386344754</v>
      </c>
      <c r="I503" s="21" t="n">
        <f aca="false">2_Matriz_decision!I502/I$5</f>
        <v>0.0296369482982925</v>
      </c>
      <c r="J503" s="21" t="n">
        <f aca="false">2_Matriz_decision!J502/J$5</f>
        <v>0.0351992440847949</v>
      </c>
      <c r="K503" s="21" t="n">
        <f aca="false">2_Matriz_decision!K502/K$5</f>
        <v>0.039014903418414</v>
      </c>
      <c r="L503" s="21" t="n">
        <f aca="false">2_Matriz_decision!L502/L$5</f>
        <v>0.0317302984184166</v>
      </c>
      <c r="M503" s="21" t="n">
        <f aca="false">2_Matriz_decision!M502/M$5</f>
        <v>0.0431604344079895</v>
      </c>
      <c r="N503" s="21" t="n">
        <f aca="false">2_Matriz_decision!N502/N$5</f>
        <v>0.0560490217345168</v>
      </c>
      <c r="O503" s="21" t="n">
        <f aca="false">2_Matriz_decision!O502/O$5</f>
        <v>0.0304431282773992</v>
      </c>
      <c r="P503" s="21" t="n">
        <f aca="false">2_Matriz_decision!P502/P$5</f>
        <v>0.0529441535179372</v>
      </c>
      <c r="Q503" s="21" t="n">
        <f aca="false">2_Matriz_decision!Q502/Q$5</f>
        <v>0.0133893885620924</v>
      </c>
    </row>
    <row r="504" customFormat="false" ht="15" hidden="false" customHeight="false" outlineLevel="0" collapsed="false">
      <c r="A504" s="15" t="n">
        <f aca="false">2_Matriz_decision!A503</f>
        <v>499</v>
      </c>
      <c r="B504" s="16" t="n">
        <f aca="false">2_Matriz_decision!B503</f>
        <v>50.074</v>
      </c>
      <c r="C504" s="21" t="n">
        <f aca="false">2_Matriz_decision!C503/C$5</f>
        <v>0.0351757961231539</v>
      </c>
      <c r="D504" s="21" t="n">
        <f aca="false">2_Matriz_decision!D503/D$5</f>
        <v>0.0418648306977948</v>
      </c>
      <c r="E504" s="21" t="n">
        <f aca="false">2_Matriz_decision!E503/E$5</f>
        <v>0.0400721949850431</v>
      </c>
      <c r="F504" s="21" t="n">
        <f aca="false">2_Matriz_decision!F503/F$5</f>
        <v>0.0395246111152501</v>
      </c>
      <c r="G504" s="21" t="n">
        <f aca="false">2_Matriz_decision!G503/G$5</f>
        <v>0.0411149420220302</v>
      </c>
      <c r="H504" s="21" t="n">
        <f aca="false">2_Matriz_decision!H503/H$5</f>
        <v>0.0128089386344754</v>
      </c>
      <c r="I504" s="21" t="n">
        <f aca="false">2_Matriz_decision!I503/I$5</f>
        <v>0.0296369482982925</v>
      </c>
      <c r="J504" s="21" t="n">
        <f aca="false">2_Matriz_decision!J503/J$5</f>
        <v>0.0351992440847949</v>
      </c>
      <c r="K504" s="21" t="n">
        <f aca="false">2_Matriz_decision!K503/K$5</f>
        <v>0.039014903418414</v>
      </c>
      <c r="L504" s="21" t="n">
        <f aca="false">2_Matriz_decision!L503/L$5</f>
        <v>0.0305937306284607</v>
      </c>
      <c r="M504" s="21" t="n">
        <f aca="false">2_Matriz_decision!M503/M$5</f>
        <v>0.0441878007760322</v>
      </c>
      <c r="N504" s="21" t="n">
        <f aca="false">2_Matriz_decision!N503/N$5</f>
        <v>0.0560490217345168</v>
      </c>
      <c r="O504" s="21" t="n">
        <f aca="false">2_Matriz_decision!O503/O$5</f>
        <v>0.0304431282773992</v>
      </c>
      <c r="P504" s="21" t="n">
        <f aca="false">2_Matriz_decision!P503/P$5</f>
        <v>0.0529441535179372</v>
      </c>
      <c r="Q504" s="21" t="n">
        <f aca="false">2_Matriz_decision!Q503/Q$5</f>
        <v>0.0133893885620924</v>
      </c>
    </row>
    <row r="505" customFormat="false" ht="15" hidden="false" customHeight="false" outlineLevel="0" collapsed="false">
      <c r="A505" s="15" t="n">
        <f aca="false">2_Matriz_decision!A504</f>
        <v>500</v>
      </c>
      <c r="B505" s="16" t="n">
        <f aca="false">2_Matriz_decision!B504</f>
        <v>50.173</v>
      </c>
      <c r="C505" s="21" t="n">
        <f aca="false">2_Matriz_decision!C504/C$5</f>
        <v>0.0351757961231539</v>
      </c>
      <c r="D505" s="21" t="n">
        <f aca="false">2_Matriz_decision!D504/D$5</f>
        <v>0.0418648306977948</v>
      </c>
      <c r="E505" s="21" t="n">
        <f aca="false">2_Matriz_decision!E504/E$5</f>
        <v>0.0400721949850431</v>
      </c>
      <c r="F505" s="21" t="n">
        <f aca="false">2_Matriz_decision!F504/F$5</f>
        <v>0.0395246111152501</v>
      </c>
      <c r="G505" s="21" t="n">
        <f aca="false">2_Matriz_decision!G504/G$5</f>
        <v>0.0411149420220302</v>
      </c>
      <c r="H505" s="21" t="n">
        <f aca="false">2_Matriz_decision!H504/H$5</f>
        <v>0.0128089386344754</v>
      </c>
      <c r="I505" s="21" t="n">
        <f aca="false">2_Matriz_decision!I504/I$5</f>
        <v>0.0296369482982925</v>
      </c>
      <c r="J505" s="21" t="n">
        <f aca="false">2_Matriz_decision!J504/J$5</f>
        <v>0.0351992440847949</v>
      </c>
      <c r="K505" s="21" t="n">
        <f aca="false">2_Matriz_decision!K504/K$5</f>
        <v>0.039014903418414</v>
      </c>
      <c r="L505" s="21" t="n">
        <f aca="false">2_Matriz_decision!L504/L$5</f>
        <v>0.0305135023138756</v>
      </c>
      <c r="M505" s="21" t="n">
        <f aca="false">2_Matriz_decision!M504/M$5</f>
        <v>0.0441878007760322</v>
      </c>
      <c r="N505" s="21" t="n">
        <f aca="false">2_Matriz_decision!N504/N$5</f>
        <v>0.0560490217345168</v>
      </c>
      <c r="O505" s="21" t="n">
        <f aca="false">2_Matriz_decision!O504/O$5</f>
        <v>0.0304431282773992</v>
      </c>
      <c r="P505" s="21" t="n">
        <f aca="false">2_Matriz_decision!P504/P$5</f>
        <v>0.0529441535179372</v>
      </c>
      <c r="Q505" s="21" t="n">
        <f aca="false">2_Matriz_decision!Q504/Q$5</f>
        <v>0.0133893885620924</v>
      </c>
    </row>
    <row r="506" customFormat="false" ht="15" hidden="false" customHeight="false" outlineLevel="0" collapsed="false">
      <c r="A506" s="15" t="n">
        <f aca="false">2_Matriz_decision!A505</f>
        <v>501</v>
      </c>
      <c r="B506" s="16" t="n">
        <f aca="false">2_Matriz_decision!B505</f>
        <v>50.272</v>
      </c>
      <c r="C506" s="21" t="n">
        <f aca="false">2_Matriz_decision!C505/C$5</f>
        <v>0.0351757961231539</v>
      </c>
      <c r="D506" s="21" t="n">
        <f aca="false">2_Matriz_decision!D505/D$5</f>
        <v>0.0418648306977948</v>
      </c>
      <c r="E506" s="21" t="n">
        <f aca="false">2_Matriz_decision!E505/E$5</f>
        <v>0.0400721949850431</v>
      </c>
      <c r="F506" s="21" t="n">
        <f aca="false">2_Matriz_decision!F505/F$5</f>
        <v>0.0395246111152501</v>
      </c>
      <c r="G506" s="21" t="n">
        <f aca="false">2_Matriz_decision!G505/G$5</f>
        <v>0.0411149420220302</v>
      </c>
      <c r="H506" s="21" t="n">
        <f aca="false">2_Matriz_decision!H505/H$5</f>
        <v>0.0128089386344754</v>
      </c>
      <c r="I506" s="21" t="n">
        <f aca="false">2_Matriz_decision!I505/I$5</f>
        <v>0.0296369482982925</v>
      </c>
      <c r="J506" s="21" t="n">
        <f aca="false">2_Matriz_decision!J505/J$5</f>
        <v>0.0351992440847949</v>
      </c>
      <c r="K506" s="21" t="n">
        <f aca="false">2_Matriz_decision!K505/K$5</f>
        <v>0.039014903418414</v>
      </c>
      <c r="L506" s="21" t="n">
        <f aca="false">2_Matriz_decision!L505/L$5</f>
        <v>0.0318506408902943</v>
      </c>
      <c r="M506" s="21" t="n">
        <f aca="false">2_Matriz_decision!M505/M$5</f>
        <v>0.0441878007760322</v>
      </c>
      <c r="N506" s="21" t="n">
        <f aca="false">2_Matriz_decision!N505/N$5</f>
        <v>0.0560490217345168</v>
      </c>
      <c r="O506" s="21" t="n">
        <f aca="false">2_Matriz_decision!O505/O$5</f>
        <v>0.0304431282773992</v>
      </c>
      <c r="P506" s="21" t="n">
        <f aca="false">2_Matriz_decision!P505/P$5</f>
        <v>0.0529441535179372</v>
      </c>
      <c r="Q506" s="21" t="n">
        <f aca="false">2_Matriz_decision!Q505/Q$5</f>
        <v>0.0133893885620924</v>
      </c>
    </row>
    <row r="507" customFormat="false" ht="15" hidden="false" customHeight="false" outlineLevel="0" collapsed="false">
      <c r="A507" s="15" t="n">
        <f aca="false">2_Matriz_decision!A506</f>
        <v>502</v>
      </c>
      <c r="B507" s="16" t="n">
        <f aca="false">2_Matriz_decision!B506</f>
        <v>50.371</v>
      </c>
      <c r="C507" s="21" t="n">
        <f aca="false">2_Matriz_decision!C506/C$5</f>
        <v>0.0351757961231539</v>
      </c>
      <c r="D507" s="21" t="n">
        <f aca="false">2_Matriz_decision!D506/D$5</f>
        <v>0.0418648306977948</v>
      </c>
      <c r="E507" s="21" t="n">
        <f aca="false">2_Matriz_decision!E506/E$5</f>
        <v>0.0400721949850431</v>
      </c>
      <c r="F507" s="21" t="n">
        <f aca="false">2_Matriz_decision!F506/F$5</f>
        <v>0.0395246111152501</v>
      </c>
      <c r="G507" s="21" t="n">
        <f aca="false">2_Matriz_decision!G506/G$5</f>
        <v>0.0411149420220302</v>
      </c>
      <c r="H507" s="21" t="n">
        <f aca="false">2_Matriz_decision!H506/H$5</f>
        <v>0.0128089386344754</v>
      </c>
      <c r="I507" s="21" t="n">
        <f aca="false">2_Matriz_decision!I506/I$5</f>
        <v>0.0296369482982925</v>
      </c>
      <c r="J507" s="21" t="n">
        <f aca="false">2_Matriz_decision!J506/J$5</f>
        <v>0.0351992440847949</v>
      </c>
      <c r="K507" s="21" t="n">
        <f aca="false">2_Matriz_decision!K506/K$5</f>
        <v>0.039014903418414</v>
      </c>
      <c r="L507" s="21" t="n">
        <f aca="false">2_Matriz_decision!L506/L$5</f>
        <v>0.0316768128753599</v>
      </c>
      <c r="M507" s="21" t="n">
        <f aca="false">2_Matriz_decision!M506/M$5</f>
        <v>0.0441878007760322</v>
      </c>
      <c r="N507" s="21" t="n">
        <f aca="false">2_Matriz_decision!N506/N$5</f>
        <v>0.0560490217345168</v>
      </c>
      <c r="O507" s="21" t="n">
        <f aca="false">2_Matriz_decision!O506/O$5</f>
        <v>0.0304431282773992</v>
      </c>
      <c r="P507" s="21" t="n">
        <f aca="false">2_Matriz_decision!P506/P$5</f>
        <v>0.0529441535179372</v>
      </c>
      <c r="Q507" s="21" t="n">
        <f aca="false">2_Matriz_decision!Q506/Q$5</f>
        <v>0.0133893885620924</v>
      </c>
    </row>
    <row r="508" customFormat="false" ht="15" hidden="false" customHeight="false" outlineLevel="0" collapsed="false">
      <c r="A508" s="15" t="n">
        <f aca="false">2_Matriz_decision!A507</f>
        <v>503</v>
      </c>
      <c r="B508" s="16" t="n">
        <f aca="false">2_Matriz_decision!B507</f>
        <v>50.471</v>
      </c>
      <c r="C508" s="21" t="n">
        <f aca="false">2_Matriz_decision!C507/C$5</f>
        <v>0.0351757961231539</v>
      </c>
      <c r="D508" s="21" t="n">
        <f aca="false">2_Matriz_decision!D507/D$5</f>
        <v>0.0418648306977948</v>
      </c>
      <c r="E508" s="21" t="n">
        <f aca="false">2_Matriz_decision!E507/E$5</f>
        <v>0.0400721949850431</v>
      </c>
      <c r="F508" s="21" t="n">
        <f aca="false">2_Matriz_decision!F507/F$5</f>
        <v>0.0395246111152501</v>
      </c>
      <c r="G508" s="21" t="n">
        <f aca="false">2_Matriz_decision!G507/G$5</f>
        <v>0.0411149420220302</v>
      </c>
      <c r="H508" s="21" t="n">
        <f aca="false">2_Matriz_decision!H507/H$5</f>
        <v>0.0128089386344754</v>
      </c>
      <c r="I508" s="21" t="n">
        <f aca="false">2_Matriz_decision!I507/I$5</f>
        <v>0.0296369482982925</v>
      </c>
      <c r="J508" s="21" t="n">
        <f aca="false">2_Matriz_decision!J507/J$5</f>
        <v>0.0351992440847949</v>
      </c>
      <c r="K508" s="21" t="n">
        <f aca="false">2_Matriz_decision!K507/K$5</f>
        <v>0.039014903418414</v>
      </c>
      <c r="L508" s="21" t="n">
        <f aca="false">2_Matriz_decision!L507/L$5</f>
        <v>0.0323854963208618</v>
      </c>
      <c r="M508" s="21" t="n">
        <f aca="false">2_Matriz_decision!M507/M$5</f>
        <v>0.0441878007760322</v>
      </c>
      <c r="N508" s="21" t="n">
        <f aca="false">2_Matriz_decision!N507/N$5</f>
        <v>0.0560490217345168</v>
      </c>
      <c r="O508" s="21" t="n">
        <f aca="false">2_Matriz_decision!O507/O$5</f>
        <v>0.0304431282773992</v>
      </c>
      <c r="P508" s="21" t="n">
        <f aca="false">2_Matriz_decision!P507/P$5</f>
        <v>0.0529441535179372</v>
      </c>
      <c r="Q508" s="21" t="n">
        <f aca="false">2_Matriz_decision!Q507/Q$5</f>
        <v>0.0133893885620924</v>
      </c>
    </row>
    <row r="509" customFormat="false" ht="15" hidden="false" customHeight="false" outlineLevel="0" collapsed="false">
      <c r="A509" s="15" t="n">
        <f aca="false">2_Matriz_decision!A508</f>
        <v>504</v>
      </c>
      <c r="B509" s="16" t="n">
        <f aca="false">2_Matriz_decision!B508</f>
        <v>50.57</v>
      </c>
      <c r="C509" s="21" t="n">
        <f aca="false">2_Matriz_decision!C508/C$5</f>
        <v>0.0439697451539424</v>
      </c>
      <c r="D509" s="21" t="n">
        <f aca="false">2_Matriz_decision!D508/D$5</f>
        <v>0.0418648306977948</v>
      </c>
      <c r="E509" s="21" t="n">
        <f aca="false">2_Matriz_decision!E508/E$5</f>
        <v>0.0400721949850431</v>
      </c>
      <c r="F509" s="21" t="n">
        <f aca="false">2_Matriz_decision!F508/F$5</f>
        <v>0.0395246111152501</v>
      </c>
      <c r="G509" s="21" t="n">
        <f aca="false">2_Matriz_decision!G508/G$5</f>
        <v>0.0411149420220302</v>
      </c>
      <c r="H509" s="21" t="n">
        <f aca="false">2_Matriz_decision!H508/H$5</f>
        <v>0.0128089386344754</v>
      </c>
      <c r="I509" s="21" t="n">
        <f aca="false">2_Matriz_decision!I508/I$5</f>
        <v>0.0296369482982925</v>
      </c>
      <c r="J509" s="21" t="n">
        <f aca="false">2_Matriz_decision!J508/J$5</f>
        <v>0.0351992440847949</v>
      </c>
      <c r="K509" s="21" t="n">
        <f aca="false">2_Matriz_decision!K508/K$5</f>
        <v>0.039014903418414</v>
      </c>
      <c r="L509" s="21" t="n">
        <f aca="false">2_Matriz_decision!L508/L$5</f>
        <v>0.0330005800660144</v>
      </c>
      <c r="M509" s="21" t="n">
        <f aca="false">2_Matriz_decision!M508/M$5</f>
        <v>0.0441878007760322</v>
      </c>
      <c r="N509" s="21" t="n">
        <f aca="false">2_Matriz_decision!N508/N$5</f>
        <v>0.0560490217345168</v>
      </c>
      <c r="O509" s="21" t="n">
        <f aca="false">2_Matriz_decision!O508/O$5</f>
        <v>0.0304431282773992</v>
      </c>
      <c r="P509" s="21" t="n">
        <f aca="false">2_Matriz_decision!P508/P$5</f>
        <v>0.0529441535179372</v>
      </c>
      <c r="Q509" s="21" t="n">
        <f aca="false">2_Matriz_decision!Q508/Q$5</f>
        <v>0.0133893885620924</v>
      </c>
    </row>
    <row r="510" customFormat="false" ht="15" hidden="false" customHeight="false" outlineLevel="0" collapsed="false">
      <c r="A510" s="15" t="n">
        <f aca="false">2_Matriz_decision!A509</f>
        <v>505</v>
      </c>
      <c r="B510" s="16" t="n">
        <f aca="false">2_Matriz_decision!B509</f>
        <v>50.67</v>
      </c>
      <c r="C510" s="21" t="n">
        <f aca="false">2_Matriz_decision!C509/C$5</f>
        <v>0.0351757961231539</v>
      </c>
      <c r="D510" s="21" t="n">
        <f aca="false">2_Matriz_decision!D509/D$5</f>
        <v>0.0418648306977948</v>
      </c>
      <c r="E510" s="21" t="n">
        <f aca="false">2_Matriz_decision!E509/E$5</f>
        <v>0.0400721949850431</v>
      </c>
      <c r="F510" s="21" t="n">
        <f aca="false">2_Matriz_decision!F509/F$5</f>
        <v>0.0395246111152501</v>
      </c>
      <c r="G510" s="21" t="n">
        <f aca="false">2_Matriz_decision!G509/G$5</f>
        <v>0.0411149420220302</v>
      </c>
      <c r="H510" s="21" t="n">
        <f aca="false">2_Matriz_decision!H509/H$5</f>
        <v>0.0128089386344754</v>
      </c>
      <c r="I510" s="21" t="n">
        <f aca="false">2_Matriz_decision!I509/I$5</f>
        <v>0.0296369482982925</v>
      </c>
      <c r="J510" s="21" t="n">
        <f aca="false">2_Matriz_decision!J509/J$5</f>
        <v>0.0351992440847949</v>
      </c>
      <c r="K510" s="21" t="n">
        <f aca="false">2_Matriz_decision!K509/K$5</f>
        <v>0.039014903418414</v>
      </c>
      <c r="L510" s="21" t="n">
        <f aca="false">2_Matriz_decision!L509/L$5</f>
        <v>0.0326395526503814</v>
      </c>
      <c r="M510" s="21" t="n">
        <f aca="false">2_Matriz_decision!M509/M$5</f>
        <v>0.0441878007760322</v>
      </c>
      <c r="N510" s="21" t="n">
        <f aca="false">2_Matriz_decision!N509/N$5</f>
        <v>0.0448392173876134</v>
      </c>
      <c r="O510" s="21" t="n">
        <f aca="false">2_Matriz_decision!O509/O$5</f>
        <v>0.0304431282773992</v>
      </c>
      <c r="P510" s="21" t="n">
        <f aca="false">2_Matriz_decision!P509/P$5</f>
        <v>0.0529441535179372</v>
      </c>
      <c r="Q510" s="21" t="n">
        <f aca="false">2_Matriz_decision!Q509/Q$5</f>
        <v>0.0133893885620924</v>
      </c>
    </row>
    <row r="511" customFormat="false" ht="15" hidden="false" customHeight="false" outlineLevel="0" collapsed="false">
      <c r="A511" s="15" t="n">
        <f aca="false">2_Matriz_decision!A510</f>
        <v>506</v>
      </c>
      <c r="B511" s="16" t="n">
        <f aca="false">2_Matriz_decision!B510</f>
        <v>50.769</v>
      </c>
      <c r="C511" s="21" t="n">
        <f aca="false">2_Matriz_decision!C510/C$5</f>
        <v>0.0351757961231539</v>
      </c>
      <c r="D511" s="21" t="n">
        <f aca="false">2_Matriz_decision!D510/D$5</f>
        <v>0.0418648306977948</v>
      </c>
      <c r="E511" s="21" t="n">
        <f aca="false">2_Matriz_decision!E510/E$5</f>
        <v>0.0400721949850431</v>
      </c>
      <c r="F511" s="21" t="n">
        <f aca="false">2_Matriz_decision!F510/F$5</f>
        <v>0.0296434583364376</v>
      </c>
      <c r="G511" s="21" t="n">
        <f aca="false">2_Matriz_decision!G510/G$5</f>
        <v>0.0411149420220302</v>
      </c>
      <c r="H511" s="21" t="n">
        <f aca="false">2_Matriz_decision!H510/H$5</f>
        <v>0.0128089386344754</v>
      </c>
      <c r="I511" s="21" t="n">
        <f aca="false">2_Matriz_decision!I510/I$5</f>
        <v>0.0148184741491462</v>
      </c>
      <c r="J511" s="21" t="n">
        <f aca="false">2_Matriz_decision!J510/J$5</f>
        <v>0.0351992440847949</v>
      </c>
      <c r="K511" s="21" t="n">
        <f aca="false">2_Matriz_decision!K510/K$5</f>
        <v>0.039014903418414</v>
      </c>
      <c r="L511" s="21" t="n">
        <f aca="false">2_Matriz_decision!L510/L$5</f>
        <v>0.032545952950032</v>
      </c>
      <c r="M511" s="21" t="n">
        <f aca="false">2_Matriz_decision!M510/M$5</f>
        <v>0.0441878007760322</v>
      </c>
      <c r="N511" s="21" t="n">
        <f aca="false">2_Matriz_decision!N510/N$5</f>
        <v>0.0448392173876134</v>
      </c>
      <c r="O511" s="21" t="n">
        <f aca="false">2_Matriz_decision!O510/O$5</f>
        <v>0.0304431282773992</v>
      </c>
      <c r="P511" s="21" t="n">
        <f aca="false">2_Matriz_decision!P510/P$5</f>
        <v>0.0529441535179372</v>
      </c>
      <c r="Q511" s="21" t="n">
        <f aca="false">2_Matriz_decision!Q510/Q$5</f>
        <v>0.0133893885620924</v>
      </c>
    </row>
    <row r="512" customFormat="false" ht="15" hidden="false" customHeight="false" outlineLevel="0" collapsed="false">
      <c r="A512" s="15" t="n">
        <f aca="false">2_Matriz_decision!A511</f>
        <v>507</v>
      </c>
      <c r="B512" s="16" t="n">
        <f aca="false">2_Matriz_decision!B511</f>
        <v>50.869</v>
      </c>
      <c r="C512" s="21" t="n">
        <f aca="false">2_Matriz_decision!C511/C$5</f>
        <v>0.0351757961231539</v>
      </c>
      <c r="D512" s="21" t="n">
        <f aca="false">2_Matriz_decision!D511/D$5</f>
        <v>0.0418648306977948</v>
      </c>
      <c r="E512" s="21" t="n">
        <f aca="false">2_Matriz_decision!E511/E$5</f>
        <v>0.0300541462387823</v>
      </c>
      <c r="F512" s="21" t="n">
        <f aca="false">2_Matriz_decision!F511/F$5</f>
        <v>0.0296434583364376</v>
      </c>
      <c r="G512" s="21" t="n">
        <f aca="false">2_Matriz_decision!G511/G$5</f>
        <v>0.0411149420220302</v>
      </c>
      <c r="H512" s="21" t="n">
        <f aca="false">2_Matriz_decision!H511/H$5</f>
        <v>0.0128089386344754</v>
      </c>
      <c r="I512" s="21" t="n">
        <f aca="false">2_Matriz_decision!I511/I$5</f>
        <v>0.0148184741491462</v>
      </c>
      <c r="J512" s="21" t="n">
        <f aca="false">2_Matriz_decision!J511/J$5</f>
        <v>0.0351992440847949</v>
      </c>
      <c r="K512" s="21" t="n">
        <f aca="false">2_Matriz_decision!K511/K$5</f>
        <v>0.039014903418414</v>
      </c>
      <c r="L512" s="21" t="n">
        <f aca="false">2_Matriz_decision!L511/L$5</f>
        <v>0.0325726957215604</v>
      </c>
      <c r="M512" s="21" t="n">
        <f aca="false">2_Matriz_decision!M511/M$5</f>
        <v>0.0441878007760322</v>
      </c>
      <c r="N512" s="21" t="n">
        <f aca="false">2_Matriz_decision!N511/N$5</f>
        <v>0.0448392173876134</v>
      </c>
      <c r="O512" s="21" t="n">
        <f aca="false">2_Matriz_decision!O511/O$5</f>
        <v>0.0304431282773992</v>
      </c>
      <c r="P512" s="21" t="n">
        <f aca="false">2_Matriz_decision!P511/P$5</f>
        <v>0.0529441535179372</v>
      </c>
      <c r="Q512" s="21" t="n">
        <f aca="false">2_Matriz_decision!Q511/Q$5</f>
        <v>0.0133893885620924</v>
      </c>
    </row>
    <row r="513" customFormat="false" ht="15" hidden="false" customHeight="false" outlineLevel="0" collapsed="false">
      <c r="A513" s="15" t="n">
        <f aca="false">2_Matriz_decision!A512</f>
        <v>508</v>
      </c>
      <c r="B513" s="16" t="n">
        <f aca="false">2_Matriz_decision!B512</f>
        <v>50.969</v>
      </c>
      <c r="C513" s="21" t="n">
        <f aca="false">2_Matriz_decision!C512/C$5</f>
        <v>0.0351757961231539</v>
      </c>
      <c r="D513" s="21" t="n">
        <f aca="false">2_Matriz_decision!D512/D$5</f>
        <v>0.0418648306977948</v>
      </c>
      <c r="E513" s="21" t="n">
        <f aca="false">2_Matriz_decision!E512/E$5</f>
        <v>0.0300541462387823</v>
      </c>
      <c r="F513" s="21" t="n">
        <f aca="false">2_Matriz_decision!F512/F$5</f>
        <v>0.0395246111152501</v>
      </c>
      <c r="G513" s="21" t="n">
        <f aca="false">2_Matriz_decision!G512/G$5</f>
        <v>0.0411149420220302</v>
      </c>
      <c r="H513" s="21" t="n">
        <f aca="false">2_Matriz_decision!H512/H$5</f>
        <v>0.0128089386344754</v>
      </c>
      <c r="I513" s="21" t="n">
        <f aca="false">2_Matriz_decision!I512/I$5</f>
        <v>0.0148184741491462</v>
      </c>
      <c r="J513" s="21" t="n">
        <f aca="false">2_Matriz_decision!J512/J$5</f>
        <v>0.0351992440847949</v>
      </c>
      <c r="K513" s="21" t="n">
        <f aca="false">2_Matriz_decision!K512/K$5</f>
        <v>0.039014903418414</v>
      </c>
      <c r="L513" s="21" t="n">
        <f aca="false">2_Matriz_decision!L512/L$5</f>
        <v>0.0311419574447924</v>
      </c>
      <c r="M513" s="21" t="n">
        <f aca="false">2_Matriz_decision!M512/M$5</f>
        <v>0.0441878007760322</v>
      </c>
      <c r="N513" s="21" t="n">
        <f aca="false">2_Matriz_decision!N512/N$5</f>
        <v>0.0448392173876134</v>
      </c>
      <c r="O513" s="21" t="n">
        <f aca="false">2_Matriz_decision!O512/O$5</f>
        <v>0.0304431282773992</v>
      </c>
      <c r="P513" s="21" t="n">
        <f aca="false">2_Matriz_decision!P512/P$5</f>
        <v>0.0529441535179372</v>
      </c>
      <c r="Q513" s="21" t="n">
        <f aca="false">2_Matriz_decision!Q512/Q$5</f>
        <v>0.0133893885620924</v>
      </c>
    </row>
    <row r="514" customFormat="false" ht="15" hidden="false" customHeight="false" outlineLevel="0" collapsed="false">
      <c r="A514" s="15" t="n">
        <f aca="false">2_Matriz_decision!A513</f>
        <v>509</v>
      </c>
      <c r="B514" s="16" t="n">
        <f aca="false">2_Matriz_decision!B513</f>
        <v>51.068</v>
      </c>
      <c r="C514" s="21" t="n">
        <f aca="false">2_Matriz_decision!C513/C$5</f>
        <v>0.0439697451539424</v>
      </c>
      <c r="D514" s="21" t="n">
        <f aca="false">2_Matriz_decision!D513/D$5</f>
        <v>0.0418648306977948</v>
      </c>
      <c r="E514" s="21" t="n">
        <f aca="false">2_Matriz_decision!E513/E$5</f>
        <v>0.0200360974925215</v>
      </c>
      <c r="F514" s="21" t="n">
        <f aca="false">2_Matriz_decision!F513/F$5</f>
        <v>0.0395246111152501</v>
      </c>
      <c r="G514" s="21" t="n">
        <f aca="false">2_Matriz_decision!G513/G$5</f>
        <v>0.0411149420220302</v>
      </c>
      <c r="H514" s="21" t="n">
        <f aca="false">2_Matriz_decision!H513/H$5</f>
        <v>0.0128089386344754</v>
      </c>
      <c r="I514" s="21" t="n">
        <f aca="false">2_Matriz_decision!I513/I$5</f>
        <v>0.0148184741491462</v>
      </c>
      <c r="J514" s="21" t="n">
        <f aca="false">2_Matriz_decision!J513/J$5</f>
        <v>0.0351992440847949</v>
      </c>
      <c r="K514" s="21" t="n">
        <f aca="false">2_Matriz_decision!K513/K$5</f>
        <v>0.039014903418414</v>
      </c>
      <c r="L514" s="21" t="n">
        <f aca="false">2_Matriz_decision!L513/L$5</f>
        <v>0.0288821932506447</v>
      </c>
      <c r="M514" s="21" t="n">
        <f aca="false">2_Matriz_decision!M513/M$5</f>
        <v>0.0441878007760322</v>
      </c>
      <c r="N514" s="21" t="n">
        <f aca="false">2_Matriz_decision!N513/N$5</f>
        <v>0.0448392173876134</v>
      </c>
      <c r="O514" s="21" t="n">
        <f aca="false">2_Matriz_decision!O513/O$5</f>
        <v>0.0304431282773992</v>
      </c>
      <c r="P514" s="21" t="n">
        <f aca="false">2_Matriz_decision!P513/P$5</f>
        <v>0.0529441535179372</v>
      </c>
      <c r="Q514" s="21" t="n">
        <f aca="false">2_Matriz_decision!Q513/Q$5</f>
        <v>0.0133893885620924</v>
      </c>
    </row>
    <row r="515" customFormat="false" ht="15" hidden="false" customHeight="false" outlineLevel="0" collapsed="false">
      <c r="A515" s="15" t="n">
        <f aca="false">2_Matriz_decision!A514</f>
        <v>510</v>
      </c>
      <c r="B515" s="16" t="n">
        <f aca="false">2_Matriz_decision!B514</f>
        <v>51.168</v>
      </c>
      <c r="C515" s="21" t="n">
        <f aca="false">2_Matriz_decision!C514/C$5</f>
        <v>0.0439697451539424</v>
      </c>
      <c r="D515" s="21" t="n">
        <f aca="false">2_Matriz_decision!D514/D$5</f>
        <v>0.0418648306977948</v>
      </c>
      <c r="E515" s="21" t="n">
        <f aca="false">2_Matriz_decision!E514/E$5</f>
        <v>0.0100180487462608</v>
      </c>
      <c r="F515" s="21" t="n">
        <f aca="false">2_Matriz_decision!F514/F$5</f>
        <v>0.0395246111152501</v>
      </c>
      <c r="G515" s="21" t="n">
        <f aca="false">2_Matriz_decision!G514/G$5</f>
        <v>0.0411149420220302</v>
      </c>
      <c r="H515" s="21" t="n">
        <f aca="false">2_Matriz_decision!H514/H$5</f>
        <v>0.0128089386344754</v>
      </c>
      <c r="I515" s="21" t="n">
        <f aca="false">2_Matriz_decision!I514/I$5</f>
        <v>0.0148184741491462</v>
      </c>
      <c r="J515" s="21" t="n">
        <f aca="false">2_Matriz_decision!J514/J$5</f>
        <v>0.0351992440847949</v>
      </c>
      <c r="K515" s="21" t="n">
        <f aca="false">2_Matriz_decision!K514/K$5</f>
        <v>0.039014903418414</v>
      </c>
      <c r="L515" s="21" t="n">
        <f aca="false">2_Matriz_decision!L514/L$5</f>
        <v>0.0300321324263648</v>
      </c>
      <c r="M515" s="21" t="n">
        <f aca="false">2_Matriz_decision!M514/M$5</f>
        <v>0.0441878007760322</v>
      </c>
      <c r="N515" s="21" t="n">
        <f aca="false">2_Matriz_decision!N514/N$5</f>
        <v>0.0448392173876134</v>
      </c>
      <c r="O515" s="21" t="n">
        <f aca="false">2_Matriz_decision!O514/O$5</f>
        <v>0.0304431282773992</v>
      </c>
      <c r="P515" s="21" t="n">
        <f aca="false">2_Matriz_decision!P514/P$5</f>
        <v>0.0529441535179372</v>
      </c>
      <c r="Q515" s="21" t="n">
        <f aca="false">2_Matriz_decision!Q514/Q$5</f>
        <v>0.0133893885620924</v>
      </c>
    </row>
    <row r="516" customFormat="false" ht="15" hidden="false" customHeight="false" outlineLevel="0" collapsed="false">
      <c r="A516" s="15" t="n">
        <f aca="false">2_Matriz_decision!A515</f>
        <v>511</v>
      </c>
      <c r="B516" s="16" t="n">
        <f aca="false">2_Matriz_decision!B515</f>
        <v>51.269</v>
      </c>
      <c r="C516" s="21" t="n">
        <f aca="false">2_Matriz_decision!C515/C$5</f>
        <v>0.0439697451539424</v>
      </c>
      <c r="D516" s="21" t="n">
        <f aca="false">2_Matriz_decision!D515/D$5</f>
        <v>0.0418648306977948</v>
      </c>
      <c r="E516" s="21" t="n">
        <f aca="false">2_Matriz_decision!E515/E$5</f>
        <v>0.0100180487462608</v>
      </c>
      <c r="F516" s="21" t="n">
        <f aca="false">2_Matriz_decision!F515/F$5</f>
        <v>0.0395246111152501</v>
      </c>
      <c r="G516" s="21" t="n">
        <f aca="false">2_Matriz_decision!G515/G$5</f>
        <v>0.0411149420220302</v>
      </c>
      <c r="H516" s="21" t="n">
        <f aca="false">2_Matriz_decision!H515/H$5</f>
        <v>0.0128089386344754</v>
      </c>
      <c r="I516" s="21" t="n">
        <f aca="false">2_Matriz_decision!I515/I$5</f>
        <v>0.0148184741491462</v>
      </c>
      <c r="J516" s="21" t="n">
        <f aca="false">2_Matriz_decision!J515/J$5</f>
        <v>0.0351992440847949</v>
      </c>
      <c r="K516" s="21" t="n">
        <f aca="false">2_Matriz_decision!K515/K$5</f>
        <v>0.039014903418414</v>
      </c>
      <c r="L516" s="21" t="n">
        <f aca="false">2_Matriz_decision!L515/L$5</f>
        <v>0.0308611583437444</v>
      </c>
      <c r="M516" s="21" t="n">
        <f aca="false">2_Matriz_decision!M515/M$5</f>
        <v>0.0441878007760322</v>
      </c>
      <c r="N516" s="21" t="n">
        <f aca="false">2_Matriz_decision!N515/N$5</f>
        <v>0.0448392173876134</v>
      </c>
      <c r="O516" s="21" t="n">
        <f aca="false">2_Matriz_decision!O515/O$5</f>
        <v>0.0304431282773992</v>
      </c>
      <c r="P516" s="21" t="n">
        <f aca="false">2_Matriz_decision!P515/P$5</f>
        <v>0.0529441535179372</v>
      </c>
      <c r="Q516" s="21" t="n">
        <f aca="false">2_Matriz_decision!Q515/Q$5</f>
        <v>0.0133893885620924</v>
      </c>
    </row>
    <row r="517" customFormat="false" ht="15" hidden="false" customHeight="false" outlineLevel="0" collapsed="false">
      <c r="A517" s="15" t="n">
        <f aca="false">2_Matriz_decision!A516</f>
        <v>512</v>
      </c>
      <c r="B517" s="16" t="n">
        <f aca="false">2_Matriz_decision!B516</f>
        <v>51.369</v>
      </c>
      <c r="C517" s="21" t="n">
        <f aca="false">2_Matriz_decision!C516/C$5</f>
        <v>0.0439697451539424</v>
      </c>
      <c r="D517" s="21" t="n">
        <f aca="false">2_Matriz_decision!D516/D$5</f>
        <v>0.0418648306977948</v>
      </c>
      <c r="E517" s="21" t="n">
        <f aca="false">2_Matriz_decision!E516/E$5</f>
        <v>0.0100180487462608</v>
      </c>
      <c r="F517" s="21" t="n">
        <f aca="false">2_Matriz_decision!F516/F$5</f>
        <v>0.0296434583364376</v>
      </c>
      <c r="G517" s="21" t="n">
        <f aca="false">2_Matriz_decision!G516/G$5</f>
        <v>0.0411149420220302</v>
      </c>
      <c r="H517" s="21" t="n">
        <f aca="false">2_Matriz_decision!H516/H$5</f>
        <v>0.0128089386344754</v>
      </c>
      <c r="I517" s="21" t="n">
        <f aca="false">2_Matriz_decision!I516/I$5</f>
        <v>0.0148184741491462</v>
      </c>
      <c r="J517" s="21" t="n">
        <f aca="false">2_Matriz_decision!J516/J$5</f>
        <v>0.0351992440847949</v>
      </c>
      <c r="K517" s="21" t="n">
        <f aca="false">2_Matriz_decision!K516/K$5</f>
        <v>0.039014903418414</v>
      </c>
      <c r="L517" s="21" t="n">
        <f aca="false">2_Matriz_decision!L516/L$5</f>
        <v>0.0307943014149235</v>
      </c>
      <c r="M517" s="21" t="n">
        <f aca="false">2_Matriz_decision!M516/M$5</f>
        <v>0.0441878007760322</v>
      </c>
      <c r="N517" s="21" t="n">
        <f aca="false">2_Matriz_decision!N516/N$5</f>
        <v>0.0448392173876134</v>
      </c>
      <c r="O517" s="21" t="n">
        <f aca="false">2_Matriz_decision!O516/O$5</f>
        <v>0.0304431282773992</v>
      </c>
      <c r="P517" s="21" t="n">
        <f aca="false">2_Matriz_decision!P516/P$5</f>
        <v>0.0529441535179372</v>
      </c>
      <c r="Q517" s="21" t="n">
        <f aca="false">2_Matriz_decision!Q516/Q$5</f>
        <v>0.0133893885620924</v>
      </c>
    </row>
    <row r="518" customFormat="false" ht="15" hidden="false" customHeight="false" outlineLevel="0" collapsed="false">
      <c r="A518" s="15" t="n">
        <f aca="false">2_Matriz_decision!A517</f>
        <v>513</v>
      </c>
      <c r="B518" s="16" t="n">
        <f aca="false">2_Matriz_decision!B517</f>
        <v>51.47</v>
      </c>
      <c r="C518" s="21" t="n">
        <f aca="false">2_Matriz_decision!C517/C$5</f>
        <v>0.0439697451539424</v>
      </c>
      <c r="D518" s="21" t="n">
        <f aca="false">2_Matriz_decision!D517/D$5</f>
        <v>0.0418648306977948</v>
      </c>
      <c r="E518" s="21" t="n">
        <f aca="false">2_Matriz_decision!E517/E$5</f>
        <v>0.0100180487462608</v>
      </c>
      <c r="F518" s="21" t="n">
        <f aca="false">2_Matriz_decision!F517/F$5</f>
        <v>0.0395246111152501</v>
      </c>
      <c r="G518" s="21" t="n">
        <f aca="false">2_Matriz_decision!G517/G$5</f>
        <v>0.0411149420220302</v>
      </c>
      <c r="H518" s="21" t="n">
        <f aca="false">2_Matriz_decision!H517/H$5</f>
        <v>0.0128089386344754</v>
      </c>
      <c r="I518" s="21" t="n">
        <f aca="false">2_Matriz_decision!I517/I$5</f>
        <v>0.0148184741491462</v>
      </c>
      <c r="J518" s="21" t="n">
        <f aca="false">2_Matriz_decision!J517/J$5</f>
        <v>0.0351992440847949</v>
      </c>
      <c r="K518" s="21" t="n">
        <f aca="false">2_Matriz_decision!K517/K$5</f>
        <v>0.039014903418414</v>
      </c>
      <c r="L518" s="21" t="n">
        <f aca="false">2_Matriz_decision!L517/L$5</f>
        <v>0.0308879011152728</v>
      </c>
      <c r="M518" s="21" t="n">
        <f aca="false">2_Matriz_decision!M517/M$5</f>
        <v>0.0441878007760322</v>
      </c>
      <c r="N518" s="21" t="n">
        <f aca="false">2_Matriz_decision!N517/N$5</f>
        <v>0.0448392173876134</v>
      </c>
      <c r="O518" s="21" t="n">
        <f aca="false">2_Matriz_decision!O517/O$5</f>
        <v>0.0304431282773992</v>
      </c>
      <c r="P518" s="21" t="n">
        <f aca="false">2_Matriz_decision!P517/P$5</f>
        <v>0.0529441535179372</v>
      </c>
      <c r="Q518" s="21" t="n">
        <f aca="false">2_Matriz_decision!Q517/Q$5</f>
        <v>0.0133893885620924</v>
      </c>
    </row>
    <row r="519" customFormat="false" ht="15" hidden="false" customHeight="false" outlineLevel="0" collapsed="false">
      <c r="A519" s="15" t="n">
        <f aca="false">2_Matriz_decision!A518</f>
        <v>514</v>
      </c>
      <c r="B519" s="16" t="n">
        <f aca="false">2_Matriz_decision!B518</f>
        <v>51.571</v>
      </c>
      <c r="C519" s="21" t="n">
        <f aca="false">2_Matriz_decision!C518/C$5</f>
        <v>0.0439697451539424</v>
      </c>
      <c r="D519" s="21" t="n">
        <f aca="false">2_Matriz_decision!D518/D$5</f>
        <v>0.0418648306977948</v>
      </c>
      <c r="E519" s="21" t="n">
        <f aca="false">2_Matriz_decision!E518/E$5</f>
        <v>0.0100180487462608</v>
      </c>
      <c r="F519" s="21" t="n">
        <f aca="false">2_Matriz_decision!F518/F$5</f>
        <v>0.0395246111152501</v>
      </c>
      <c r="G519" s="21" t="n">
        <f aca="false">2_Matriz_decision!G518/G$5</f>
        <v>0.0411149420220302</v>
      </c>
      <c r="H519" s="21" t="n">
        <f aca="false">2_Matriz_decision!H518/H$5</f>
        <v>0.0128089386344754</v>
      </c>
      <c r="I519" s="21" t="n">
        <f aca="false">2_Matriz_decision!I518/I$5</f>
        <v>0.0148184741491462</v>
      </c>
      <c r="J519" s="21" t="n">
        <f aca="false">2_Matriz_decision!J518/J$5</f>
        <v>0.0351992440847949</v>
      </c>
      <c r="K519" s="21" t="n">
        <f aca="false">2_Matriz_decision!K518/K$5</f>
        <v>0.039014903418414</v>
      </c>
      <c r="L519" s="21" t="n">
        <f aca="false">2_Matriz_decision!L518/L$5</f>
        <v>0.0292031065089852</v>
      </c>
      <c r="M519" s="21" t="n">
        <f aca="false">2_Matriz_decision!M518/M$5</f>
        <v>0.0441878007760322</v>
      </c>
      <c r="N519" s="21" t="n">
        <f aca="false">2_Matriz_decision!N518/N$5</f>
        <v>0.0448392173876134</v>
      </c>
      <c r="O519" s="21" t="n">
        <f aca="false">2_Matriz_decision!O518/O$5</f>
        <v>0.0304431282773992</v>
      </c>
      <c r="P519" s="21" t="n">
        <f aca="false">2_Matriz_decision!P518/P$5</f>
        <v>0.0529441535179372</v>
      </c>
      <c r="Q519" s="21" t="n">
        <f aca="false">2_Matriz_decision!Q518/Q$5</f>
        <v>0.0133893885620924</v>
      </c>
    </row>
    <row r="520" customFormat="false" ht="15" hidden="false" customHeight="false" outlineLevel="0" collapsed="false">
      <c r="A520" s="15" t="n">
        <f aca="false">2_Matriz_decision!A519</f>
        <v>515</v>
      </c>
      <c r="B520" s="16" t="n">
        <f aca="false">2_Matriz_decision!B519</f>
        <v>51.672</v>
      </c>
      <c r="C520" s="21" t="n">
        <f aca="false">2_Matriz_decision!C519/C$5</f>
        <v>0.0439697451539424</v>
      </c>
      <c r="D520" s="21" t="n">
        <f aca="false">2_Matriz_decision!D519/D$5</f>
        <v>0.0418648306977948</v>
      </c>
      <c r="E520" s="21" t="n">
        <f aca="false">2_Matriz_decision!E519/E$5</f>
        <v>0.0100180487462608</v>
      </c>
      <c r="F520" s="21" t="n">
        <f aca="false">2_Matriz_decision!F519/F$5</f>
        <v>0.0395246111152501</v>
      </c>
      <c r="G520" s="21" t="n">
        <f aca="false">2_Matriz_decision!G519/G$5</f>
        <v>0.0411149420220302</v>
      </c>
      <c r="H520" s="21" t="n">
        <f aca="false">2_Matriz_decision!H519/H$5</f>
        <v>0.0128089386344754</v>
      </c>
      <c r="I520" s="21" t="n">
        <f aca="false">2_Matriz_decision!I519/I$5</f>
        <v>0.0148184741491462</v>
      </c>
      <c r="J520" s="21" t="n">
        <f aca="false">2_Matriz_decision!J519/J$5</f>
        <v>0.0351992440847949</v>
      </c>
      <c r="K520" s="21" t="n">
        <f aca="false">2_Matriz_decision!K519/K$5</f>
        <v>0.039014903418414</v>
      </c>
      <c r="L520" s="21" t="n">
        <f aca="false">2_Matriz_decision!L519/L$5</f>
        <v>0.0301658462840067</v>
      </c>
      <c r="M520" s="21" t="n">
        <f aca="false">2_Matriz_decision!M519/M$5</f>
        <v>0.0441878007760322</v>
      </c>
      <c r="N520" s="21" t="n">
        <f aca="false">2_Matriz_decision!N519/N$5</f>
        <v>0.0448392173876134</v>
      </c>
      <c r="O520" s="21" t="n">
        <f aca="false">2_Matriz_decision!O519/O$5</f>
        <v>0.0304431282773992</v>
      </c>
      <c r="P520" s="21" t="n">
        <f aca="false">2_Matriz_decision!P519/P$5</f>
        <v>0.0529441535179372</v>
      </c>
      <c r="Q520" s="21" t="n">
        <f aca="false">2_Matriz_decision!Q519/Q$5</f>
        <v>0.0133893885620924</v>
      </c>
    </row>
    <row r="521" customFormat="false" ht="15" hidden="false" customHeight="false" outlineLevel="0" collapsed="false">
      <c r="A521" s="15" t="n">
        <f aca="false">2_Matriz_decision!A520</f>
        <v>516</v>
      </c>
      <c r="B521" s="16" t="n">
        <f aca="false">2_Matriz_decision!B520</f>
        <v>51.773</v>
      </c>
      <c r="C521" s="21" t="n">
        <f aca="false">2_Matriz_decision!C520/C$5</f>
        <v>0.0439697451539424</v>
      </c>
      <c r="D521" s="21" t="n">
        <f aca="false">2_Matriz_decision!D520/D$5</f>
        <v>0.0418648306977948</v>
      </c>
      <c r="E521" s="21" t="n">
        <f aca="false">2_Matriz_decision!E520/E$5</f>
        <v>0.0100180487462608</v>
      </c>
      <c r="F521" s="21" t="n">
        <f aca="false">2_Matriz_decision!F520/F$5</f>
        <v>0.0296434583364376</v>
      </c>
      <c r="G521" s="21" t="n">
        <f aca="false">2_Matriz_decision!G520/G$5</f>
        <v>0.0411149420220302</v>
      </c>
      <c r="H521" s="21" t="n">
        <f aca="false">2_Matriz_decision!H520/H$5</f>
        <v>0.0128089386344754</v>
      </c>
      <c r="I521" s="21" t="n">
        <f aca="false">2_Matriz_decision!I520/I$5</f>
        <v>0.0148184741491462</v>
      </c>
      <c r="J521" s="21" t="n">
        <f aca="false">2_Matriz_decision!J520/J$5</f>
        <v>0.0351992440847949</v>
      </c>
      <c r="K521" s="21" t="n">
        <f aca="false">2_Matriz_decision!K520/K$5</f>
        <v>0.039014903418414</v>
      </c>
      <c r="L521" s="21" t="n">
        <f aca="false">2_Matriz_decision!L520/L$5</f>
        <v>0.031115214673264</v>
      </c>
      <c r="M521" s="21" t="n">
        <f aca="false">2_Matriz_decision!M520/M$5</f>
        <v>0.0441878007760322</v>
      </c>
      <c r="N521" s="21" t="n">
        <f aca="false">2_Matriz_decision!N520/N$5</f>
        <v>0.0448392173876134</v>
      </c>
      <c r="O521" s="21" t="n">
        <f aca="false">2_Matriz_decision!O520/O$5</f>
        <v>0.0304431282773992</v>
      </c>
      <c r="P521" s="21" t="n">
        <f aca="false">2_Matriz_decision!P520/P$5</f>
        <v>0.0529441535179372</v>
      </c>
      <c r="Q521" s="21" t="n">
        <f aca="false">2_Matriz_decision!Q520/Q$5</f>
        <v>0.0133893885620924</v>
      </c>
    </row>
    <row r="522" customFormat="false" ht="15" hidden="false" customHeight="false" outlineLevel="0" collapsed="false">
      <c r="A522" s="15" t="n">
        <f aca="false">2_Matriz_decision!A521</f>
        <v>517</v>
      </c>
      <c r="B522" s="16" t="n">
        <f aca="false">2_Matriz_decision!B521</f>
        <v>51.873</v>
      </c>
      <c r="C522" s="21" t="n">
        <f aca="false">2_Matriz_decision!C521/C$5</f>
        <v>0.0439697451539424</v>
      </c>
      <c r="D522" s="21" t="n">
        <f aca="false">2_Matriz_decision!D521/D$5</f>
        <v>0.0418648306977948</v>
      </c>
      <c r="E522" s="21" t="n">
        <f aca="false">2_Matriz_decision!E521/E$5</f>
        <v>0.0100180487462608</v>
      </c>
      <c r="F522" s="21" t="n">
        <f aca="false">2_Matriz_decision!F521/F$5</f>
        <v>0.0296434583364376</v>
      </c>
      <c r="G522" s="21" t="n">
        <f aca="false">2_Matriz_decision!G521/G$5</f>
        <v>0.0411149420220302</v>
      </c>
      <c r="H522" s="21" t="n">
        <f aca="false">2_Matriz_decision!H521/H$5</f>
        <v>0.0128089386344754</v>
      </c>
      <c r="I522" s="21" t="n">
        <f aca="false">2_Matriz_decision!I521/I$5</f>
        <v>0.0148184741491462</v>
      </c>
      <c r="J522" s="21" t="n">
        <f aca="false">2_Matriz_decision!J521/J$5</f>
        <v>0.0351992440847949</v>
      </c>
      <c r="K522" s="21" t="n">
        <f aca="false">2_Matriz_decision!K521/K$5</f>
        <v>0.039014903418414</v>
      </c>
      <c r="L522" s="21" t="n">
        <f aca="false">2_Matriz_decision!L521/L$5</f>
        <v>0.0278927107040948</v>
      </c>
      <c r="M522" s="21" t="n">
        <f aca="false">2_Matriz_decision!M521/M$5</f>
        <v>0.0441878007760322</v>
      </c>
      <c r="N522" s="21" t="n">
        <f aca="false">2_Matriz_decision!N521/N$5</f>
        <v>0.0448392173876134</v>
      </c>
      <c r="O522" s="21" t="n">
        <f aca="false">2_Matriz_decision!O521/O$5</f>
        <v>0.0304431282773992</v>
      </c>
      <c r="P522" s="21" t="n">
        <f aca="false">2_Matriz_decision!P521/P$5</f>
        <v>0.0529441535179372</v>
      </c>
      <c r="Q522" s="21" t="n">
        <f aca="false">2_Matriz_decision!Q521/Q$5</f>
        <v>0.0133893885620924</v>
      </c>
    </row>
    <row r="523" customFormat="false" ht="15" hidden="false" customHeight="false" outlineLevel="0" collapsed="false">
      <c r="A523" s="15" t="n">
        <f aca="false">2_Matriz_decision!A522</f>
        <v>518</v>
      </c>
      <c r="B523" s="16" t="n">
        <f aca="false">2_Matriz_decision!B522</f>
        <v>51.974</v>
      </c>
      <c r="C523" s="21" t="n">
        <f aca="false">2_Matriz_decision!C522/C$5</f>
        <v>0.0439697451539424</v>
      </c>
      <c r="D523" s="21" t="n">
        <f aca="false">2_Matriz_decision!D522/D$5</f>
        <v>0.0418648306977948</v>
      </c>
      <c r="E523" s="21" t="n">
        <f aca="false">2_Matriz_decision!E522/E$5</f>
        <v>0.0200360974925215</v>
      </c>
      <c r="F523" s="21" t="n">
        <f aca="false">2_Matriz_decision!F522/F$5</f>
        <v>0.0296434583364376</v>
      </c>
      <c r="G523" s="21" t="n">
        <f aca="false">2_Matriz_decision!G522/G$5</f>
        <v>0.0411149420220302</v>
      </c>
      <c r="H523" s="21" t="n">
        <f aca="false">2_Matriz_decision!H522/H$5</f>
        <v>0.0128089386344754</v>
      </c>
      <c r="I523" s="21" t="n">
        <f aca="false">2_Matriz_decision!I522/I$5</f>
        <v>0.0148184741491462</v>
      </c>
      <c r="J523" s="21" t="n">
        <f aca="false">2_Matriz_decision!J522/J$5</f>
        <v>0.0351992440847949</v>
      </c>
      <c r="K523" s="21" t="n">
        <f aca="false">2_Matriz_decision!K522/K$5</f>
        <v>0.039014903418414</v>
      </c>
      <c r="L523" s="21" t="n">
        <f aca="false">2_Matriz_decision!L522/L$5</f>
        <v>0.0308076728006877</v>
      </c>
      <c r="M523" s="21" t="n">
        <f aca="false">2_Matriz_decision!M522/M$5</f>
        <v>0.0408847626680238</v>
      </c>
      <c r="N523" s="21" t="n">
        <f aca="false">2_Matriz_decision!N522/N$5</f>
        <v>0.0448392173876134</v>
      </c>
      <c r="O523" s="21" t="n">
        <f aca="false">2_Matriz_decision!O522/O$5</f>
        <v>0.0304431282773992</v>
      </c>
      <c r="P523" s="21" t="n">
        <f aca="false">2_Matriz_decision!P522/P$5</f>
        <v>0.0529441535179372</v>
      </c>
      <c r="Q523" s="21" t="n">
        <f aca="false">2_Matriz_decision!Q522/Q$5</f>
        <v>0.0267787771241848</v>
      </c>
    </row>
    <row r="524" customFormat="false" ht="15" hidden="false" customHeight="false" outlineLevel="0" collapsed="false">
      <c r="A524" s="15" t="n">
        <f aca="false">2_Matriz_decision!A523</f>
        <v>519</v>
      </c>
      <c r="B524" s="16" t="n">
        <f aca="false">2_Matriz_decision!B523</f>
        <v>52.075</v>
      </c>
      <c r="C524" s="21" t="n">
        <f aca="false">2_Matriz_decision!C523/C$5</f>
        <v>0.0439697451539424</v>
      </c>
      <c r="D524" s="21" t="n">
        <f aca="false">2_Matriz_decision!D523/D$5</f>
        <v>0.0418648306977948</v>
      </c>
      <c r="E524" s="21" t="n">
        <f aca="false">2_Matriz_decision!E523/E$5</f>
        <v>0.0300541462387823</v>
      </c>
      <c r="F524" s="21" t="n">
        <f aca="false">2_Matriz_decision!F523/F$5</f>
        <v>0.0296434583364376</v>
      </c>
      <c r="G524" s="21" t="n">
        <f aca="false">2_Matriz_decision!G523/G$5</f>
        <v>0.0411149420220302</v>
      </c>
      <c r="H524" s="21" t="n">
        <f aca="false">2_Matriz_decision!H523/H$5</f>
        <v>0.0128089386344754</v>
      </c>
      <c r="I524" s="21" t="n">
        <f aca="false">2_Matriz_decision!I523/I$5</f>
        <v>0.0148184741491462</v>
      </c>
      <c r="J524" s="21" t="n">
        <f aca="false">2_Matriz_decision!J523/J$5</f>
        <v>0.0351992440847949</v>
      </c>
      <c r="K524" s="21" t="n">
        <f aca="false">2_Matriz_decision!K523/K$5</f>
        <v>0.039014903418414</v>
      </c>
      <c r="L524" s="21" t="n">
        <f aca="false">2_Matriz_decision!L523/L$5</f>
        <v>0.0342307475563196</v>
      </c>
      <c r="M524" s="21" t="n">
        <f aca="false">2_Matriz_decision!M523/M$5</f>
        <v>0.0384654805755361</v>
      </c>
      <c r="N524" s="21" t="n">
        <f aca="false">2_Matriz_decision!N523/N$5</f>
        <v>0.0448392173876134</v>
      </c>
      <c r="O524" s="21" t="n">
        <f aca="false">2_Matriz_decision!O523/O$5</f>
        <v>0.0304431282773992</v>
      </c>
      <c r="P524" s="21" t="n">
        <f aca="false">2_Matriz_decision!P523/P$5</f>
        <v>0.0529441535179372</v>
      </c>
      <c r="Q524" s="21" t="n">
        <f aca="false">2_Matriz_decision!Q523/Q$5</f>
        <v>0.0133893885620924</v>
      </c>
    </row>
    <row r="525" customFormat="false" ht="15" hidden="false" customHeight="false" outlineLevel="0" collapsed="false">
      <c r="A525" s="15" t="n">
        <f aca="false">2_Matriz_decision!A524</f>
        <v>520</v>
      </c>
      <c r="B525" s="16" t="n">
        <f aca="false">2_Matriz_decision!B524</f>
        <v>52.176</v>
      </c>
      <c r="C525" s="21" t="n">
        <f aca="false">2_Matriz_decision!C524/C$5</f>
        <v>0.0439697451539424</v>
      </c>
      <c r="D525" s="21" t="n">
        <f aca="false">2_Matriz_decision!D524/D$5</f>
        <v>0.0418648306977948</v>
      </c>
      <c r="E525" s="21" t="n">
        <f aca="false">2_Matriz_decision!E524/E$5</f>
        <v>0.0200360974925215</v>
      </c>
      <c r="F525" s="21" t="n">
        <f aca="false">2_Matriz_decision!F524/F$5</f>
        <v>0.0296434583364376</v>
      </c>
      <c r="G525" s="21" t="n">
        <f aca="false">2_Matriz_decision!G524/G$5</f>
        <v>0.0411149420220302</v>
      </c>
      <c r="H525" s="21" t="n">
        <f aca="false">2_Matriz_decision!H524/H$5</f>
        <v>0.0128089386344754</v>
      </c>
      <c r="I525" s="21" t="n">
        <f aca="false">2_Matriz_decision!I524/I$5</f>
        <v>0.0148184741491462</v>
      </c>
      <c r="J525" s="21" t="n">
        <f aca="false">2_Matriz_decision!J524/J$5</f>
        <v>0.0351992440847949</v>
      </c>
      <c r="K525" s="21" t="n">
        <f aca="false">2_Matriz_decision!K524/K$5</f>
        <v>0.039014903418414</v>
      </c>
      <c r="L525" s="21" t="n">
        <f aca="false">2_Matriz_decision!L524/L$5</f>
        <v>0.0310884719017356</v>
      </c>
      <c r="M525" s="21" t="n">
        <f aca="false">2_Matriz_decision!M524/M$5</f>
        <v>0.043845345320018</v>
      </c>
      <c r="N525" s="21" t="n">
        <f aca="false">2_Matriz_decision!N524/N$5</f>
        <v>0.0448392173876134</v>
      </c>
      <c r="O525" s="21" t="n">
        <f aca="false">2_Matriz_decision!O524/O$5</f>
        <v>0.0304431282773992</v>
      </c>
      <c r="P525" s="21" t="n">
        <f aca="false">2_Matriz_decision!P524/P$5</f>
        <v>0.0529441535179372</v>
      </c>
      <c r="Q525" s="21" t="n">
        <f aca="false">2_Matriz_decision!Q524/Q$5</f>
        <v>0.0133893885620924</v>
      </c>
    </row>
    <row r="526" customFormat="false" ht="15" hidden="false" customHeight="false" outlineLevel="0" collapsed="false">
      <c r="A526" s="15" t="n">
        <f aca="false">2_Matriz_decision!A525</f>
        <v>521</v>
      </c>
      <c r="B526" s="16" t="n">
        <f aca="false">2_Matriz_decision!B525</f>
        <v>52.276</v>
      </c>
      <c r="C526" s="21" t="n">
        <f aca="false">2_Matriz_decision!C525/C$5</f>
        <v>0.0439697451539424</v>
      </c>
      <c r="D526" s="21" t="n">
        <f aca="false">2_Matriz_decision!D525/D$5</f>
        <v>0.0418648306977948</v>
      </c>
      <c r="E526" s="21" t="n">
        <f aca="false">2_Matriz_decision!E525/E$5</f>
        <v>0.0100180487462608</v>
      </c>
      <c r="F526" s="21" t="n">
        <f aca="false">2_Matriz_decision!F525/F$5</f>
        <v>0.0296434583364376</v>
      </c>
      <c r="G526" s="21" t="n">
        <f aca="false">2_Matriz_decision!G525/G$5</f>
        <v>0.0411149420220302</v>
      </c>
      <c r="H526" s="21" t="n">
        <f aca="false">2_Matriz_decision!H525/H$5</f>
        <v>0.0128089386344754</v>
      </c>
      <c r="I526" s="21" t="n">
        <f aca="false">2_Matriz_decision!I525/I$5</f>
        <v>0.0148184741491462</v>
      </c>
      <c r="J526" s="21" t="n">
        <f aca="false">2_Matriz_decision!J525/J$5</f>
        <v>0.0351992440847949</v>
      </c>
      <c r="K526" s="21" t="n">
        <f aca="false">2_Matriz_decision!K525/K$5</f>
        <v>0.039014903418414</v>
      </c>
      <c r="L526" s="21" t="n">
        <f aca="false">2_Matriz_decision!L525/L$5</f>
        <v>0.028828707707588</v>
      </c>
      <c r="M526" s="21" t="n">
        <f aca="false">2_Matriz_decision!M525/M$5</f>
        <v>0.0441878007760322</v>
      </c>
      <c r="N526" s="21" t="n">
        <f aca="false">2_Matriz_decision!N525/N$5</f>
        <v>0.0448392173876134</v>
      </c>
      <c r="O526" s="21" t="n">
        <f aca="false">2_Matriz_decision!O525/O$5</f>
        <v>0.0304431282773992</v>
      </c>
      <c r="P526" s="21" t="n">
        <f aca="false">2_Matriz_decision!P525/P$5</f>
        <v>0.0529441535179372</v>
      </c>
      <c r="Q526" s="21" t="n">
        <f aca="false">2_Matriz_decision!Q525/Q$5</f>
        <v>0.0133893885620924</v>
      </c>
    </row>
    <row r="527" customFormat="false" ht="15" hidden="false" customHeight="false" outlineLevel="0" collapsed="false">
      <c r="A527" s="15" t="n">
        <f aca="false">2_Matriz_decision!A526</f>
        <v>522</v>
      </c>
      <c r="B527" s="16" t="n">
        <f aca="false">2_Matriz_decision!B526</f>
        <v>52.377</v>
      </c>
      <c r="C527" s="21" t="n">
        <f aca="false">2_Matriz_decision!C526/C$5</f>
        <v>0.0439697451539424</v>
      </c>
      <c r="D527" s="21" t="n">
        <f aca="false">2_Matriz_decision!D526/D$5</f>
        <v>0.0418648306977948</v>
      </c>
      <c r="E527" s="21" t="n">
        <f aca="false">2_Matriz_decision!E526/E$5</f>
        <v>0.0100180487462608</v>
      </c>
      <c r="F527" s="21" t="n">
        <f aca="false">2_Matriz_decision!F526/F$5</f>
        <v>0.0296434583364376</v>
      </c>
      <c r="G527" s="21" t="n">
        <f aca="false">2_Matriz_decision!G526/G$5</f>
        <v>0.0411149420220302</v>
      </c>
      <c r="H527" s="21" t="n">
        <f aca="false">2_Matriz_decision!H526/H$5</f>
        <v>0.0128089386344754</v>
      </c>
      <c r="I527" s="21" t="n">
        <f aca="false">2_Matriz_decision!I526/I$5</f>
        <v>0.0148184741491462</v>
      </c>
      <c r="J527" s="21" t="n">
        <f aca="false">2_Matriz_decision!J526/J$5</f>
        <v>0.0351992440847949</v>
      </c>
      <c r="K527" s="21" t="n">
        <f aca="false">2_Matriz_decision!K526/K$5</f>
        <v>0.039014903418414</v>
      </c>
      <c r="L527" s="21" t="n">
        <f aca="false">2_Matriz_decision!L526/L$5</f>
        <v>0.0285612799923042</v>
      </c>
      <c r="M527" s="21" t="n">
        <f aca="false">2_Matriz_decision!M526/M$5</f>
        <v>0.0441878007760322</v>
      </c>
      <c r="N527" s="21" t="n">
        <f aca="false">2_Matriz_decision!N526/N$5</f>
        <v>0.0448392173876134</v>
      </c>
      <c r="O527" s="21" t="n">
        <f aca="false">2_Matriz_decision!O526/O$5</f>
        <v>0.0304431282773992</v>
      </c>
      <c r="P527" s="21" t="n">
        <f aca="false">2_Matriz_decision!P526/P$5</f>
        <v>0.0529441535179372</v>
      </c>
      <c r="Q527" s="21" t="n">
        <f aca="false">2_Matriz_decision!Q526/Q$5</f>
        <v>0.0133893885620924</v>
      </c>
    </row>
    <row r="528" customFormat="false" ht="15" hidden="false" customHeight="false" outlineLevel="0" collapsed="false">
      <c r="A528" s="15" t="n">
        <f aca="false">2_Matriz_decision!A527</f>
        <v>523</v>
      </c>
      <c r="B528" s="16" t="n">
        <f aca="false">2_Matriz_decision!B527</f>
        <v>52.478</v>
      </c>
      <c r="C528" s="21" t="n">
        <f aca="false">2_Matriz_decision!C527/C$5</f>
        <v>0.0439697451539424</v>
      </c>
      <c r="D528" s="21" t="n">
        <f aca="false">2_Matriz_decision!D527/D$5</f>
        <v>0.0418648306977948</v>
      </c>
      <c r="E528" s="21" t="n">
        <f aca="false">2_Matriz_decision!E527/E$5</f>
        <v>0.0100180487462608</v>
      </c>
      <c r="F528" s="21" t="n">
        <f aca="false">2_Matriz_decision!F527/F$5</f>
        <v>0.0296434583364376</v>
      </c>
      <c r="G528" s="21" t="n">
        <f aca="false">2_Matriz_decision!G527/G$5</f>
        <v>0.0411149420220302</v>
      </c>
      <c r="H528" s="21" t="n">
        <f aca="false">2_Matriz_decision!H527/H$5</f>
        <v>0.0128089386344754</v>
      </c>
      <c r="I528" s="21" t="n">
        <f aca="false">2_Matriz_decision!I527/I$5</f>
        <v>0.0148184741491462</v>
      </c>
      <c r="J528" s="21" t="n">
        <f aca="false">2_Matriz_decision!J527/J$5</f>
        <v>0.0351992440847949</v>
      </c>
      <c r="K528" s="21" t="n">
        <f aca="false">2_Matriz_decision!K527/K$5</f>
        <v>0.039014903418414</v>
      </c>
      <c r="L528" s="21" t="n">
        <f aca="false">2_Matriz_decision!L527/L$5</f>
        <v>0.0286682510784177</v>
      </c>
      <c r="M528" s="21" t="n">
        <f aca="false">2_Matriz_decision!M527/M$5</f>
        <v>0.0441878007760322</v>
      </c>
      <c r="N528" s="21" t="n">
        <f aca="false">2_Matriz_decision!N527/N$5</f>
        <v>0.0448392173876134</v>
      </c>
      <c r="O528" s="21" t="n">
        <f aca="false">2_Matriz_decision!O527/O$5</f>
        <v>0.0304431282773992</v>
      </c>
      <c r="P528" s="21" t="n">
        <f aca="false">2_Matriz_decision!P527/P$5</f>
        <v>0.0529441535179372</v>
      </c>
      <c r="Q528" s="21" t="n">
        <f aca="false">2_Matriz_decision!Q527/Q$5</f>
        <v>0.0133893885620924</v>
      </c>
    </row>
    <row r="529" customFormat="false" ht="15" hidden="false" customHeight="false" outlineLevel="0" collapsed="false">
      <c r="A529" s="15" t="n">
        <f aca="false">2_Matriz_decision!A528</f>
        <v>524</v>
      </c>
      <c r="B529" s="16" t="n">
        <f aca="false">2_Matriz_decision!B528</f>
        <v>52.578</v>
      </c>
      <c r="C529" s="21" t="n">
        <f aca="false">2_Matriz_decision!C528/C$5</f>
        <v>0.0351757961231539</v>
      </c>
      <c r="D529" s="21" t="n">
        <f aca="false">2_Matriz_decision!D528/D$5</f>
        <v>0.0418648306977948</v>
      </c>
      <c r="E529" s="21" t="n">
        <f aca="false">2_Matriz_decision!E528/E$5</f>
        <v>0.0200360974925215</v>
      </c>
      <c r="F529" s="21" t="n">
        <f aca="false">2_Matriz_decision!F528/F$5</f>
        <v>0.0296434583364376</v>
      </c>
      <c r="G529" s="21" t="n">
        <f aca="false">2_Matriz_decision!G528/G$5</f>
        <v>0.0411149420220302</v>
      </c>
      <c r="H529" s="21" t="n">
        <f aca="false">2_Matriz_decision!H528/H$5</f>
        <v>0.0128089386344754</v>
      </c>
      <c r="I529" s="21" t="n">
        <f aca="false">2_Matriz_decision!I528/I$5</f>
        <v>0.0148184741491462</v>
      </c>
      <c r="J529" s="21" t="n">
        <f aca="false">2_Matriz_decision!J528/J$5</f>
        <v>0.0351992440847949</v>
      </c>
      <c r="K529" s="21" t="n">
        <f aca="false">2_Matriz_decision!K528/K$5</f>
        <v>0.039014903418414</v>
      </c>
      <c r="L529" s="21" t="n">
        <f aca="false">2_Matriz_decision!L528/L$5</f>
        <v>0.0285746513780684</v>
      </c>
      <c r="M529" s="21" t="n">
        <f aca="false">2_Matriz_decision!M528/M$5</f>
        <v>0.0441878007760322</v>
      </c>
      <c r="N529" s="21" t="n">
        <f aca="false">2_Matriz_decision!N528/N$5</f>
        <v>0.0448392173876134</v>
      </c>
      <c r="O529" s="21" t="n">
        <f aca="false">2_Matriz_decision!O528/O$5</f>
        <v>0.0304431282773992</v>
      </c>
      <c r="P529" s="21" t="n">
        <f aca="false">2_Matriz_decision!P528/P$5</f>
        <v>0.0529441535179372</v>
      </c>
      <c r="Q529" s="21" t="n">
        <f aca="false">2_Matriz_decision!Q528/Q$5</f>
        <v>0.0133893885620924</v>
      </c>
    </row>
    <row r="530" customFormat="false" ht="15" hidden="false" customHeight="false" outlineLevel="0" collapsed="false">
      <c r="A530" s="15" t="n">
        <f aca="false">2_Matriz_decision!A529</f>
        <v>525</v>
      </c>
      <c r="B530" s="16" t="n">
        <f aca="false">2_Matriz_decision!B529</f>
        <v>52.679</v>
      </c>
      <c r="C530" s="21" t="n">
        <f aca="false">2_Matriz_decision!C529/C$5</f>
        <v>0.0351757961231539</v>
      </c>
      <c r="D530" s="21" t="n">
        <f aca="false">2_Matriz_decision!D529/D$5</f>
        <v>0.0418648306977948</v>
      </c>
      <c r="E530" s="21" t="n">
        <f aca="false">2_Matriz_decision!E529/E$5</f>
        <v>0.0300541462387823</v>
      </c>
      <c r="F530" s="21" t="n">
        <f aca="false">2_Matriz_decision!F529/F$5</f>
        <v>0.0296434583364376</v>
      </c>
      <c r="G530" s="21" t="n">
        <f aca="false">2_Matriz_decision!G529/G$5</f>
        <v>0.0411149420220302</v>
      </c>
      <c r="H530" s="21" t="n">
        <f aca="false">2_Matriz_decision!H529/H$5</f>
        <v>0.0128089386344754</v>
      </c>
      <c r="I530" s="21" t="n">
        <f aca="false">2_Matriz_decision!I529/I$5</f>
        <v>0.0148184741491462</v>
      </c>
      <c r="J530" s="21" t="n">
        <f aca="false">2_Matriz_decision!J529/J$5</f>
        <v>0.0351992440847949</v>
      </c>
      <c r="K530" s="21" t="n">
        <f aca="false">2_Matriz_decision!K529/K$5</f>
        <v>0.039014903418414</v>
      </c>
      <c r="L530" s="21" t="n">
        <f aca="false">2_Matriz_decision!L529/L$5</f>
        <v>0.0293368203666271</v>
      </c>
      <c r="M530" s="21" t="n">
        <f aca="false">2_Matriz_decision!M529/M$5</f>
        <v>0.0441878007760322</v>
      </c>
      <c r="N530" s="21" t="n">
        <f aca="false">2_Matriz_decision!N529/N$5</f>
        <v>0.0448392173876134</v>
      </c>
      <c r="O530" s="21" t="n">
        <f aca="false">2_Matriz_decision!O529/O$5</f>
        <v>0.0304431282773992</v>
      </c>
      <c r="P530" s="21" t="n">
        <f aca="false">2_Matriz_decision!P529/P$5</f>
        <v>0.0529441535179372</v>
      </c>
      <c r="Q530" s="21" t="n">
        <f aca="false">2_Matriz_decision!Q529/Q$5</f>
        <v>0.0133893885620924</v>
      </c>
    </row>
    <row r="531" customFormat="false" ht="15" hidden="false" customHeight="false" outlineLevel="0" collapsed="false">
      <c r="A531" s="15" t="n">
        <f aca="false">2_Matriz_decision!A530</f>
        <v>526</v>
      </c>
      <c r="B531" s="16" t="n">
        <f aca="false">2_Matriz_decision!B530</f>
        <v>52.779</v>
      </c>
      <c r="C531" s="21" t="n">
        <f aca="false">2_Matriz_decision!C530/C$5</f>
        <v>0.0351757961231539</v>
      </c>
      <c r="D531" s="21" t="n">
        <f aca="false">2_Matriz_decision!D530/D$5</f>
        <v>0.0418648306977948</v>
      </c>
      <c r="E531" s="21" t="n">
        <f aca="false">2_Matriz_decision!E530/E$5</f>
        <v>0.0300541462387823</v>
      </c>
      <c r="F531" s="21" t="n">
        <f aca="false">2_Matriz_decision!F530/F$5</f>
        <v>0.0197623055576251</v>
      </c>
      <c r="G531" s="21" t="n">
        <f aca="false">2_Matriz_decision!G530/G$5</f>
        <v>0.0411149420220302</v>
      </c>
      <c r="H531" s="21" t="n">
        <f aca="false">2_Matriz_decision!H530/H$5</f>
        <v>0.0128089386344754</v>
      </c>
      <c r="I531" s="21" t="n">
        <f aca="false">2_Matriz_decision!I530/I$5</f>
        <v>0.0148184741491462</v>
      </c>
      <c r="J531" s="21" t="n">
        <f aca="false">2_Matriz_decision!J530/J$5</f>
        <v>0.0351992440847949</v>
      </c>
      <c r="K531" s="21" t="n">
        <f aca="false">2_Matriz_decision!K530/K$5</f>
        <v>0.039014903418414</v>
      </c>
      <c r="L531" s="21" t="n">
        <f aca="false">2_Matriz_decision!L530/L$5</f>
        <v>0.0297647047110811</v>
      </c>
      <c r="M531" s="21" t="n">
        <f aca="false">2_Matriz_decision!M530/M$5</f>
        <v>0.042530758246931</v>
      </c>
      <c r="N531" s="21" t="n">
        <f aca="false">2_Matriz_decision!N530/N$5</f>
        <v>0.0448392173876134</v>
      </c>
      <c r="O531" s="21" t="n">
        <f aca="false">2_Matriz_decision!O530/O$5</f>
        <v>0.0304431282773992</v>
      </c>
      <c r="P531" s="21" t="n">
        <f aca="false">2_Matriz_decision!P530/P$5</f>
        <v>0.0529441535179372</v>
      </c>
      <c r="Q531" s="21" t="n">
        <f aca="false">2_Matriz_decision!Q530/Q$5</f>
        <v>0.0133893885620924</v>
      </c>
    </row>
    <row r="532" customFormat="false" ht="15" hidden="false" customHeight="false" outlineLevel="0" collapsed="false">
      <c r="A532" s="15" t="n">
        <f aca="false">2_Matriz_decision!A531</f>
        <v>527</v>
      </c>
      <c r="B532" s="16" t="n">
        <f aca="false">2_Matriz_decision!B531</f>
        <v>52.88</v>
      </c>
      <c r="C532" s="21" t="n">
        <f aca="false">2_Matriz_decision!C531/C$5</f>
        <v>0.0351757961231539</v>
      </c>
      <c r="D532" s="21" t="n">
        <f aca="false">2_Matriz_decision!D531/D$5</f>
        <v>0.0418648306977948</v>
      </c>
      <c r="E532" s="21" t="n">
        <f aca="false">2_Matriz_decision!E531/E$5</f>
        <v>0.0200360974925215</v>
      </c>
      <c r="F532" s="21" t="n">
        <f aca="false">2_Matriz_decision!F531/F$5</f>
        <v>0.0395246111152501</v>
      </c>
      <c r="G532" s="21" t="n">
        <f aca="false">2_Matriz_decision!G531/G$5</f>
        <v>0.0411149420220302</v>
      </c>
      <c r="H532" s="21" t="n">
        <f aca="false">2_Matriz_decision!H531/H$5</f>
        <v>0.0128089386344754</v>
      </c>
      <c r="I532" s="21" t="n">
        <f aca="false">2_Matriz_decision!I531/I$5</f>
        <v>0.0148184741491462</v>
      </c>
      <c r="J532" s="21" t="n">
        <f aca="false">2_Matriz_decision!J531/J$5</f>
        <v>0.0351992440847949</v>
      </c>
      <c r="K532" s="21" t="n">
        <f aca="false">2_Matriz_decision!K531/K$5</f>
        <v>0.039014903418414</v>
      </c>
      <c r="L532" s="21" t="n">
        <f aca="false">2_Matriz_decision!L531/L$5</f>
        <v>0.0303263029131769</v>
      </c>
      <c r="M532" s="21" t="n">
        <f aca="false">2_Matriz_decision!M531/M$5</f>
        <v>0.0419673637870366</v>
      </c>
      <c r="N532" s="21" t="n">
        <f aca="false">2_Matriz_decision!N531/N$5</f>
        <v>0.0448392173876134</v>
      </c>
      <c r="O532" s="21" t="n">
        <f aca="false">2_Matriz_decision!O531/O$5</f>
        <v>0.0304431282773992</v>
      </c>
      <c r="P532" s="21" t="n">
        <f aca="false">2_Matriz_decision!P531/P$5</f>
        <v>0.0529441535179372</v>
      </c>
      <c r="Q532" s="21" t="n">
        <f aca="false">2_Matriz_decision!Q531/Q$5</f>
        <v>0.0133893885620924</v>
      </c>
    </row>
    <row r="533" customFormat="false" ht="15" hidden="false" customHeight="false" outlineLevel="0" collapsed="false">
      <c r="A533" s="15" t="n">
        <f aca="false">2_Matriz_decision!A532</f>
        <v>528</v>
      </c>
      <c r="B533" s="16" t="n">
        <f aca="false">2_Matriz_decision!B532</f>
        <v>52.981</v>
      </c>
      <c r="C533" s="21" t="n">
        <f aca="false">2_Matriz_decision!C532/C$5</f>
        <v>0.0351757961231539</v>
      </c>
      <c r="D533" s="21" t="n">
        <f aca="false">2_Matriz_decision!D532/D$5</f>
        <v>0.0418648306977948</v>
      </c>
      <c r="E533" s="21" t="n">
        <f aca="false">2_Matriz_decision!E532/E$5</f>
        <v>0.0300541462387823</v>
      </c>
      <c r="F533" s="21" t="n">
        <f aca="false">2_Matriz_decision!F532/F$5</f>
        <v>0.0395246111152501</v>
      </c>
      <c r="G533" s="21" t="n">
        <f aca="false">2_Matriz_decision!G532/G$5</f>
        <v>0.0411149420220302</v>
      </c>
      <c r="H533" s="21" t="n">
        <f aca="false">2_Matriz_decision!H532/H$5</f>
        <v>0.0128089386344754</v>
      </c>
      <c r="I533" s="21" t="n">
        <f aca="false">2_Matriz_decision!I532/I$5</f>
        <v>0.0148184741491462</v>
      </c>
      <c r="J533" s="21" t="n">
        <f aca="false">2_Matriz_decision!J532/J$5</f>
        <v>0.0351992440847949</v>
      </c>
      <c r="K533" s="21" t="n">
        <f aca="false">2_Matriz_decision!K532/K$5</f>
        <v>0.039014903418414</v>
      </c>
      <c r="L533" s="21" t="n">
        <f aca="false">2_Matriz_decision!L532/L$5</f>
        <v>0.0309280152725654</v>
      </c>
      <c r="M533" s="21" t="n">
        <f aca="false">2_Matriz_decision!M532/M$5</f>
        <v>0.0437790636188539</v>
      </c>
      <c r="N533" s="21" t="n">
        <f aca="false">2_Matriz_decision!N532/N$5</f>
        <v>0.0448392173876134</v>
      </c>
      <c r="O533" s="21" t="n">
        <f aca="false">2_Matriz_decision!O532/O$5</f>
        <v>0.0304431282773992</v>
      </c>
      <c r="P533" s="21" t="n">
        <f aca="false">2_Matriz_decision!P532/P$5</f>
        <v>0.0529441535179372</v>
      </c>
      <c r="Q533" s="21" t="n">
        <f aca="false">2_Matriz_decision!Q532/Q$5</f>
        <v>0.0133893885620924</v>
      </c>
    </row>
    <row r="534" customFormat="false" ht="15" hidden="false" customHeight="false" outlineLevel="0" collapsed="false">
      <c r="A534" s="15" t="n">
        <f aca="false">2_Matriz_decision!A533</f>
        <v>529</v>
      </c>
      <c r="B534" s="16" t="n">
        <f aca="false">2_Matriz_decision!B533</f>
        <v>53.081</v>
      </c>
      <c r="C534" s="21" t="n">
        <f aca="false">2_Matriz_decision!C533/C$5</f>
        <v>0.0351757961231539</v>
      </c>
      <c r="D534" s="21" t="n">
        <f aca="false">2_Matriz_decision!D533/D$5</f>
        <v>0.0418648306977948</v>
      </c>
      <c r="E534" s="21" t="n">
        <f aca="false">2_Matriz_decision!E533/E$5</f>
        <v>0.0300541462387823</v>
      </c>
      <c r="F534" s="21" t="n">
        <f aca="false">2_Matriz_decision!F533/F$5</f>
        <v>0.0395246111152501</v>
      </c>
      <c r="G534" s="21" t="n">
        <f aca="false">2_Matriz_decision!G533/G$5</f>
        <v>0.0411149420220302</v>
      </c>
      <c r="H534" s="21" t="n">
        <f aca="false">2_Matriz_decision!H533/H$5</f>
        <v>0.0128089386344754</v>
      </c>
      <c r="I534" s="21" t="n">
        <f aca="false">2_Matriz_decision!I533/I$5</f>
        <v>0.0148184741491462</v>
      </c>
      <c r="J534" s="21" t="n">
        <f aca="false">2_Matriz_decision!J533/J$5</f>
        <v>0.0351992440847949</v>
      </c>
      <c r="K534" s="21" t="n">
        <f aca="false">2_Matriz_decision!K533/K$5</f>
        <v>0.039014903418414</v>
      </c>
      <c r="L534" s="21" t="n">
        <f aca="false">2_Matriz_decision!L533/L$5</f>
        <v>0.0235336389449698</v>
      </c>
      <c r="M534" s="21" t="n">
        <f aca="false">2_Matriz_decision!M533/M$5</f>
        <v>0.0436244063161378</v>
      </c>
      <c r="N534" s="21" t="n">
        <f aca="false">2_Matriz_decision!N533/N$5</f>
        <v>0.0448392173876134</v>
      </c>
      <c r="O534" s="21" t="n">
        <f aca="false">2_Matriz_decision!O533/O$5</f>
        <v>0.0304431282773992</v>
      </c>
      <c r="P534" s="21" t="n">
        <f aca="false">2_Matriz_decision!P533/P$5</f>
        <v>0.0529441535179372</v>
      </c>
      <c r="Q534" s="21" t="n">
        <f aca="false">2_Matriz_decision!Q533/Q$5</f>
        <v>0.0133893885620924</v>
      </c>
    </row>
    <row r="535" customFormat="false" ht="15" hidden="false" customHeight="false" outlineLevel="0" collapsed="false">
      <c r="A535" s="15" t="n">
        <f aca="false">2_Matriz_decision!A534</f>
        <v>530</v>
      </c>
      <c r="B535" s="16" t="n">
        <f aca="false">2_Matriz_decision!B534</f>
        <v>53.181</v>
      </c>
      <c r="C535" s="21" t="n">
        <f aca="false">2_Matriz_decision!C534/C$5</f>
        <v>0.0351757961231539</v>
      </c>
      <c r="D535" s="21" t="n">
        <f aca="false">2_Matriz_decision!D534/D$5</f>
        <v>0.0418648306977948</v>
      </c>
      <c r="E535" s="21" t="n">
        <f aca="false">2_Matriz_decision!E534/E$5</f>
        <v>0.0300541462387823</v>
      </c>
      <c r="F535" s="21" t="n">
        <f aca="false">2_Matriz_decision!F534/F$5</f>
        <v>0.0395246111152501</v>
      </c>
      <c r="G535" s="21" t="n">
        <f aca="false">2_Matriz_decision!G534/G$5</f>
        <v>0.0411149420220302</v>
      </c>
      <c r="H535" s="21" t="n">
        <f aca="false">2_Matriz_decision!H534/H$5</f>
        <v>0.0128089386344754</v>
      </c>
      <c r="I535" s="21" t="n">
        <f aca="false">2_Matriz_decision!I534/I$5</f>
        <v>0.0148184741491462</v>
      </c>
      <c r="J535" s="21" t="n">
        <f aca="false">2_Matriz_decision!J534/J$5</f>
        <v>0.0351992440847949</v>
      </c>
      <c r="K535" s="21" t="n">
        <f aca="false">2_Matriz_decision!K534/K$5</f>
        <v>0.039014903418414</v>
      </c>
      <c r="L535" s="21" t="n">
        <f aca="false">2_Matriz_decision!L534/L$5</f>
        <v>0.0227714699564111</v>
      </c>
      <c r="M535" s="21" t="n">
        <f aca="false">2_Matriz_decision!M534/M$5</f>
        <v>0.0441878007760322</v>
      </c>
      <c r="N535" s="21" t="n">
        <f aca="false">2_Matriz_decision!N534/N$5</f>
        <v>0.0448392173876134</v>
      </c>
      <c r="O535" s="21" t="n">
        <f aca="false">2_Matriz_decision!O534/O$5</f>
        <v>0.0304431282773992</v>
      </c>
      <c r="P535" s="21" t="n">
        <f aca="false">2_Matriz_decision!P534/P$5</f>
        <v>0.0529441535179372</v>
      </c>
      <c r="Q535" s="21" t="n">
        <f aca="false">2_Matriz_decision!Q534/Q$5</f>
        <v>0.0133893885620924</v>
      </c>
    </row>
    <row r="536" customFormat="false" ht="15" hidden="false" customHeight="false" outlineLevel="0" collapsed="false">
      <c r="A536" s="15" t="n">
        <f aca="false">2_Matriz_decision!A535</f>
        <v>531</v>
      </c>
      <c r="B536" s="16" t="n">
        <f aca="false">2_Matriz_decision!B535</f>
        <v>53.281</v>
      </c>
      <c r="C536" s="21" t="n">
        <f aca="false">2_Matriz_decision!C535/C$5</f>
        <v>0.0351757961231539</v>
      </c>
      <c r="D536" s="21" t="n">
        <f aca="false">2_Matriz_decision!D535/D$5</f>
        <v>0.0418648306977948</v>
      </c>
      <c r="E536" s="21" t="n">
        <f aca="false">2_Matriz_decision!E535/E$5</f>
        <v>0.0300541462387823</v>
      </c>
      <c r="F536" s="21" t="n">
        <f aca="false">2_Matriz_decision!F535/F$5</f>
        <v>0.0494057638940627</v>
      </c>
      <c r="G536" s="21" t="n">
        <f aca="false">2_Matriz_decision!G535/G$5</f>
        <v>0.0411149420220302</v>
      </c>
      <c r="H536" s="21" t="n">
        <f aca="false">2_Matriz_decision!H535/H$5</f>
        <v>0.0128089386344754</v>
      </c>
      <c r="I536" s="21" t="n">
        <f aca="false">2_Matriz_decision!I535/I$5</f>
        <v>0.0296369482982925</v>
      </c>
      <c r="J536" s="21" t="n">
        <f aca="false">2_Matriz_decision!J535/J$5</f>
        <v>0.0351992440847949</v>
      </c>
      <c r="K536" s="21" t="n">
        <f aca="false">2_Matriz_decision!K535/K$5</f>
        <v>0.039014903418414</v>
      </c>
      <c r="L536" s="21" t="n">
        <f aca="false">2_Matriz_decision!L535/L$5</f>
        <v>0.0238812949748386</v>
      </c>
      <c r="M536" s="21" t="n">
        <f aca="false">2_Matriz_decision!M535/M$5</f>
        <v>0.0441767538258382</v>
      </c>
      <c r="N536" s="21" t="n">
        <f aca="false">2_Matriz_decision!N535/N$5</f>
        <v>0.0448392173876134</v>
      </c>
      <c r="O536" s="21" t="n">
        <f aca="false">2_Matriz_decision!O535/O$5</f>
        <v>0.0304431282773992</v>
      </c>
      <c r="P536" s="21" t="n">
        <f aca="false">2_Matriz_decision!P535/P$5</f>
        <v>0.0529441535179372</v>
      </c>
      <c r="Q536" s="21" t="n">
        <f aca="false">2_Matriz_decision!Q535/Q$5</f>
        <v>0.0133893885620924</v>
      </c>
    </row>
    <row r="537" customFormat="false" ht="15" hidden="false" customHeight="false" outlineLevel="0" collapsed="false">
      <c r="A537" s="15" t="n">
        <f aca="false">2_Matriz_decision!A536</f>
        <v>532</v>
      </c>
      <c r="B537" s="16" t="n">
        <f aca="false">2_Matriz_decision!B536</f>
        <v>53.38</v>
      </c>
      <c r="C537" s="21" t="n">
        <f aca="false">2_Matriz_decision!C536/C$5</f>
        <v>0.0351757961231539</v>
      </c>
      <c r="D537" s="21" t="n">
        <f aca="false">2_Matriz_decision!D536/D$5</f>
        <v>0.0418648306977948</v>
      </c>
      <c r="E537" s="21" t="n">
        <f aca="false">2_Matriz_decision!E536/E$5</f>
        <v>0.0300541462387823</v>
      </c>
      <c r="F537" s="21" t="n">
        <f aca="false">2_Matriz_decision!F536/F$5</f>
        <v>0.0395246111152501</v>
      </c>
      <c r="G537" s="21" t="n">
        <f aca="false">2_Matriz_decision!G536/G$5</f>
        <v>0.0411149420220302</v>
      </c>
      <c r="H537" s="21" t="n">
        <f aca="false">2_Matriz_decision!H536/H$5</f>
        <v>0.0128089386344754</v>
      </c>
      <c r="I537" s="21" t="n">
        <f aca="false">2_Matriz_decision!I536/I$5</f>
        <v>0.0148184741491462</v>
      </c>
      <c r="J537" s="21" t="n">
        <f aca="false">2_Matriz_decision!J536/J$5</f>
        <v>0.0351992440847949</v>
      </c>
      <c r="K537" s="21" t="n">
        <f aca="false">2_Matriz_decision!K536/K$5</f>
        <v>0.039014903418414</v>
      </c>
      <c r="L537" s="21" t="n">
        <f aca="false">2_Matriz_decision!L536/L$5</f>
        <v>0.0285746513780684</v>
      </c>
      <c r="M537" s="21" t="n">
        <f aca="false">2_Matriz_decision!M536/M$5</f>
        <v>0.0416690961317984</v>
      </c>
      <c r="N537" s="21" t="n">
        <f aca="false">2_Matriz_decision!N536/N$5</f>
        <v>0.0448392173876134</v>
      </c>
      <c r="O537" s="21" t="n">
        <f aca="false">2_Matriz_decision!O536/O$5</f>
        <v>0.0304431282773992</v>
      </c>
      <c r="P537" s="21" t="n">
        <f aca="false">2_Matriz_decision!P536/P$5</f>
        <v>0.0529441535179372</v>
      </c>
      <c r="Q537" s="21" t="n">
        <f aca="false">2_Matriz_decision!Q536/Q$5</f>
        <v>0.0133893885620924</v>
      </c>
    </row>
    <row r="538" customFormat="false" ht="15" hidden="false" customHeight="false" outlineLevel="0" collapsed="false">
      <c r="A538" s="15" t="n">
        <f aca="false">2_Matriz_decision!A537</f>
        <v>533</v>
      </c>
      <c r="B538" s="16" t="n">
        <f aca="false">2_Matriz_decision!B537</f>
        <v>53.48</v>
      </c>
      <c r="C538" s="21" t="n">
        <f aca="false">2_Matriz_decision!C537/C$5</f>
        <v>0.0351757961231539</v>
      </c>
      <c r="D538" s="21" t="n">
        <f aca="false">2_Matriz_decision!D537/D$5</f>
        <v>0.0418648306977948</v>
      </c>
      <c r="E538" s="21" t="n">
        <f aca="false">2_Matriz_decision!E537/E$5</f>
        <v>0.0300541462387823</v>
      </c>
      <c r="F538" s="21" t="n">
        <f aca="false">2_Matriz_decision!F537/F$5</f>
        <v>0.0395246111152501</v>
      </c>
      <c r="G538" s="21" t="n">
        <f aca="false">2_Matriz_decision!G537/G$5</f>
        <v>0.0411149420220302</v>
      </c>
      <c r="H538" s="21" t="n">
        <f aca="false">2_Matriz_decision!H537/H$5</f>
        <v>0.0128089386344754</v>
      </c>
      <c r="I538" s="21" t="n">
        <f aca="false">2_Matriz_decision!I537/I$5</f>
        <v>0.0148184741491462</v>
      </c>
      <c r="J538" s="21" t="n">
        <f aca="false">2_Matriz_decision!J537/J$5</f>
        <v>0.0351992440847949</v>
      </c>
      <c r="K538" s="21" t="n">
        <f aca="false">2_Matriz_decision!K537/K$5</f>
        <v>0.039014903418414</v>
      </c>
      <c r="L538" s="21" t="n">
        <f aca="false">2_Matriz_decision!L537/L$5</f>
        <v>0.0328401234368442</v>
      </c>
      <c r="M538" s="21" t="n">
        <f aca="false">2_Matriz_decision!M537/M$5</f>
        <v>0.0394155182922208</v>
      </c>
      <c r="N538" s="21" t="n">
        <f aca="false">2_Matriz_decision!N537/N$5</f>
        <v>0.0448392173876134</v>
      </c>
      <c r="O538" s="21" t="n">
        <f aca="false">2_Matriz_decision!O537/O$5</f>
        <v>0.0304431282773992</v>
      </c>
      <c r="P538" s="21" t="n">
        <f aca="false">2_Matriz_decision!P537/P$5</f>
        <v>0.0529441535179372</v>
      </c>
      <c r="Q538" s="21" t="n">
        <f aca="false">2_Matriz_decision!Q537/Q$5</f>
        <v>0.0133893885620924</v>
      </c>
    </row>
    <row r="539" customFormat="false" ht="15" hidden="false" customHeight="false" outlineLevel="0" collapsed="false">
      <c r="A539" s="15" t="n">
        <f aca="false">2_Matriz_decision!A538</f>
        <v>534</v>
      </c>
      <c r="B539" s="16" t="n">
        <f aca="false">2_Matriz_decision!B538</f>
        <v>53.579</v>
      </c>
      <c r="C539" s="21" t="n">
        <f aca="false">2_Matriz_decision!C538/C$5</f>
        <v>0.0351757961231539</v>
      </c>
      <c r="D539" s="21" t="n">
        <f aca="false">2_Matriz_decision!D538/D$5</f>
        <v>0.0418648306977948</v>
      </c>
      <c r="E539" s="21" t="n">
        <f aca="false">2_Matriz_decision!E538/E$5</f>
        <v>0.0300541462387823</v>
      </c>
      <c r="F539" s="21" t="n">
        <f aca="false">2_Matriz_decision!F538/F$5</f>
        <v>0.0296434583364376</v>
      </c>
      <c r="G539" s="21" t="n">
        <f aca="false">2_Matriz_decision!G538/G$5</f>
        <v>0.0411149420220302</v>
      </c>
      <c r="H539" s="21" t="n">
        <f aca="false">2_Matriz_decision!H538/H$5</f>
        <v>0.0128089386344754</v>
      </c>
      <c r="I539" s="21" t="n">
        <f aca="false">2_Matriz_decision!I538/I$5</f>
        <v>0.0148184741491462</v>
      </c>
      <c r="J539" s="21" t="n">
        <f aca="false">2_Matriz_decision!J538/J$5</f>
        <v>0.0351992440847949</v>
      </c>
      <c r="K539" s="21" t="n">
        <f aca="false">2_Matriz_decision!K538/K$5</f>
        <v>0.039014903418414</v>
      </c>
      <c r="L539" s="21" t="n">
        <f aca="false">2_Matriz_decision!L538/L$5</f>
        <v>0.0314361279316045</v>
      </c>
      <c r="M539" s="21" t="n">
        <f aca="false">2_Matriz_decision!M538/M$5</f>
        <v>0.0394155182922208</v>
      </c>
      <c r="N539" s="21" t="n">
        <f aca="false">2_Matriz_decision!N538/N$5</f>
        <v>0.0448392173876134</v>
      </c>
      <c r="O539" s="21" t="n">
        <f aca="false">2_Matriz_decision!O538/O$5</f>
        <v>0.0304431282773992</v>
      </c>
      <c r="P539" s="21" t="n">
        <f aca="false">2_Matriz_decision!P538/P$5</f>
        <v>0.0529441535179372</v>
      </c>
      <c r="Q539" s="21" t="n">
        <f aca="false">2_Matriz_decision!Q538/Q$5</f>
        <v>0.0133893885620924</v>
      </c>
    </row>
    <row r="540" customFormat="false" ht="15" hidden="false" customHeight="false" outlineLevel="0" collapsed="false">
      <c r="A540" s="15" t="n">
        <f aca="false">2_Matriz_decision!A539</f>
        <v>535</v>
      </c>
      <c r="B540" s="16" t="n">
        <f aca="false">2_Matriz_decision!B539</f>
        <v>53.678</v>
      </c>
      <c r="C540" s="21" t="n">
        <f aca="false">2_Matriz_decision!C539/C$5</f>
        <v>0.0351757961231539</v>
      </c>
      <c r="D540" s="21" t="n">
        <f aca="false">2_Matriz_decision!D539/D$5</f>
        <v>0.0418648306977948</v>
      </c>
      <c r="E540" s="21" t="n">
        <f aca="false">2_Matriz_decision!E539/E$5</f>
        <v>0.0300541462387823</v>
      </c>
      <c r="F540" s="21" t="n">
        <f aca="false">2_Matriz_decision!F539/F$5</f>
        <v>0.0296434583364376</v>
      </c>
      <c r="G540" s="21" t="n">
        <f aca="false">2_Matriz_decision!G539/G$5</f>
        <v>0.0411149420220302</v>
      </c>
      <c r="H540" s="21" t="n">
        <f aca="false">2_Matriz_decision!H539/H$5</f>
        <v>0.0128089386344754</v>
      </c>
      <c r="I540" s="21" t="n">
        <f aca="false">2_Matriz_decision!I539/I$5</f>
        <v>0.0148184741491462</v>
      </c>
      <c r="J540" s="21" t="n">
        <f aca="false">2_Matriz_decision!J539/J$5</f>
        <v>0.0351992440847949</v>
      </c>
      <c r="K540" s="21" t="n">
        <f aca="false">2_Matriz_decision!K539/K$5</f>
        <v>0.039014903418414</v>
      </c>
      <c r="L540" s="21" t="n">
        <f aca="false">2_Matriz_decision!L539/L$5</f>
        <v>0.0290560212655791</v>
      </c>
      <c r="M540" s="21" t="n">
        <f aca="false">2_Matriz_decision!M539/M$5</f>
        <v>0.039780067648623</v>
      </c>
      <c r="N540" s="21" t="n">
        <f aca="false">2_Matriz_decision!N539/N$5</f>
        <v>0.0448392173876134</v>
      </c>
      <c r="O540" s="21" t="n">
        <f aca="false">2_Matriz_decision!O539/O$5</f>
        <v>0.0304431282773992</v>
      </c>
      <c r="P540" s="21" t="n">
        <f aca="false">2_Matriz_decision!P539/P$5</f>
        <v>0.0529441535179372</v>
      </c>
      <c r="Q540" s="21" t="n">
        <f aca="false">2_Matriz_decision!Q539/Q$5</f>
        <v>0.0133893885620924</v>
      </c>
    </row>
    <row r="541" customFormat="false" ht="15" hidden="false" customHeight="false" outlineLevel="0" collapsed="false">
      <c r="A541" s="15" t="n">
        <f aca="false">2_Matriz_decision!A540</f>
        <v>536</v>
      </c>
      <c r="B541" s="16" t="n">
        <f aca="false">2_Matriz_decision!B540</f>
        <v>53.777</v>
      </c>
      <c r="C541" s="21" t="n">
        <f aca="false">2_Matriz_decision!C540/C$5</f>
        <v>0.0351757961231539</v>
      </c>
      <c r="D541" s="21" t="n">
        <f aca="false">2_Matriz_decision!D540/D$5</f>
        <v>0.0418648306977948</v>
      </c>
      <c r="E541" s="21" t="n">
        <f aca="false">2_Matriz_decision!E540/E$5</f>
        <v>0.0100180487462608</v>
      </c>
      <c r="F541" s="21" t="n">
        <f aca="false">2_Matriz_decision!F540/F$5</f>
        <v>0.0197623055576251</v>
      </c>
      <c r="G541" s="21" t="n">
        <f aca="false">2_Matriz_decision!G540/G$5</f>
        <v>0.0411149420220302</v>
      </c>
      <c r="H541" s="21" t="n">
        <f aca="false">2_Matriz_decision!H540/H$5</f>
        <v>0.0128089386344754</v>
      </c>
      <c r="I541" s="21" t="n">
        <f aca="false">2_Matriz_decision!I540/I$5</f>
        <v>0.0148184741491462</v>
      </c>
      <c r="J541" s="21" t="n">
        <f aca="false">2_Matriz_decision!J540/J$5</f>
        <v>0.0351992440847949</v>
      </c>
      <c r="K541" s="21" t="n">
        <f aca="false">2_Matriz_decision!K540/K$5</f>
        <v>0.039014903418414</v>
      </c>
      <c r="L541" s="21" t="n">
        <f aca="false">2_Matriz_decision!L540/L$5</f>
        <v>0.0279328248613874</v>
      </c>
      <c r="M541" s="21" t="n">
        <f aca="false">2_Matriz_decision!M540/M$5</f>
        <v>0.0405864950127856</v>
      </c>
      <c r="N541" s="21" t="n">
        <f aca="false">2_Matriz_decision!N540/N$5</f>
        <v>0.0448392173876134</v>
      </c>
      <c r="O541" s="21" t="n">
        <f aca="false">2_Matriz_decision!O540/O$5</f>
        <v>0.0304431282773992</v>
      </c>
      <c r="P541" s="21" t="n">
        <f aca="false">2_Matriz_decision!P540/P$5</f>
        <v>0.0529441535179372</v>
      </c>
      <c r="Q541" s="21" t="n">
        <f aca="false">2_Matriz_decision!Q540/Q$5</f>
        <v>0.0133893885620924</v>
      </c>
    </row>
    <row r="542" customFormat="false" ht="15" hidden="false" customHeight="false" outlineLevel="0" collapsed="false">
      <c r="A542" s="15" t="n">
        <f aca="false">2_Matriz_decision!A541</f>
        <v>537</v>
      </c>
      <c r="B542" s="16" t="n">
        <f aca="false">2_Matriz_decision!B541</f>
        <v>53.876</v>
      </c>
      <c r="C542" s="21" t="n">
        <f aca="false">2_Matriz_decision!C541/C$5</f>
        <v>0.0351757961231539</v>
      </c>
      <c r="D542" s="21" t="n">
        <f aca="false">2_Matriz_decision!D541/D$5</f>
        <v>0.0418648306977948</v>
      </c>
      <c r="E542" s="21" t="n">
        <f aca="false">2_Matriz_decision!E541/E$5</f>
        <v>0.0100180487462608</v>
      </c>
      <c r="F542" s="21" t="n">
        <f aca="false">2_Matriz_decision!F541/F$5</f>
        <v>0.0197623055576251</v>
      </c>
      <c r="G542" s="21" t="n">
        <f aca="false">2_Matriz_decision!G541/G$5</f>
        <v>0.0411149420220302</v>
      </c>
      <c r="H542" s="21" t="n">
        <f aca="false">2_Matriz_decision!H541/H$5</f>
        <v>0.0128089386344754</v>
      </c>
      <c r="I542" s="21" t="n">
        <f aca="false">2_Matriz_decision!I541/I$5</f>
        <v>0.0148184741491462</v>
      </c>
      <c r="J542" s="21" t="n">
        <f aca="false">2_Matriz_decision!J541/J$5</f>
        <v>0.0351992440847949</v>
      </c>
      <c r="K542" s="21" t="n">
        <f aca="false">2_Matriz_decision!K541/K$5</f>
        <v>0.039014903418414</v>
      </c>
      <c r="L542" s="21" t="n">
        <f aca="false">2_Matriz_decision!L541/L$5</f>
        <v>0.0252318049370216</v>
      </c>
      <c r="M542" s="21" t="n">
        <f aca="false">2_Matriz_decision!M541/M$5</f>
        <v>0.0440220965231221</v>
      </c>
      <c r="N542" s="21" t="n">
        <f aca="false">2_Matriz_decision!N541/N$5</f>
        <v>0.0448392173876134</v>
      </c>
      <c r="O542" s="21" t="n">
        <f aca="false">2_Matriz_decision!O541/O$5</f>
        <v>0.0304431282773992</v>
      </c>
      <c r="P542" s="21" t="n">
        <f aca="false">2_Matriz_decision!P541/P$5</f>
        <v>0.0529441535179372</v>
      </c>
      <c r="Q542" s="21" t="n">
        <f aca="false">2_Matriz_decision!Q541/Q$5</f>
        <v>0.0133893885620924</v>
      </c>
    </row>
    <row r="543" customFormat="false" ht="15" hidden="false" customHeight="false" outlineLevel="0" collapsed="false">
      <c r="A543" s="15" t="n">
        <f aca="false">2_Matriz_decision!A542</f>
        <v>538</v>
      </c>
      <c r="B543" s="16" t="n">
        <f aca="false">2_Matriz_decision!B542</f>
        <v>53.975</v>
      </c>
      <c r="C543" s="21" t="n">
        <f aca="false">2_Matriz_decision!C542/C$5</f>
        <v>0.0351757961231539</v>
      </c>
      <c r="D543" s="21" t="n">
        <f aca="false">2_Matriz_decision!D542/D$5</f>
        <v>0.0418648306977948</v>
      </c>
      <c r="E543" s="21" t="n">
        <f aca="false">2_Matriz_decision!E542/E$5</f>
        <v>0.0100180487462608</v>
      </c>
      <c r="F543" s="21" t="n">
        <f aca="false">2_Matriz_decision!F542/F$5</f>
        <v>0.0197623055576251</v>
      </c>
      <c r="G543" s="21" t="n">
        <f aca="false">2_Matriz_decision!G542/G$5</f>
        <v>0.0411149420220302</v>
      </c>
      <c r="H543" s="21" t="n">
        <f aca="false">2_Matriz_decision!H542/H$5</f>
        <v>0.0128089386344754</v>
      </c>
      <c r="I543" s="21" t="n">
        <f aca="false">2_Matriz_decision!I542/I$5</f>
        <v>0.0148184741491462</v>
      </c>
      <c r="J543" s="21" t="n">
        <f aca="false">2_Matriz_decision!J542/J$5</f>
        <v>0.0351992440847949</v>
      </c>
      <c r="K543" s="21" t="n">
        <f aca="false">2_Matriz_decision!K542/K$5</f>
        <v>0.039014903418414</v>
      </c>
      <c r="L543" s="21" t="n">
        <f aca="false">2_Matriz_decision!L542/L$5</f>
        <v>0.0262212874835714</v>
      </c>
      <c r="M543" s="21" t="n">
        <f aca="false">2_Matriz_decision!M542/M$5</f>
        <v>0.0441878007760322</v>
      </c>
      <c r="N543" s="21" t="n">
        <f aca="false">2_Matriz_decision!N542/N$5</f>
        <v>0.0448392173876134</v>
      </c>
      <c r="O543" s="21" t="n">
        <f aca="false">2_Matriz_decision!O542/O$5</f>
        <v>0.0304431282773992</v>
      </c>
      <c r="P543" s="21" t="n">
        <f aca="false">2_Matriz_decision!P542/P$5</f>
        <v>0.0529441535179372</v>
      </c>
      <c r="Q543" s="21" t="n">
        <f aca="false">2_Matriz_decision!Q542/Q$5</f>
        <v>0.0133893885620924</v>
      </c>
    </row>
    <row r="544" customFormat="false" ht="15" hidden="false" customHeight="false" outlineLevel="0" collapsed="false">
      <c r="A544" s="15" t="n">
        <f aca="false">2_Matriz_decision!A543</f>
        <v>539</v>
      </c>
      <c r="B544" s="16" t="n">
        <f aca="false">2_Matriz_decision!B543</f>
        <v>54.074</v>
      </c>
      <c r="C544" s="21" t="n">
        <f aca="false">2_Matriz_decision!C543/C$5</f>
        <v>0.0351757961231539</v>
      </c>
      <c r="D544" s="21" t="n">
        <f aca="false">2_Matriz_decision!D543/D$5</f>
        <v>0.0418648306977948</v>
      </c>
      <c r="E544" s="21" t="n">
        <f aca="false">2_Matriz_decision!E543/E$5</f>
        <v>0.0100180487462608</v>
      </c>
      <c r="F544" s="21" t="n">
        <f aca="false">2_Matriz_decision!F543/F$5</f>
        <v>0.0197623055576251</v>
      </c>
      <c r="G544" s="21" t="n">
        <f aca="false">2_Matriz_decision!G543/G$5</f>
        <v>0.0411149420220302</v>
      </c>
      <c r="H544" s="21" t="n">
        <f aca="false">2_Matriz_decision!H543/H$5</f>
        <v>0.0128089386344754</v>
      </c>
      <c r="I544" s="21" t="n">
        <f aca="false">2_Matriz_decision!I543/I$5</f>
        <v>0.0148184741491462</v>
      </c>
      <c r="J544" s="21" t="n">
        <f aca="false">2_Matriz_decision!J543/J$5</f>
        <v>0.0351992440847949</v>
      </c>
      <c r="K544" s="21" t="n">
        <f aca="false">2_Matriz_decision!K543/K$5</f>
        <v>0.039014903418414</v>
      </c>
      <c r="L544" s="21" t="n">
        <f aca="false">2_Matriz_decision!L543/L$5</f>
        <v>0.0269433423148375</v>
      </c>
      <c r="M544" s="21" t="n">
        <f aca="false">2_Matriz_decision!M543/M$5</f>
        <v>0.0441878007760322</v>
      </c>
      <c r="N544" s="21" t="n">
        <f aca="false">2_Matriz_decision!N543/N$5</f>
        <v>0.0448392173876134</v>
      </c>
      <c r="O544" s="21" t="n">
        <f aca="false">2_Matriz_decision!O543/O$5</f>
        <v>0.0304431282773992</v>
      </c>
      <c r="P544" s="21" t="n">
        <f aca="false">2_Matriz_decision!P543/P$5</f>
        <v>0.0529441535179372</v>
      </c>
      <c r="Q544" s="21" t="n">
        <f aca="false">2_Matriz_decision!Q543/Q$5</f>
        <v>0.0133893885620924</v>
      </c>
    </row>
    <row r="545" customFormat="false" ht="15" hidden="false" customHeight="false" outlineLevel="0" collapsed="false">
      <c r="A545" s="15" t="n">
        <f aca="false">2_Matriz_decision!A544</f>
        <v>540</v>
      </c>
      <c r="B545" s="16" t="n">
        <f aca="false">2_Matriz_decision!B544</f>
        <v>54.174</v>
      </c>
      <c r="C545" s="21" t="n">
        <f aca="false">2_Matriz_decision!C544/C$5</f>
        <v>0.0351757961231539</v>
      </c>
      <c r="D545" s="21" t="n">
        <f aca="false">2_Matriz_decision!D544/D$5</f>
        <v>0.0418648306977948</v>
      </c>
      <c r="E545" s="21" t="n">
        <f aca="false">2_Matriz_decision!E544/E$5</f>
        <v>0.0100180487462608</v>
      </c>
      <c r="F545" s="21" t="n">
        <f aca="false">2_Matriz_decision!F544/F$5</f>
        <v>0.0197623055576251</v>
      </c>
      <c r="G545" s="21" t="n">
        <f aca="false">2_Matriz_decision!G544/G$5</f>
        <v>0.0411149420220302</v>
      </c>
      <c r="H545" s="21" t="n">
        <f aca="false">2_Matriz_decision!H544/H$5</f>
        <v>0.0128089386344754</v>
      </c>
      <c r="I545" s="21" t="n">
        <f aca="false">2_Matriz_decision!I544/I$5</f>
        <v>0.0148184741491462</v>
      </c>
      <c r="J545" s="21" t="n">
        <f aca="false">2_Matriz_decision!J544/J$5</f>
        <v>0.0351992440847949</v>
      </c>
      <c r="K545" s="21" t="n">
        <f aca="false">2_Matriz_decision!K544/K$5</f>
        <v>0.039014903418414</v>
      </c>
      <c r="L545" s="21" t="n">
        <f aca="false">2_Matriz_decision!L544/L$5</f>
        <v>0.0284810516777191</v>
      </c>
      <c r="M545" s="21" t="n">
        <f aca="false">2_Matriz_decision!M544/M$5</f>
        <v>0.0441878007760322</v>
      </c>
      <c r="N545" s="21" t="n">
        <f aca="false">2_Matriz_decision!N544/N$5</f>
        <v>0.0448392173876134</v>
      </c>
      <c r="O545" s="21" t="n">
        <f aca="false">2_Matriz_decision!O544/O$5</f>
        <v>0.0304431282773992</v>
      </c>
      <c r="P545" s="21" t="n">
        <f aca="false">2_Matriz_decision!P544/P$5</f>
        <v>0.0529441535179372</v>
      </c>
      <c r="Q545" s="21" t="n">
        <f aca="false">2_Matriz_decision!Q544/Q$5</f>
        <v>0.0133893885620924</v>
      </c>
    </row>
    <row r="546" customFormat="false" ht="15" hidden="false" customHeight="false" outlineLevel="0" collapsed="false">
      <c r="A546" s="15" t="n">
        <f aca="false">2_Matriz_decision!A545</f>
        <v>541</v>
      </c>
      <c r="B546" s="16" t="n">
        <f aca="false">2_Matriz_decision!B545</f>
        <v>54.274</v>
      </c>
      <c r="C546" s="21" t="n">
        <f aca="false">2_Matriz_decision!C545/C$5</f>
        <v>0.0263818470923654</v>
      </c>
      <c r="D546" s="21" t="n">
        <f aca="false">2_Matriz_decision!D545/D$5</f>
        <v>0.0418648306977948</v>
      </c>
      <c r="E546" s="21" t="n">
        <f aca="false">2_Matriz_decision!E545/E$5</f>
        <v>0.0100180487462608</v>
      </c>
      <c r="F546" s="21" t="n">
        <f aca="false">2_Matriz_decision!F545/F$5</f>
        <v>0.0197623055576251</v>
      </c>
      <c r="G546" s="21" t="n">
        <f aca="false">2_Matriz_decision!G545/G$5</f>
        <v>0.0411149420220302</v>
      </c>
      <c r="H546" s="21" t="n">
        <f aca="false">2_Matriz_decision!H545/H$5</f>
        <v>0.0128089386344754</v>
      </c>
      <c r="I546" s="21" t="n">
        <f aca="false">2_Matriz_decision!I545/I$5</f>
        <v>0.0148184741491462</v>
      </c>
      <c r="J546" s="21" t="n">
        <f aca="false">2_Matriz_decision!J545/J$5</f>
        <v>0.0351992440847949</v>
      </c>
      <c r="K546" s="21" t="n">
        <f aca="false">2_Matriz_decision!K545/K$5</f>
        <v>0.039014903418414</v>
      </c>
      <c r="L546" s="21" t="n">
        <f aca="false">2_Matriz_decision!L545/L$5</f>
        <v>0.0290292784940508</v>
      </c>
      <c r="M546" s="21" t="n">
        <f aca="false">2_Matriz_decision!M545/M$5</f>
        <v>0.0441878007760322</v>
      </c>
      <c r="N546" s="21" t="n">
        <f aca="false">2_Matriz_decision!N545/N$5</f>
        <v>0.0448392173876134</v>
      </c>
      <c r="O546" s="21" t="n">
        <f aca="false">2_Matriz_decision!O545/O$5</f>
        <v>0.0304431282773992</v>
      </c>
      <c r="P546" s="21" t="n">
        <f aca="false">2_Matriz_decision!P545/P$5</f>
        <v>0.0529441535179372</v>
      </c>
      <c r="Q546" s="21" t="n">
        <f aca="false">2_Matriz_decision!Q545/Q$5</f>
        <v>0.0133893885620924</v>
      </c>
    </row>
    <row r="547" customFormat="false" ht="15" hidden="false" customHeight="false" outlineLevel="0" collapsed="false">
      <c r="A547" s="15" t="n">
        <f aca="false">2_Matriz_decision!A546</f>
        <v>542</v>
      </c>
      <c r="B547" s="16" t="n">
        <f aca="false">2_Matriz_decision!B546</f>
        <v>54.374</v>
      </c>
      <c r="C547" s="21" t="n">
        <f aca="false">2_Matriz_decision!C546/C$5</f>
        <v>0.0263818470923654</v>
      </c>
      <c r="D547" s="21" t="n">
        <f aca="false">2_Matriz_decision!D546/D$5</f>
        <v>0.0418648306977948</v>
      </c>
      <c r="E547" s="21" t="n">
        <f aca="false">2_Matriz_decision!E546/E$5</f>
        <v>0.0100180487462608</v>
      </c>
      <c r="F547" s="21" t="n">
        <f aca="false">2_Matriz_decision!F546/F$5</f>
        <v>0.0197623055576251</v>
      </c>
      <c r="G547" s="21" t="n">
        <f aca="false">2_Matriz_decision!G546/G$5</f>
        <v>0.0411149420220302</v>
      </c>
      <c r="H547" s="21" t="n">
        <f aca="false">2_Matriz_decision!H546/H$5</f>
        <v>0.0128089386344754</v>
      </c>
      <c r="I547" s="21" t="n">
        <f aca="false">2_Matriz_decision!I546/I$5</f>
        <v>0.0148184741491462</v>
      </c>
      <c r="J547" s="21" t="n">
        <f aca="false">2_Matriz_decision!J546/J$5</f>
        <v>0.0351992440847949</v>
      </c>
      <c r="K547" s="21" t="n">
        <f aca="false">2_Matriz_decision!K546/K$5</f>
        <v>0.039014903418414</v>
      </c>
      <c r="L547" s="21" t="n">
        <f aca="false">2_Matriz_decision!L546/L$5</f>
        <v>0.0309681294298579</v>
      </c>
      <c r="M547" s="21" t="n">
        <f aca="false">2_Matriz_decision!M546/M$5</f>
        <v>0.0441878007760322</v>
      </c>
      <c r="N547" s="21" t="n">
        <f aca="false">2_Matriz_decision!N546/N$5</f>
        <v>0.0448392173876134</v>
      </c>
      <c r="O547" s="21" t="n">
        <f aca="false">2_Matriz_decision!O546/O$5</f>
        <v>0.0304431282773992</v>
      </c>
      <c r="P547" s="21" t="n">
        <f aca="false">2_Matriz_decision!P546/P$5</f>
        <v>0.0529441535179372</v>
      </c>
      <c r="Q547" s="21" t="n">
        <f aca="false">2_Matriz_decision!Q546/Q$5</f>
        <v>0.0133893885620924</v>
      </c>
    </row>
    <row r="548" customFormat="false" ht="15" hidden="false" customHeight="false" outlineLevel="0" collapsed="false">
      <c r="A548" s="15" t="n">
        <f aca="false">2_Matriz_decision!A547</f>
        <v>543</v>
      </c>
      <c r="B548" s="16" t="n">
        <f aca="false">2_Matriz_decision!B547</f>
        <v>54.475</v>
      </c>
      <c r="C548" s="21" t="n">
        <f aca="false">2_Matriz_decision!C547/C$5</f>
        <v>0.0263818470923654</v>
      </c>
      <c r="D548" s="21" t="n">
        <f aca="false">2_Matriz_decision!D547/D$5</f>
        <v>0.0418648306977948</v>
      </c>
      <c r="E548" s="21" t="n">
        <f aca="false">2_Matriz_decision!E547/E$5</f>
        <v>0.0100180487462608</v>
      </c>
      <c r="F548" s="21" t="n">
        <f aca="false">2_Matriz_decision!F547/F$5</f>
        <v>0.0197623055576251</v>
      </c>
      <c r="G548" s="21" t="n">
        <f aca="false">2_Matriz_decision!G547/G$5</f>
        <v>0.0411149420220302</v>
      </c>
      <c r="H548" s="21" t="n">
        <f aca="false">2_Matriz_decision!H547/H$5</f>
        <v>0.0128089386344754</v>
      </c>
      <c r="I548" s="21" t="n">
        <f aca="false">2_Matriz_decision!I547/I$5</f>
        <v>0.0148184741491462</v>
      </c>
      <c r="J548" s="21" t="n">
        <f aca="false">2_Matriz_decision!J547/J$5</f>
        <v>0.0351992440847949</v>
      </c>
      <c r="K548" s="21" t="n">
        <f aca="false">2_Matriz_decision!K547/K$5</f>
        <v>0.039014903418414</v>
      </c>
      <c r="L548" s="21" t="n">
        <f aca="false">2_Matriz_decision!L547/L$5</f>
        <v>0.0285345372207758</v>
      </c>
      <c r="M548" s="21" t="n">
        <f aca="false">2_Matriz_decision!M547/M$5</f>
        <v>0.0441878007760322</v>
      </c>
      <c r="N548" s="21" t="n">
        <f aca="false">2_Matriz_decision!N547/N$5</f>
        <v>0.0448392173876134</v>
      </c>
      <c r="O548" s="21" t="n">
        <f aca="false">2_Matriz_decision!O547/O$5</f>
        <v>0.0304431282773992</v>
      </c>
      <c r="P548" s="21" t="n">
        <f aca="false">2_Matriz_decision!P547/P$5</f>
        <v>0.0529441535179372</v>
      </c>
      <c r="Q548" s="21" t="n">
        <f aca="false">2_Matriz_decision!Q547/Q$5</f>
        <v>0.0133893885620924</v>
      </c>
    </row>
    <row r="549" customFormat="false" ht="15" hidden="false" customHeight="false" outlineLevel="0" collapsed="false">
      <c r="A549" s="15" t="n">
        <f aca="false">2_Matriz_decision!A548</f>
        <v>544</v>
      </c>
      <c r="B549" s="16" t="n">
        <f aca="false">2_Matriz_decision!B548</f>
        <v>54.576</v>
      </c>
      <c r="C549" s="21" t="n">
        <f aca="false">2_Matriz_decision!C548/C$5</f>
        <v>0.0263818470923654</v>
      </c>
      <c r="D549" s="21" t="n">
        <f aca="false">2_Matriz_decision!D548/D$5</f>
        <v>0.0418648306977948</v>
      </c>
      <c r="E549" s="21" t="n">
        <f aca="false">2_Matriz_decision!E548/E$5</f>
        <v>0.0100180487462608</v>
      </c>
      <c r="F549" s="21" t="n">
        <f aca="false">2_Matriz_decision!F548/F$5</f>
        <v>0.0296434583364376</v>
      </c>
      <c r="G549" s="21" t="n">
        <f aca="false">2_Matriz_decision!G548/G$5</f>
        <v>0.0411149420220302</v>
      </c>
      <c r="H549" s="21" t="n">
        <f aca="false">2_Matriz_decision!H548/H$5</f>
        <v>0.0128089386344754</v>
      </c>
      <c r="I549" s="21" t="n">
        <f aca="false">2_Matriz_decision!I548/I$5</f>
        <v>0.0148184741491462</v>
      </c>
      <c r="J549" s="21" t="n">
        <f aca="false">2_Matriz_decision!J548/J$5</f>
        <v>0.0351992440847949</v>
      </c>
      <c r="K549" s="21" t="n">
        <f aca="false">2_Matriz_decision!K548/K$5</f>
        <v>0.039014903418414</v>
      </c>
      <c r="L549" s="21" t="n">
        <f aca="false">2_Matriz_decision!L548/L$5</f>
        <v>0.0287351080072386</v>
      </c>
      <c r="M549" s="21" t="n">
        <f aca="false">2_Matriz_decision!M548/M$5</f>
        <v>0.0441878007760322</v>
      </c>
      <c r="N549" s="21" t="n">
        <f aca="false">2_Matriz_decision!N548/N$5</f>
        <v>0.0336294130407101</v>
      </c>
      <c r="O549" s="21" t="n">
        <f aca="false">2_Matriz_decision!O548/O$5</f>
        <v>0.0304431282773992</v>
      </c>
      <c r="P549" s="21" t="n">
        <f aca="false">2_Matriz_decision!P548/P$5</f>
        <v>0.0529441535179372</v>
      </c>
      <c r="Q549" s="21" t="n">
        <f aca="false">2_Matriz_decision!Q548/Q$5</f>
        <v>0.0133893885620924</v>
      </c>
    </row>
    <row r="550" customFormat="false" ht="15" hidden="false" customHeight="false" outlineLevel="0" collapsed="false">
      <c r="A550" s="15" t="n">
        <f aca="false">2_Matriz_decision!A549</f>
        <v>545</v>
      </c>
      <c r="B550" s="16" t="n">
        <f aca="false">2_Matriz_decision!B549</f>
        <v>54.676</v>
      </c>
      <c r="C550" s="21" t="n">
        <f aca="false">2_Matriz_decision!C549/C$5</f>
        <v>0.0263818470923654</v>
      </c>
      <c r="D550" s="21" t="n">
        <f aca="false">2_Matriz_decision!D549/D$5</f>
        <v>0.0418648306977948</v>
      </c>
      <c r="E550" s="21" t="n">
        <f aca="false">2_Matriz_decision!E549/E$5</f>
        <v>0.0100180487462608</v>
      </c>
      <c r="F550" s="21" t="n">
        <f aca="false">2_Matriz_decision!F549/F$5</f>
        <v>0.0296434583364376</v>
      </c>
      <c r="G550" s="21" t="n">
        <f aca="false">2_Matriz_decision!G549/G$5</f>
        <v>0.0411149420220302</v>
      </c>
      <c r="H550" s="21" t="n">
        <f aca="false">2_Matriz_decision!H549/H$5</f>
        <v>0.0128089386344754</v>
      </c>
      <c r="I550" s="21" t="n">
        <f aca="false">2_Matriz_decision!I549/I$5</f>
        <v>0.0148184741491462</v>
      </c>
      <c r="J550" s="21" t="n">
        <f aca="false">2_Matriz_decision!J549/J$5</f>
        <v>0.0351992440847949</v>
      </c>
      <c r="K550" s="21" t="n">
        <f aca="false">2_Matriz_decision!K549/K$5</f>
        <v>0.039014903418414</v>
      </c>
      <c r="L550" s="21" t="n">
        <f aca="false">2_Matriz_decision!L549/L$5</f>
        <v>0.0289624215652298</v>
      </c>
      <c r="M550" s="21" t="n">
        <f aca="false">2_Matriz_decision!M549/M$5</f>
        <v>0.0441878007760322</v>
      </c>
      <c r="N550" s="21" t="n">
        <f aca="false">2_Matriz_decision!N549/N$5</f>
        <v>0.0336294130407101</v>
      </c>
      <c r="O550" s="21" t="n">
        <f aca="false">2_Matriz_decision!O549/O$5</f>
        <v>0.0304431282773992</v>
      </c>
      <c r="P550" s="21" t="n">
        <f aca="false">2_Matriz_decision!P549/P$5</f>
        <v>0.0529441535179372</v>
      </c>
      <c r="Q550" s="21" t="n">
        <f aca="false">2_Matriz_decision!Q549/Q$5</f>
        <v>0.0133893885620924</v>
      </c>
    </row>
    <row r="551" customFormat="false" ht="15" hidden="false" customHeight="false" outlineLevel="0" collapsed="false">
      <c r="A551" s="15" t="n">
        <f aca="false">2_Matriz_decision!A550</f>
        <v>546</v>
      </c>
      <c r="B551" s="16" t="n">
        <f aca="false">2_Matriz_decision!B550</f>
        <v>54.777</v>
      </c>
      <c r="C551" s="21" t="n">
        <f aca="false">2_Matriz_decision!C550/C$5</f>
        <v>0.0263818470923654</v>
      </c>
      <c r="D551" s="21" t="n">
        <f aca="false">2_Matriz_decision!D550/D$5</f>
        <v>0.0418648306977948</v>
      </c>
      <c r="E551" s="21" t="n">
        <f aca="false">2_Matriz_decision!E550/E$5</f>
        <v>0.0100180487462608</v>
      </c>
      <c r="F551" s="21" t="n">
        <f aca="false">2_Matriz_decision!F550/F$5</f>
        <v>0.0296434583364376</v>
      </c>
      <c r="G551" s="21" t="n">
        <f aca="false">2_Matriz_decision!G550/G$5</f>
        <v>0.0411149420220302</v>
      </c>
      <c r="H551" s="21" t="n">
        <f aca="false">2_Matriz_decision!H550/H$5</f>
        <v>0.0128089386344754</v>
      </c>
      <c r="I551" s="21" t="n">
        <f aca="false">2_Matriz_decision!I550/I$5</f>
        <v>0.0148184741491462</v>
      </c>
      <c r="J551" s="21" t="n">
        <f aca="false">2_Matriz_decision!J550/J$5</f>
        <v>0.0351992440847949</v>
      </c>
      <c r="K551" s="21" t="n">
        <f aca="false">2_Matriz_decision!K550/K$5</f>
        <v>0.039014903418414</v>
      </c>
      <c r="L551" s="21" t="n">
        <f aca="false">2_Matriz_decision!L550/L$5</f>
        <v>0.0281735098051428</v>
      </c>
      <c r="M551" s="21" t="n">
        <f aca="false">2_Matriz_decision!M550/M$5</f>
        <v>0.0441878007760322</v>
      </c>
      <c r="N551" s="21" t="n">
        <f aca="false">2_Matriz_decision!N550/N$5</f>
        <v>0.0336294130407101</v>
      </c>
      <c r="O551" s="21" t="n">
        <f aca="false">2_Matriz_decision!O550/O$5</f>
        <v>0.0304431282773992</v>
      </c>
      <c r="P551" s="21" t="n">
        <f aca="false">2_Matriz_decision!P550/P$5</f>
        <v>0.0529441535179372</v>
      </c>
      <c r="Q551" s="21" t="n">
        <f aca="false">2_Matriz_decision!Q550/Q$5</f>
        <v>0.0133893885620924</v>
      </c>
    </row>
    <row r="552" customFormat="false" ht="15" hidden="false" customHeight="false" outlineLevel="0" collapsed="false">
      <c r="A552" s="15" t="n">
        <f aca="false">2_Matriz_decision!A551</f>
        <v>547</v>
      </c>
      <c r="B552" s="16" t="n">
        <f aca="false">2_Matriz_decision!B551</f>
        <v>54.877</v>
      </c>
      <c r="C552" s="21" t="n">
        <f aca="false">2_Matriz_decision!C551/C$5</f>
        <v>0.0263818470923654</v>
      </c>
      <c r="D552" s="21" t="n">
        <f aca="false">2_Matriz_decision!D551/D$5</f>
        <v>0.0418648306977948</v>
      </c>
      <c r="E552" s="21" t="n">
        <f aca="false">2_Matriz_decision!E551/E$5</f>
        <v>0.0100180487462608</v>
      </c>
      <c r="F552" s="21" t="n">
        <f aca="false">2_Matriz_decision!F551/F$5</f>
        <v>0.0296434583364376</v>
      </c>
      <c r="G552" s="21" t="n">
        <f aca="false">2_Matriz_decision!G551/G$5</f>
        <v>0.0411149420220302</v>
      </c>
      <c r="H552" s="21" t="n">
        <f aca="false">2_Matriz_decision!H551/H$5</f>
        <v>0.0128089386344754</v>
      </c>
      <c r="I552" s="21" t="n">
        <f aca="false">2_Matriz_decision!I551/I$5</f>
        <v>0.0148184741491462</v>
      </c>
      <c r="J552" s="21" t="n">
        <f aca="false">2_Matriz_decision!J551/J$5</f>
        <v>0.0351992440847949</v>
      </c>
      <c r="K552" s="21" t="n">
        <f aca="false">2_Matriz_decision!K551/K$5</f>
        <v>0.039014903418414</v>
      </c>
      <c r="L552" s="21" t="n">
        <f aca="false">2_Matriz_decision!L551/L$5</f>
        <v>0.0287484793930028</v>
      </c>
      <c r="M552" s="21" t="n">
        <f aca="false">2_Matriz_decision!M551/M$5</f>
        <v>0.0441878007760322</v>
      </c>
      <c r="N552" s="21" t="n">
        <f aca="false">2_Matriz_decision!N551/N$5</f>
        <v>0.0336294130407101</v>
      </c>
      <c r="O552" s="21" t="n">
        <f aca="false">2_Matriz_decision!O551/O$5</f>
        <v>0.0304431282773992</v>
      </c>
      <c r="P552" s="21" t="n">
        <f aca="false">2_Matriz_decision!P551/P$5</f>
        <v>0.0529441535179372</v>
      </c>
      <c r="Q552" s="21" t="n">
        <f aca="false">2_Matriz_decision!Q551/Q$5</f>
        <v>0.0133893885620924</v>
      </c>
    </row>
    <row r="553" customFormat="false" ht="15" hidden="false" customHeight="false" outlineLevel="0" collapsed="false">
      <c r="A553" s="15" t="n">
        <f aca="false">2_Matriz_decision!A552</f>
        <v>548</v>
      </c>
      <c r="B553" s="16" t="n">
        <f aca="false">2_Matriz_decision!B552</f>
        <v>54.977</v>
      </c>
      <c r="C553" s="21" t="n">
        <f aca="false">2_Matriz_decision!C552/C$5</f>
        <v>0.0263818470923654</v>
      </c>
      <c r="D553" s="21" t="n">
        <f aca="false">2_Matriz_decision!D552/D$5</f>
        <v>0.0418648306977948</v>
      </c>
      <c r="E553" s="21" t="n">
        <f aca="false">2_Matriz_decision!E552/E$5</f>
        <v>0.0100180487462608</v>
      </c>
      <c r="F553" s="21" t="n">
        <f aca="false">2_Matriz_decision!F552/F$5</f>
        <v>0.0197623055576251</v>
      </c>
      <c r="G553" s="21" t="n">
        <f aca="false">2_Matriz_decision!G552/G$5</f>
        <v>0.0411149420220302</v>
      </c>
      <c r="H553" s="21" t="n">
        <f aca="false">2_Matriz_decision!H552/H$5</f>
        <v>0.0128089386344754</v>
      </c>
      <c r="I553" s="21" t="n">
        <f aca="false">2_Matriz_decision!I552/I$5</f>
        <v>0.0148184741491462</v>
      </c>
      <c r="J553" s="21" t="n">
        <f aca="false">2_Matriz_decision!J552/J$5</f>
        <v>0.0351992440847949</v>
      </c>
      <c r="K553" s="21" t="n">
        <f aca="false">2_Matriz_decision!K552/K$5</f>
        <v>0.039014903418414</v>
      </c>
      <c r="L553" s="21" t="n">
        <f aca="false">2_Matriz_decision!L552/L$5</f>
        <v>0.0282671095054921</v>
      </c>
      <c r="M553" s="21" t="n">
        <f aca="false">2_Matriz_decision!M552/M$5</f>
        <v>0.0441878007760322</v>
      </c>
      <c r="N553" s="21" t="n">
        <f aca="false">2_Matriz_decision!N552/N$5</f>
        <v>0.0336294130407101</v>
      </c>
      <c r="O553" s="21" t="n">
        <f aca="false">2_Matriz_decision!O552/O$5</f>
        <v>0.0304431282773992</v>
      </c>
      <c r="P553" s="21" t="n">
        <f aca="false">2_Matriz_decision!P552/P$5</f>
        <v>0.0529441535179372</v>
      </c>
      <c r="Q553" s="21" t="n">
        <f aca="false">2_Matriz_decision!Q552/Q$5</f>
        <v>0.0133893885620924</v>
      </c>
    </row>
    <row r="554" customFormat="false" ht="15" hidden="false" customHeight="false" outlineLevel="0" collapsed="false">
      <c r="A554" s="15" t="n">
        <f aca="false">2_Matriz_decision!A553</f>
        <v>549</v>
      </c>
      <c r="B554" s="16" t="n">
        <f aca="false">2_Matriz_decision!B553</f>
        <v>55.076</v>
      </c>
      <c r="C554" s="21" t="n">
        <f aca="false">2_Matriz_decision!C553/C$5</f>
        <v>0.0263818470923654</v>
      </c>
      <c r="D554" s="21" t="n">
        <f aca="false">2_Matriz_decision!D553/D$5</f>
        <v>0.0418648306977948</v>
      </c>
      <c r="E554" s="21" t="n">
        <f aca="false">2_Matriz_decision!E553/E$5</f>
        <v>0.0100180487462608</v>
      </c>
      <c r="F554" s="21" t="n">
        <f aca="false">2_Matriz_decision!F553/F$5</f>
        <v>0.0296434583364376</v>
      </c>
      <c r="G554" s="21" t="n">
        <f aca="false">2_Matriz_decision!G553/G$5</f>
        <v>0.0411149420220302</v>
      </c>
      <c r="H554" s="21" t="n">
        <f aca="false">2_Matriz_decision!H553/H$5</f>
        <v>0.0128089386344754</v>
      </c>
      <c r="I554" s="21" t="n">
        <f aca="false">2_Matriz_decision!I553/I$5</f>
        <v>0.0148184741491462</v>
      </c>
      <c r="J554" s="21" t="n">
        <f aca="false">2_Matriz_decision!J553/J$5</f>
        <v>0.0351992440847949</v>
      </c>
      <c r="K554" s="21" t="n">
        <f aca="false">2_Matriz_decision!K553/K$5</f>
        <v>0.039014903418414</v>
      </c>
      <c r="L554" s="21" t="n">
        <f aca="false">2_Matriz_decision!L553/L$5</f>
        <v>0.0279996817902083</v>
      </c>
      <c r="M554" s="21" t="n">
        <f aca="false">2_Matriz_decision!M553/M$5</f>
        <v>0.0441878007760322</v>
      </c>
      <c r="N554" s="21" t="n">
        <f aca="false">2_Matriz_decision!N553/N$5</f>
        <v>0.0336294130407101</v>
      </c>
      <c r="O554" s="21" t="n">
        <f aca="false">2_Matriz_decision!O553/O$5</f>
        <v>0.0304431282773992</v>
      </c>
      <c r="P554" s="21" t="n">
        <f aca="false">2_Matriz_decision!P553/P$5</f>
        <v>0.0529441535179372</v>
      </c>
      <c r="Q554" s="21" t="n">
        <f aca="false">2_Matriz_decision!Q553/Q$5</f>
        <v>0.0133893885620924</v>
      </c>
    </row>
    <row r="555" customFormat="false" ht="15" hidden="false" customHeight="false" outlineLevel="0" collapsed="false">
      <c r="A555" s="15" t="n">
        <f aca="false">2_Matriz_decision!A554</f>
        <v>550</v>
      </c>
      <c r="B555" s="16" t="n">
        <f aca="false">2_Matriz_decision!B554</f>
        <v>55.176</v>
      </c>
      <c r="C555" s="21" t="n">
        <f aca="false">2_Matriz_decision!C554/C$5</f>
        <v>0.0263818470923654</v>
      </c>
      <c r="D555" s="21" t="n">
        <f aca="false">2_Matriz_decision!D554/D$5</f>
        <v>0.0418648306977948</v>
      </c>
      <c r="E555" s="21" t="n">
        <f aca="false">2_Matriz_decision!E554/E$5</f>
        <v>0.0100180487462608</v>
      </c>
      <c r="F555" s="21" t="n">
        <f aca="false">2_Matriz_decision!F554/F$5</f>
        <v>0.0197623055576251</v>
      </c>
      <c r="G555" s="21" t="n">
        <f aca="false">2_Matriz_decision!G554/G$5</f>
        <v>0.0411149420220302</v>
      </c>
      <c r="H555" s="21" t="n">
        <f aca="false">2_Matriz_decision!H554/H$5</f>
        <v>0.0128089386344754</v>
      </c>
      <c r="I555" s="21" t="n">
        <f aca="false">2_Matriz_decision!I554/I$5</f>
        <v>0.0148184741491462</v>
      </c>
      <c r="J555" s="21" t="n">
        <f aca="false">2_Matriz_decision!J554/J$5</f>
        <v>0.0351992440847949</v>
      </c>
      <c r="K555" s="21" t="n">
        <f aca="false">2_Matriz_decision!K554/K$5</f>
        <v>0.039014903418414</v>
      </c>
      <c r="L555" s="21" t="n">
        <f aca="false">2_Matriz_decision!L554/L$5</f>
        <v>0.0278525965468023</v>
      </c>
      <c r="M555" s="21" t="n">
        <f aca="false">2_Matriz_decision!M554/M$5</f>
        <v>0.0441878007760322</v>
      </c>
      <c r="N555" s="21" t="n">
        <f aca="false">2_Matriz_decision!N554/N$5</f>
        <v>0.0336294130407101</v>
      </c>
      <c r="O555" s="21" t="n">
        <f aca="false">2_Matriz_decision!O554/O$5</f>
        <v>0.0304431282773992</v>
      </c>
      <c r="P555" s="21" t="n">
        <f aca="false">2_Matriz_decision!P554/P$5</f>
        <v>0.0529441535179372</v>
      </c>
      <c r="Q555" s="21" t="n">
        <f aca="false">2_Matriz_decision!Q554/Q$5</f>
        <v>0.0133893885620924</v>
      </c>
    </row>
    <row r="556" customFormat="false" ht="15" hidden="false" customHeight="false" outlineLevel="0" collapsed="false">
      <c r="A556" s="15" t="n">
        <f aca="false">2_Matriz_decision!A555</f>
        <v>551</v>
      </c>
      <c r="B556" s="16" t="n">
        <f aca="false">2_Matriz_decision!B555</f>
        <v>55.275</v>
      </c>
      <c r="C556" s="21" t="n">
        <f aca="false">2_Matriz_decision!C555/C$5</f>
        <v>0.0263818470923654</v>
      </c>
      <c r="D556" s="21" t="n">
        <f aca="false">2_Matriz_decision!D555/D$5</f>
        <v>0.0418648306977948</v>
      </c>
      <c r="E556" s="21" t="n">
        <f aca="false">2_Matriz_decision!E555/E$5</f>
        <v>0.0100180487462608</v>
      </c>
      <c r="F556" s="21" t="n">
        <f aca="false">2_Matriz_decision!F555/F$5</f>
        <v>0.0197623055576251</v>
      </c>
      <c r="G556" s="21" t="n">
        <f aca="false">2_Matriz_decision!G555/G$5</f>
        <v>0.0411149420220302</v>
      </c>
      <c r="H556" s="21" t="n">
        <f aca="false">2_Matriz_decision!H555/H$5</f>
        <v>0.0128089386344754</v>
      </c>
      <c r="I556" s="21" t="n">
        <f aca="false">2_Matriz_decision!I555/I$5</f>
        <v>0.0148184741491462</v>
      </c>
      <c r="J556" s="21" t="n">
        <f aca="false">2_Matriz_decision!J555/J$5</f>
        <v>0.0351992440847949</v>
      </c>
      <c r="K556" s="21" t="n">
        <f aca="false">2_Matriz_decision!K555/K$5</f>
        <v>0.039014903418414</v>
      </c>
      <c r="L556" s="21" t="n">
        <f aca="false">2_Matriz_decision!L555/L$5</f>
        <v>0.0274915691311692</v>
      </c>
      <c r="M556" s="21" t="n">
        <f aca="false">2_Matriz_decision!M555/M$5</f>
        <v>0.0441878007760322</v>
      </c>
      <c r="N556" s="21" t="n">
        <f aca="false">2_Matriz_decision!N555/N$5</f>
        <v>0.0336294130407101</v>
      </c>
      <c r="O556" s="21" t="n">
        <f aca="false">2_Matriz_decision!O555/O$5</f>
        <v>0.0304431282773992</v>
      </c>
      <c r="P556" s="21" t="n">
        <f aca="false">2_Matriz_decision!P555/P$5</f>
        <v>0.0529441535179372</v>
      </c>
      <c r="Q556" s="21" t="n">
        <f aca="false">2_Matriz_decision!Q555/Q$5</f>
        <v>0.0133893885620924</v>
      </c>
    </row>
    <row r="557" customFormat="false" ht="15" hidden="false" customHeight="false" outlineLevel="0" collapsed="false">
      <c r="A557" s="15" t="n">
        <f aca="false">2_Matriz_decision!A556</f>
        <v>552</v>
      </c>
      <c r="B557" s="16" t="n">
        <f aca="false">2_Matriz_decision!B556</f>
        <v>55.374</v>
      </c>
      <c r="C557" s="21" t="n">
        <f aca="false">2_Matriz_decision!C556/C$5</f>
        <v>0.0263818470923654</v>
      </c>
      <c r="D557" s="21" t="n">
        <f aca="false">2_Matriz_decision!D556/D$5</f>
        <v>0.0418648306977948</v>
      </c>
      <c r="E557" s="21" t="n">
        <f aca="false">2_Matriz_decision!E556/E$5</f>
        <v>0.0200360974925215</v>
      </c>
      <c r="F557" s="21" t="n">
        <f aca="false">2_Matriz_decision!F556/F$5</f>
        <v>0.0197623055576251</v>
      </c>
      <c r="G557" s="21" t="n">
        <f aca="false">2_Matriz_decision!G556/G$5</f>
        <v>0.0411149420220302</v>
      </c>
      <c r="H557" s="21" t="n">
        <f aca="false">2_Matriz_decision!H556/H$5</f>
        <v>0.0128089386344754</v>
      </c>
      <c r="I557" s="21" t="n">
        <f aca="false">2_Matriz_decision!I556/I$5</f>
        <v>0.0148184741491462</v>
      </c>
      <c r="J557" s="21" t="n">
        <f aca="false">2_Matriz_decision!J556/J$5</f>
        <v>0.0351992440847949</v>
      </c>
      <c r="K557" s="21" t="n">
        <f aca="false">2_Matriz_decision!K556/K$5</f>
        <v>0.039014903418414</v>
      </c>
      <c r="L557" s="21" t="n">
        <f aca="false">2_Matriz_decision!L556/L$5</f>
        <v>0.0280130531759725</v>
      </c>
      <c r="M557" s="21" t="n">
        <f aca="false">2_Matriz_decision!M556/M$5</f>
        <v>0.0441878007760322</v>
      </c>
      <c r="N557" s="21" t="n">
        <f aca="false">2_Matriz_decision!N556/N$5</f>
        <v>0.0336294130407101</v>
      </c>
      <c r="O557" s="21" t="n">
        <f aca="false">2_Matriz_decision!O556/O$5</f>
        <v>0.0304431282773992</v>
      </c>
      <c r="P557" s="21" t="n">
        <f aca="false">2_Matriz_decision!P556/P$5</f>
        <v>0.0529441535179372</v>
      </c>
      <c r="Q557" s="21" t="n">
        <f aca="false">2_Matriz_decision!Q556/Q$5</f>
        <v>0.0133893885620924</v>
      </c>
    </row>
    <row r="558" customFormat="false" ht="15" hidden="false" customHeight="false" outlineLevel="0" collapsed="false">
      <c r="A558" s="15" t="n">
        <f aca="false">2_Matriz_decision!A557</f>
        <v>553</v>
      </c>
      <c r="B558" s="16" t="n">
        <f aca="false">2_Matriz_decision!B557</f>
        <v>55.474</v>
      </c>
      <c r="C558" s="21" t="n">
        <f aca="false">2_Matriz_decision!C557/C$5</f>
        <v>0.0351757961231539</v>
      </c>
      <c r="D558" s="21" t="n">
        <f aca="false">2_Matriz_decision!D557/D$5</f>
        <v>0.0418648306977948</v>
      </c>
      <c r="E558" s="21" t="n">
        <f aca="false">2_Matriz_decision!E557/E$5</f>
        <v>0.0200360974925215</v>
      </c>
      <c r="F558" s="21" t="n">
        <f aca="false">2_Matriz_decision!F557/F$5</f>
        <v>0.0296434583364376</v>
      </c>
      <c r="G558" s="21" t="n">
        <f aca="false">2_Matriz_decision!G557/G$5</f>
        <v>0.0411149420220302</v>
      </c>
      <c r="H558" s="21" t="n">
        <f aca="false">2_Matriz_decision!H557/H$5</f>
        <v>0.0128089386344754</v>
      </c>
      <c r="I558" s="21" t="n">
        <f aca="false">2_Matriz_decision!I557/I$5</f>
        <v>0.0148184741491462</v>
      </c>
      <c r="J558" s="21" t="n">
        <f aca="false">2_Matriz_decision!J557/J$5</f>
        <v>0.0351992440847949</v>
      </c>
      <c r="K558" s="21" t="n">
        <f aca="false">2_Matriz_decision!K557/K$5</f>
        <v>0.039014903418414</v>
      </c>
      <c r="L558" s="21" t="n">
        <f aca="false">2_Matriz_decision!L557/L$5</f>
        <v>0.0275717974457543</v>
      </c>
      <c r="M558" s="21" t="n">
        <f aca="false">2_Matriz_decision!M557/M$5</f>
        <v>0.0441878007760322</v>
      </c>
      <c r="N558" s="21" t="n">
        <f aca="false">2_Matriz_decision!N557/N$5</f>
        <v>0.0336294130407101</v>
      </c>
      <c r="O558" s="21" t="n">
        <f aca="false">2_Matriz_decision!O557/O$5</f>
        <v>0.0304431282773992</v>
      </c>
      <c r="P558" s="21" t="n">
        <f aca="false">2_Matriz_decision!P557/P$5</f>
        <v>0.0529441535179372</v>
      </c>
      <c r="Q558" s="21" t="n">
        <f aca="false">2_Matriz_decision!Q557/Q$5</f>
        <v>0.0133893885620924</v>
      </c>
    </row>
    <row r="559" customFormat="false" ht="15" hidden="false" customHeight="false" outlineLevel="0" collapsed="false">
      <c r="A559" s="15" t="n">
        <f aca="false">2_Matriz_decision!A558</f>
        <v>554</v>
      </c>
      <c r="B559" s="16" t="n">
        <f aca="false">2_Matriz_decision!B558</f>
        <v>55.573</v>
      </c>
      <c r="C559" s="21" t="n">
        <f aca="false">2_Matriz_decision!C558/C$5</f>
        <v>0.0351757961231539</v>
      </c>
      <c r="D559" s="21" t="n">
        <f aca="false">2_Matriz_decision!D558/D$5</f>
        <v>0.0418648306977948</v>
      </c>
      <c r="E559" s="21" t="n">
        <f aca="false">2_Matriz_decision!E558/E$5</f>
        <v>0.0200360974925215</v>
      </c>
      <c r="F559" s="21" t="n">
        <f aca="false">2_Matriz_decision!F558/F$5</f>
        <v>0.0296434583364376</v>
      </c>
      <c r="G559" s="21" t="n">
        <f aca="false">2_Matriz_decision!G558/G$5</f>
        <v>0.0411149420220302</v>
      </c>
      <c r="H559" s="21" t="n">
        <f aca="false">2_Matriz_decision!H558/H$5</f>
        <v>0.0128089386344754</v>
      </c>
      <c r="I559" s="21" t="n">
        <f aca="false">2_Matriz_decision!I558/I$5</f>
        <v>0.0148184741491462</v>
      </c>
      <c r="J559" s="21" t="n">
        <f aca="false">2_Matriz_decision!J558/J$5</f>
        <v>0.0351992440847949</v>
      </c>
      <c r="K559" s="21" t="n">
        <f aca="false">2_Matriz_decision!K558/K$5</f>
        <v>0.039014903418414</v>
      </c>
      <c r="L559" s="21" t="n">
        <f aca="false">2_Matriz_decision!L558/L$5</f>
        <v>0.0275049405169334</v>
      </c>
      <c r="M559" s="21" t="n">
        <f aca="false">2_Matriz_decision!M558/M$5</f>
        <v>0.0441878007760322</v>
      </c>
      <c r="N559" s="21" t="n">
        <f aca="false">2_Matriz_decision!N558/N$5</f>
        <v>0.0448392173876134</v>
      </c>
      <c r="O559" s="21" t="n">
        <f aca="false">2_Matriz_decision!O558/O$5</f>
        <v>0.0304431282773992</v>
      </c>
      <c r="P559" s="21" t="n">
        <f aca="false">2_Matriz_decision!P558/P$5</f>
        <v>0.0529441535179372</v>
      </c>
      <c r="Q559" s="21" t="n">
        <f aca="false">2_Matriz_decision!Q558/Q$5</f>
        <v>0.0133893885620924</v>
      </c>
    </row>
    <row r="560" customFormat="false" ht="15" hidden="false" customHeight="false" outlineLevel="0" collapsed="false">
      <c r="A560" s="15" t="n">
        <f aca="false">2_Matriz_decision!A559</f>
        <v>555</v>
      </c>
      <c r="B560" s="16" t="n">
        <f aca="false">2_Matriz_decision!B559</f>
        <v>55.672</v>
      </c>
      <c r="C560" s="21" t="n">
        <f aca="false">2_Matriz_decision!C559/C$5</f>
        <v>0.0351757961231539</v>
      </c>
      <c r="D560" s="21" t="n">
        <f aca="false">2_Matriz_decision!D559/D$5</f>
        <v>0.0418648306977948</v>
      </c>
      <c r="E560" s="21" t="n">
        <f aca="false">2_Matriz_decision!E559/E$5</f>
        <v>0.0200360974925215</v>
      </c>
      <c r="F560" s="21" t="n">
        <f aca="false">2_Matriz_decision!F559/F$5</f>
        <v>0.0296434583364376</v>
      </c>
      <c r="G560" s="21" t="n">
        <f aca="false">2_Matriz_decision!G559/G$5</f>
        <v>0.0411149420220302</v>
      </c>
      <c r="H560" s="21" t="n">
        <f aca="false">2_Matriz_decision!H559/H$5</f>
        <v>0.0128089386344754</v>
      </c>
      <c r="I560" s="21" t="n">
        <f aca="false">2_Matriz_decision!I559/I$5</f>
        <v>0.0148184741491462</v>
      </c>
      <c r="J560" s="21" t="n">
        <f aca="false">2_Matriz_decision!J559/J$5</f>
        <v>0.0351992440847949</v>
      </c>
      <c r="K560" s="21" t="n">
        <f aca="false">2_Matriz_decision!K559/K$5</f>
        <v>0.039014903418414</v>
      </c>
      <c r="L560" s="21" t="n">
        <f aca="false">2_Matriz_decision!L559/L$5</f>
        <v>0.0295373911530899</v>
      </c>
      <c r="M560" s="21" t="n">
        <f aca="false">2_Matriz_decision!M559/M$5</f>
        <v>0.0441878007760322</v>
      </c>
      <c r="N560" s="21" t="n">
        <f aca="false">2_Matriz_decision!N559/N$5</f>
        <v>0.0448392173876134</v>
      </c>
      <c r="O560" s="21" t="n">
        <f aca="false">2_Matriz_decision!O559/O$5</f>
        <v>0.0304431282773992</v>
      </c>
      <c r="P560" s="21" t="n">
        <f aca="false">2_Matriz_decision!P559/P$5</f>
        <v>0.0529441535179372</v>
      </c>
      <c r="Q560" s="21" t="n">
        <f aca="false">2_Matriz_decision!Q559/Q$5</f>
        <v>0.0133893885620924</v>
      </c>
    </row>
    <row r="561" customFormat="false" ht="15" hidden="false" customHeight="false" outlineLevel="0" collapsed="false">
      <c r="A561" s="15" t="n">
        <f aca="false">2_Matriz_decision!A560</f>
        <v>556</v>
      </c>
      <c r="B561" s="16" t="n">
        <f aca="false">2_Matriz_decision!B560</f>
        <v>55.771</v>
      </c>
      <c r="C561" s="21" t="n">
        <f aca="false">2_Matriz_decision!C560/C$5</f>
        <v>0.0351757961231539</v>
      </c>
      <c r="D561" s="21" t="n">
        <f aca="false">2_Matriz_decision!D560/D$5</f>
        <v>0.0418648306977948</v>
      </c>
      <c r="E561" s="21" t="n">
        <f aca="false">2_Matriz_decision!E560/E$5</f>
        <v>0.0200360974925215</v>
      </c>
      <c r="F561" s="21" t="n">
        <f aca="false">2_Matriz_decision!F560/F$5</f>
        <v>0.0296434583364376</v>
      </c>
      <c r="G561" s="21" t="n">
        <f aca="false">2_Matriz_decision!G560/G$5</f>
        <v>0.0411149420220302</v>
      </c>
      <c r="H561" s="21" t="n">
        <f aca="false">2_Matriz_decision!H560/H$5</f>
        <v>0.0128089386344754</v>
      </c>
      <c r="I561" s="21" t="n">
        <f aca="false">2_Matriz_decision!I560/I$5</f>
        <v>0.0148184741491462</v>
      </c>
      <c r="J561" s="21" t="n">
        <f aca="false">2_Matriz_decision!J560/J$5</f>
        <v>0.0351992440847949</v>
      </c>
      <c r="K561" s="21" t="n">
        <f aca="false">2_Matriz_decision!K560/K$5</f>
        <v>0.039014903418414</v>
      </c>
      <c r="L561" s="21" t="n">
        <f aca="false">2_Matriz_decision!L560/L$5</f>
        <v>0.0315297276319538</v>
      </c>
      <c r="M561" s="21" t="n">
        <f aca="false">2_Matriz_decision!M560/M$5</f>
        <v>0.0441878007760322</v>
      </c>
      <c r="N561" s="21" t="n">
        <f aca="false">2_Matriz_decision!N560/N$5</f>
        <v>0.0448392173876134</v>
      </c>
      <c r="O561" s="21" t="n">
        <f aca="false">2_Matriz_decision!O560/O$5</f>
        <v>0.0304431282773992</v>
      </c>
      <c r="P561" s="21" t="n">
        <f aca="false">2_Matriz_decision!P560/P$5</f>
        <v>0.0529441535179372</v>
      </c>
      <c r="Q561" s="21" t="n">
        <f aca="false">2_Matriz_decision!Q560/Q$5</f>
        <v>0.0133893885620924</v>
      </c>
    </row>
    <row r="562" customFormat="false" ht="15" hidden="false" customHeight="false" outlineLevel="0" collapsed="false">
      <c r="A562" s="15" t="n">
        <f aca="false">2_Matriz_decision!A561</f>
        <v>557</v>
      </c>
      <c r="B562" s="16" t="n">
        <f aca="false">2_Matriz_decision!B561</f>
        <v>55.869</v>
      </c>
      <c r="C562" s="21" t="n">
        <f aca="false">2_Matriz_decision!C561/C$5</f>
        <v>0.0351757961231539</v>
      </c>
      <c r="D562" s="21" t="n">
        <f aca="false">2_Matriz_decision!D561/D$5</f>
        <v>0.0418648306977948</v>
      </c>
      <c r="E562" s="21" t="n">
        <f aca="false">2_Matriz_decision!E561/E$5</f>
        <v>0.0300541462387823</v>
      </c>
      <c r="F562" s="21" t="n">
        <f aca="false">2_Matriz_decision!F561/F$5</f>
        <v>0.0395246111152501</v>
      </c>
      <c r="G562" s="21" t="n">
        <f aca="false">2_Matriz_decision!G561/G$5</f>
        <v>0.0411149420220302</v>
      </c>
      <c r="H562" s="21" t="n">
        <f aca="false">2_Matriz_decision!H561/H$5</f>
        <v>0.0128089386344754</v>
      </c>
      <c r="I562" s="21" t="n">
        <f aca="false">2_Matriz_decision!I561/I$5</f>
        <v>0.0148184741491462</v>
      </c>
      <c r="J562" s="21" t="n">
        <f aca="false">2_Matriz_decision!J561/J$5</f>
        <v>0.0351992440847949</v>
      </c>
      <c r="K562" s="21" t="n">
        <f aca="false">2_Matriz_decision!K561/K$5</f>
        <v>0.039014903418414</v>
      </c>
      <c r="L562" s="21" t="n">
        <f aca="false">2_Matriz_decision!L561/L$5</f>
        <v>0.0290159071082866</v>
      </c>
      <c r="M562" s="21" t="n">
        <f aca="false">2_Matriz_decision!M561/M$5</f>
        <v>0.0441878007760322</v>
      </c>
      <c r="N562" s="21" t="n">
        <f aca="false">2_Matriz_decision!N561/N$5</f>
        <v>0.0448392173876134</v>
      </c>
      <c r="O562" s="21" t="n">
        <f aca="false">2_Matriz_decision!O561/O$5</f>
        <v>0.0304431282773992</v>
      </c>
      <c r="P562" s="21" t="n">
        <f aca="false">2_Matriz_decision!P561/P$5</f>
        <v>0.0529441535179372</v>
      </c>
      <c r="Q562" s="21" t="n">
        <f aca="false">2_Matriz_decision!Q561/Q$5</f>
        <v>0.0133893885620924</v>
      </c>
    </row>
    <row r="563" customFormat="false" ht="15" hidden="false" customHeight="false" outlineLevel="0" collapsed="false">
      <c r="A563" s="15" t="n">
        <f aca="false">2_Matriz_decision!A562</f>
        <v>558</v>
      </c>
      <c r="B563" s="16" t="n">
        <f aca="false">2_Matriz_decision!B562</f>
        <v>55.968</v>
      </c>
      <c r="C563" s="21" t="n">
        <f aca="false">2_Matriz_decision!C562/C$5</f>
        <v>0.0351757961231539</v>
      </c>
      <c r="D563" s="21" t="n">
        <f aca="false">2_Matriz_decision!D562/D$5</f>
        <v>0.0418648306977948</v>
      </c>
      <c r="E563" s="21" t="n">
        <f aca="false">2_Matriz_decision!E562/E$5</f>
        <v>0.0300541462387823</v>
      </c>
      <c r="F563" s="21" t="n">
        <f aca="false">2_Matriz_decision!F562/F$5</f>
        <v>0.0296434583364376</v>
      </c>
      <c r="G563" s="21" t="n">
        <f aca="false">2_Matriz_decision!G562/G$5</f>
        <v>0.0411149420220302</v>
      </c>
      <c r="H563" s="21" t="n">
        <f aca="false">2_Matriz_decision!H562/H$5</f>
        <v>0.0128089386344754</v>
      </c>
      <c r="I563" s="21" t="n">
        <f aca="false">2_Matriz_decision!I562/I$5</f>
        <v>0.0148184741491462</v>
      </c>
      <c r="J563" s="21" t="n">
        <f aca="false">2_Matriz_decision!J562/J$5</f>
        <v>0.0351992440847949</v>
      </c>
      <c r="K563" s="21" t="n">
        <f aca="false">2_Matriz_decision!K562/K$5</f>
        <v>0.039014903418414</v>
      </c>
      <c r="L563" s="21" t="n">
        <f aca="false">2_Matriz_decision!L562/L$5</f>
        <v>0.0284810516777191</v>
      </c>
      <c r="M563" s="21" t="n">
        <f aca="false">2_Matriz_decision!M562/M$5</f>
        <v>0.0441878007760322</v>
      </c>
      <c r="N563" s="21" t="n">
        <f aca="false">2_Matriz_decision!N562/N$5</f>
        <v>0.0448392173876134</v>
      </c>
      <c r="O563" s="21" t="n">
        <f aca="false">2_Matriz_decision!O562/O$5</f>
        <v>0.0304431282773992</v>
      </c>
      <c r="P563" s="21" t="n">
        <f aca="false">2_Matriz_decision!P562/P$5</f>
        <v>0.0529441535179372</v>
      </c>
      <c r="Q563" s="21" t="n">
        <f aca="false">2_Matriz_decision!Q562/Q$5</f>
        <v>0.0133893885620924</v>
      </c>
    </row>
    <row r="564" customFormat="false" ht="15" hidden="false" customHeight="false" outlineLevel="0" collapsed="false">
      <c r="A564" s="15" t="n">
        <f aca="false">2_Matriz_decision!A563</f>
        <v>559</v>
      </c>
      <c r="B564" s="16" t="n">
        <f aca="false">2_Matriz_decision!B563</f>
        <v>56.066</v>
      </c>
      <c r="C564" s="21" t="n">
        <f aca="false">2_Matriz_decision!C563/C$5</f>
        <v>0.0351757961231539</v>
      </c>
      <c r="D564" s="21" t="n">
        <f aca="false">2_Matriz_decision!D563/D$5</f>
        <v>0.0418648306977948</v>
      </c>
      <c r="E564" s="21" t="n">
        <f aca="false">2_Matriz_decision!E563/E$5</f>
        <v>0.0400721949850431</v>
      </c>
      <c r="F564" s="21" t="n">
        <f aca="false">2_Matriz_decision!F563/F$5</f>
        <v>0.0296434583364376</v>
      </c>
      <c r="G564" s="21" t="n">
        <f aca="false">2_Matriz_decision!G563/G$5</f>
        <v>0.0411149420220302</v>
      </c>
      <c r="H564" s="21" t="n">
        <f aca="false">2_Matriz_decision!H563/H$5</f>
        <v>0.0128089386344754</v>
      </c>
      <c r="I564" s="21" t="n">
        <f aca="false">2_Matriz_decision!I563/I$5</f>
        <v>0.0148184741491462</v>
      </c>
      <c r="J564" s="21" t="n">
        <f aca="false">2_Matriz_decision!J563/J$5</f>
        <v>0.0351992440847949</v>
      </c>
      <c r="K564" s="21" t="n">
        <f aca="false">2_Matriz_decision!K563/K$5</f>
        <v>0.039014903418414</v>
      </c>
      <c r="L564" s="21" t="n">
        <f aca="false">2_Matriz_decision!L563/L$5</f>
        <v>0.0298850471829588</v>
      </c>
      <c r="M564" s="21" t="n">
        <f aca="false">2_Matriz_decision!M563/M$5</f>
        <v>0.0441878007760322</v>
      </c>
      <c r="N564" s="21" t="n">
        <f aca="false">2_Matriz_decision!N563/N$5</f>
        <v>0.0448392173876134</v>
      </c>
      <c r="O564" s="21" t="n">
        <f aca="false">2_Matriz_decision!O563/O$5</f>
        <v>0.0304431282773992</v>
      </c>
      <c r="P564" s="21" t="n">
        <f aca="false">2_Matriz_decision!P563/P$5</f>
        <v>0.0529441535179372</v>
      </c>
      <c r="Q564" s="21" t="n">
        <f aca="false">2_Matriz_decision!Q563/Q$5</f>
        <v>0.0133893885620924</v>
      </c>
    </row>
    <row r="565" customFormat="false" ht="15" hidden="false" customHeight="false" outlineLevel="0" collapsed="false">
      <c r="A565" s="15" t="n">
        <f aca="false">2_Matriz_decision!A564</f>
        <v>560</v>
      </c>
      <c r="B565" s="16" t="n">
        <f aca="false">2_Matriz_decision!B564</f>
        <v>56.165</v>
      </c>
      <c r="C565" s="21" t="n">
        <f aca="false">2_Matriz_decision!C564/C$5</f>
        <v>0.0351757961231539</v>
      </c>
      <c r="D565" s="21" t="n">
        <f aca="false">2_Matriz_decision!D564/D$5</f>
        <v>0.0418648306977948</v>
      </c>
      <c r="E565" s="21" t="n">
        <f aca="false">2_Matriz_decision!E564/E$5</f>
        <v>0.0400721949850431</v>
      </c>
      <c r="F565" s="21" t="n">
        <f aca="false">2_Matriz_decision!F564/F$5</f>
        <v>0.0395246111152501</v>
      </c>
      <c r="G565" s="21" t="n">
        <f aca="false">2_Matriz_decision!G564/G$5</f>
        <v>0.0411149420220302</v>
      </c>
      <c r="H565" s="21" t="n">
        <f aca="false">2_Matriz_decision!H564/H$5</f>
        <v>0.0128089386344754</v>
      </c>
      <c r="I565" s="21" t="n">
        <f aca="false">2_Matriz_decision!I564/I$5</f>
        <v>0.0148184741491462</v>
      </c>
      <c r="J565" s="21" t="n">
        <f aca="false">2_Matriz_decision!J564/J$5</f>
        <v>0.0351992440847949</v>
      </c>
      <c r="K565" s="21" t="n">
        <f aca="false">2_Matriz_decision!K564/K$5</f>
        <v>0.039014903418414</v>
      </c>
      <c r="L565" s="21" t="n">
        <f aca="false">2_Matriz_decision!L564/L$5</f>
        <v>0.0309815008156221</v>
      </c>
      <c r="M565" s="21" t="n">
        <f aca="false">2_Matriz_decision!M564/M$5</f>
        <v>0.0441878007760322</v>
      </c>
      <c r="N565" s="21" t="n">
        <f aca="false">2_Matriz_decision!N564/N$5</f>
        <v>0.0448392173876134</v>
      </c>
      <c r="O565" s="21" t="n">
        <f aca="false">2_Matriz_decision!O564/O$5</f>
        <v>0.0304431282773992</v>
      </c>
      <c r="P565" s="21" t="n">
        <f aca="false">2_Matriz_decision!P564/P$5</f>
        <v>0.0529441535179372</v>
      </c>
      <c r="Q565" s="21" t="n">
        <f aca="false">2_Matriz_decision!Q564/Q$5</f>
        <v>0.0133893885620924</v>
      </c>
    </row>
    <row r="566" customFormat="false" ht="15" hidden="false" customHeight="false" outlineLevel="0" collapsed="false">
      <c r="A566" s="15" t="n">
        <f aca="false">2_Matriz_decision!A565</f>
        <v>561</v>
      </c>
      <c r="B566" s="16" t="n">
        <f aca="false">2_Matriz_decision!B565</f>
        <v>56.264</v>
      </c>
      <c r="C566" s="21" t="n">
        <f aca="false">2_Matriz_decision!C565/C$5</f>
        <v>0.0351757961231539</v>
      </c>
      <c r="D566" s="21" t="n">
        <f aca="false">2_Matriz_decision!D565/D$5</f>
        <v>0.0418648306977948</v>
      </c>
      <c r="E566" s="21" t="n">
        <f aca="false">2_Matriz_decision!E565/E$5</f>
        <v>0.0400721949850431</v>
      </c>
      <c r="F566" s="21" t="n">
        <f aca="false">2_Matriz_decision!F565/F$5</f>
        <v>0.0296434583364376</v>
      </c>
      <c r="G566" s="21" t="n">
        <f aca="false">2_Matriz_decision!G565/G$5</f>
        <v>0.0411149420220302</v>
      </c>
      <c r="H566" s="21" t="n">
        <f aca="false">2_Matriz_decision!H565/H$5</f>
        <v>0.0128089386344754</v>
      </c>
      <c r="I566" s="21" t="n">
        <f aca="false">2_Matriz_decision!I565/I$5</f>
        <v>0.0148184741491462</v>
      </c>
      <c r="J566" s="21" t="n">
        <f aca="false">2_Matriz_decision!J565/J$5</f>
        <v>0.0351992440847949</v>
      </c>
      <c r="K566" s="21" t="n">
        <f aca="false">2_Matriz_decision!K565/K$5</f>
        <v>0.039014903418414</v>
      </c>
      <c r="L566" s="21" t="n">
        <f aca="false">2_Matriz_decision!L565/L$5</f>
        <v>0.0312489285309059</v>
      </c>
      <c r="M566" s="21" t="n">
        <f aca="false">2_Matriz_decision!M565/M$5</f>
        <v>0.0441878007760322</v>
      </c>
      <c r="N566" s="21" t="n">
        <f aca="false">2_Matriz_decision!N565/N$5</f>
        <v>0.0448392173876134</v>
      </c>
      <c r="O566" s="21" t="n">
        <f aca="false">2_Matriz_decision!O565/O$5</f>
        <v>0.0304431282773992</v>
      </c>
      <c r="P566" s="21" t="n">
        <f aca="false">2_Matriz_decision!P565/P$5</f>
        <v>0.0529441535179372</v>
      </c>
      <c r="Q566" s="21" t="n">
        <f aca="false">2_Matriz_decision!Q565/Q$5</f>
        <v>0.0133893885620924</v>
      </c>
    </row>
    <row r="567" customFormat="false" ht="15" hidden="false" customHeight="false" outlineLevel="0" collapsed="false">
      <c r="A567" s="15" t="n">
        <f aca="false">2_Matriz_decision!A566</f>
        <v>562</v>
      </c>
      <c r="B567" s="16" t="n">
        <f aca="false">2_Matriz_decision!B566</f>
        <v>56.363</v>
      </c>
      <c r="C567" s="21" t="n">
        <f aca="false">2_Matriz_decision!C566/C$5</f>
        <v>0.0351757961231539</v>
      </c>
      <c r="D567" s="21" t="n">
        <f aca="false">2_Matriz_decision!D566/D$5</f>
        <v>0.0418648306977948</v>
      </c>
      <c r="E567" s="21" t="n">
        <f aca="false">2_Matriz_decision!E566/E$5</f>
        <v>0.0400721949850431</v>
      </c>
      <c r="F567" s="21" t="n">
        <f aca="false">2_Matriz_decision!F566/F$5</f>
        <v>0.0296434583364376</v>
      </c>
      <c r="G567" s="21" t="n">
        <f aca="false">2_Matriz_decision!G566/G$5</f>
        <v>0.0411149420220302</v>
      </c>
      <c r="H567" s="21" t="n">
        <f aca="false">2_Matriz_decision!H566/H$5</f>
        <v>0.0128089386344754</v>
      </c>
      <c r="I567" s="21" t="n">
        <f aca="false">2_Matriz_decision!I566/I$5</f>
        <v>0.0296369482982925</v>
      </c>
      <c r="J567" s="21" t="n">
        <f aca="false">2_Matriz_decision!J566/J$5</f>
        <v>0.0351992440847949</v>
      </c>
      <c r="K567" s="21" t="n">
        <f aca="false">2_Matriz_decision!K566/K$5</f>
        <v>0.039014903418414</v>
      </c>
      <c r="L567" s="21" t="n">
        <f aca="false">2_Matriz_decision!L566/L$5</f>
        <v>0.0318506408902943</v>
      </c>
      <c r="M567" s="21" t="n">
        <f aca="false">2_Matriz_decision!M566/M$5</f>
        <v>0.0441878007760322</v>
      </c>
      <c r="N567" s="21" t="n">
        <f aca="false">2_Matriz_decision!N566/N$5</f>
        <v>0.0448392173876134</v>
      </c>
      <c r="O567" s="21" t="n">
        <f aca="false">2_Matriz_decision!O566/O$5</f>
        <v>0.0304431282773992</v>
      </c>
      <c r="P567" s="21" t="n">
        <f aca="false">2_Matriz_decision!P566/P$5</f>
        <v>0.0529441535179372</v>
      </c>
      <c r="Q567" s="21" t="n">
        <f aca="false">2_Matriz_decision!Q566/Q$5</f>
        <v>0.0133893885620924</v>
      </c>
    </row>
    <row r="568" customFormat="false" ht="15" hidden="false" customHeight="false" outlineLevel="0" collapsed="false">
      <c r="A568" s="15" t="n">
        <f aca="false">2_Matriz_decision!A567</f>
        <v>563</v>
      </c>
      <c r="B568" s="16" t="n">
        <f aca="false">2_Matriz_decision!B567</f>
        <v>56.462</v>
      </c>
      <c r="C568" s="21" t="n">
        <f aca="false">2_Matriz_decision!C567/C$5</f>
        <v>0.0351757961231539</v>
      </c>
      <c r="D568" s="21" t="n">
        <f aca="false">2_Matriz_decision!D567/D$5</f>
        <v>0.0418648306977948</v>
      </c>
      <c r="E568" s="21" t="n">
        <f aca="false">2_Matriz_decision!E567/E$5</f>
        <v>0.0400721949850431</v>
      </c>
      <c r="F568" s="21" t="n">
        <f aca="false">2_Matriz_decision!F567/F$5</f>
        <v>0.0296434583364376</v>
      </c>
      <c r="G568" s="21" t="n">
        <f aca="false">2_Matriz_decision!G567/G$5</f>
        <v>0.0411149420220302</v>
      </c>
      <c r="H568" s="21" t="n">
        <f aca="false">2_Matriz_decision!H567/H$5</f>
        <v>0.0128089386344754</v>
      </c>
      <c r="I568" s="21" t="n">
        <f aca="false">2_Matriz_decision!I567/I$5</f>
        <v>0.0296369482982925</v>
      </c>
      <c r="J568" s="21" t="n">
        <f aca="false">2_Matriz_decision!J567/J$5</f>
        <v>0.0351992440847949</v>
      </c>
      <c r="K568" s="21" t="n">
        <f aca="false">2_Matriz_decision!K567/K$5</f>
        <v>0.039014903418414</v>
      </c>
      <c r="L568" s="21" t="n">
        <f aca="false">2_Matriz_decision!L567/L$5</f>
        <v>0.0322651538489841</v>
      </c>
      <c r="M568" s="21" t="n">
        <f aca="false">2_Matriz_decision!M567/M$5</f>
        <v>0.0441878007760322</v>
      </c>
      <c r="N568" s="21" t="n">
        <f aca="false">2_Matriz_decision!N567/N$5</f>
        <v>0.0448392173876134</v>
      </c>
      <c r="O568" s="21" t="n">
        <f aca="false">2_Matriz_decision!O567/O$5</f>
        <v>0.0304431282773992</v>
      </c>
      <c r="P568" s="21" t="n">
        <f aca="false">2_Matriz_decision!P567/P$5</f>
        <v>0.0529441535179372</v>
      </c>
      <c r="Q568" s="21" t="n">
        <f aca="false">2_Matriz_decision!Q567/Q$5</f>
        <v>0.0133893885620924</v>
      </c>
    </row>
    <row r="569" customFormat="false" ht="15" hidden="false" customHeight="false" outlineLevel="0" collapsed="false">
      <c r="A569" s="15" t="n">
        <f aca="false">2_Matriz_decision!A568</f>
        <v>564</v>
      </c>
      <c r="B569" s="16" t="n">
        <f aca="false">2_Matriz_decision!B568</f>
        <v>56.561</v>
      </c>
      <c r="C569" s="21" t="n">
        <f aca="false">2_Matriz_decision!C568/C$5</f>
        <v>0.0351757961231539</v>
      </c>
      <c r="D569" s="21" t="n">
        <f aca="false">2_Matriz_decision!D568/D$5</f>
        <v>0.0418648306977948</v>
      </c>
      <c r="E569" s="21" t="n">
        <f aca="false">2_Matriz_decision!E568/E$5</f>
        <v>0.0400721949850431</v>
      </c>
      <c r="F569" s="21" t="n">
        <f aca="false">2_Matriz_decision!F568/F$5</f>
        <v>0.0395246111152501</v>
      </c>
      <c r="G569" s="21" t="n">
        <f aca="false">2_Matriz_decision!G568/G$5</f>
        <v>0.0411149420220302</v>
      </c>
      <c r="H569" s="21" t="n">
        <f aca="false">2_Matriz_decision!H568/H$5</f>
        <v>0.0128089386344754</v>
      </c>
      <c r="I569" s="21" t="n">
        <f aca="false">2_Matriz_decision!I568/I$5</f>
        <v>0.0296369482982925</v>
      </c>
      <c r="J569" s="21" t="n">
        <f aca="false">2_Matriz_decision!J568/J$5</f>
        <v>0.0351992440847949</v>
      </c>
      <c r="K569" s="21" t="n">
        <f aca="false">2_Matriz_decision!K568/K$5</f>
        <v>0.039014903418414</v>
      </c>
      <c r="L569" s="21" t="n">
        <f aca="false">2_Matriz_decision!L568/L$5</f>
        <v>0.0328668662083725</v>
      </c>
      <c r="M569" s="21" t="n">
        <f aca="false">2_Matriz_decision!M568/M$5</f>
        <v>0.0441878007760322</v>
      </c>
      <c r="N569" s="21" t="n">
        <f aca="false">2_Matriz_decision!N568/N$5</f>
        <v>0.0448392173876134</v>
      </c>
      <c r="O569" s="21" t="n">
        <f aca="false">2_Matriz_decision!O568/O$5</f>
        <v>0.0304431282773992</v>
      </c>
      <c r="P569" s="21" t="n">
        <f aca="false">2_Matriz_decision!P568/P$5</f>
        <v>0.0529441535179372</v>
      </c>
      <c r="Q569" s="21" t="n">
        <f aca="false">2_Matriz_decision!Q568/Q$5</f>
        <v>0.0133893885620924</v>
      </c>
    </row>
    <row r="570" customFormat="false" ht="15" hidden="false" customHeight="false" outlineLevel="0" collapsed="false">
      <c r="A570" s="15" t="n">
        <f aca="false">2_Matriz_decision!A569</f>
        <v>565</v>
      </c>
      <c r="B570" s="16" t="n">
        <f aca="false">2_Matriz_decision!B569</f>
        <v>56.66</v>
      </c>
      <c r="C570" s="21" t="n">
        <f aca="false">2_Matriz_decision!C569/C$5</f>
        <v>0.0351757961231539</v>
      </c>
      <c r="D570" s="21" t="n">
        <f aca="false">2_Matriz_decision!D569/D$5</f>
        <v>0.0418648306977948</v>
      </c>
      <c r="E570" s="21" t="n">
        <f aca="false">2_Matriz_decision!E569/E$5</f>
        <v>0.0400721949850431</v>
      </c>
      <c r="F570" s="21" t="n">
        <f aca="false">2_Matriz_decision!F569/F$5</f>
        <v>0.0296434583364376</v>
      </c>
      <c r="G570" s="21" t="n">
        <f aca="false">2_Matriz_decision!G569/G$5</f>
        <v>0.0411149420220302</v>
      </c>
      <c r="H570" s="21" t="n">
        <f aca="false">2_Matriz_decision!H569/H$5</f>
        <v>0.0128089386344754</v>
      </c>
      <c r="I570" s="21" t="n">
        <f aca="false">2_Matriz_decision!I569/I$5</f>
        <v>0.0296369482982925</v>
      </c>
      <c r="J570" s="21" t="n">
        <f aca="false">2_Matriz_decision!J569/J$5</f>
        <v>0.0351992440847949</v>
      </c>
      <c r="K570" s="21" t="n">
        <f aca="false">2_Matriz_decision!K569/K$5</f>
        <v>0.039014903418414</v>
      </c>
      <c r="L570" s="21" t="n">
        <f aca="false">2_Matriz_decision!L569/L$5</f>
        <v>0.0325726957215604</v>
      </c>
      <c r="M570" s="21" t="n">
        <f aca="false">2_Matriz_decision!M569/M$5</f>
        <v>0.0441878007760322</v>
      </c>
      <c r="N570" s="21" t="n">
        <f aca="false">2_Matriz_decision!N569/N$5</f>
        <v>0.0448392173876134</v>
      </c>
      <c r="O570" s="21" t="n">
        <f aca="false">2_Matriz_decision!O569/O$5</f>
        <v>0.0304431282773992</v>
      </c>
      <c r="P570" s="21" t="n">
        <f aca="false">2_Matriz_decision!P569/P$5</f>
        <v>0.0529441535179372</v>
      </c>
      <c r="Q570" s="21" t="n">
        <f aca="false">2_Matriz_decision!Q569/Q$5</f>
        <v>0.0133893885620924</v>
      </c>
    </row>
    <row r="571" customFormat="false" ht="15" hidden="false" customHeight="false" outlineLevel="0" collapsed="false">
      <c r="A571" s="15" t="n">
        <f aca="false">2_Matriz_decision!A570</f>
        <v>566</v>
      </c>
      <c r="B571" s="16" t="n">
        <f aca="false">2_Matriz_decision!B570</f>
        <v>56.759</v>
      </c>
      <c r="C571" s="21" t="n">
        <f aca="false">2_Matriz_decision!C570/C$5</f>
        <v>0.0351757961231539</v>
      </c>
      <c r="D571" s="21" t="n">
        <f aca="false">2_Matriz_decision!D570/D$5</f>
        <v>0.0418648306977948</v>
      </c>
      <c r="E571" s="21" t="n">
        <f aca="false">2_Matriz_decision!E570/E$5</f>
        <v>0.0400721949850431</v>
      </c>
      <c r="F571" s="21" t="n">
        <f aca="false">2_Matriz_decision!F570/F$5</f>
        <v>0.0296434583364376</v>
      </c>
      <c r="G571" s="21" t="n">
        <f aca="false">2_Matriz_decision!G570/G$5</f>
        <v>0.0411149420220302</v>
      </c>
      <c r="H571" s="21" t="n">
        <f aca="false">2_Matriz_decision!H570/H$5</f>
        <v>0.0128089386344754</v>
      </c>
      <c r="I571" s="21" t="n">
        <f aca="false">2_Matriz_decision!I570/I$5</f>
        <v>0.0296369482982925</v>
      </c>
      <c r="J571" s="21" t="n">
        <f aca="false">2_Matriz_decision!J570/J$5</f>
        <v>0.0351992440847949</v>
      </c>
      <c r="K571" s="21" t="n">
        <f aca="false">2_Matriz_decision!K570/K$5</f>
        <v>0.039014903418414</v>
      </c>
      <c r="L571" s="21" t="n">
        <f aca="false">2_Matriz_decision!L570/L$5</f>
        <v>0.0329069803656651</v>
      </c>
      <c r="M571" s="21" t="n">
        <f aca="false">2_Matriz_decision!M570/M$5</f>
        <v>0.0441878007760322</v>
      </c>
      <c r="N571" s="21" t="n">
        <f aca="false">2_Matriz_decision!N570/N$5</f>
        <v>0.0448392173876134</v>
      </c>
      <c r="O571" s="21" t="n">
        <f aca="false">2_Matriz_decision!O570/O$5</f>
        <v>0.0304431282773992</v>
      </c>
      <c r="P571" s="21" t="n">
        <f aca="false">2_Matriz_decision!P570/P$5</f>
        <v>0.0529441535179372</v>
      </c>
      <c r="Q571" s="21" t="n">
        <f aca="false">2_Matriz_decision!Q570/Q$5</f>
        <v>0.0133893885620924</v>
      </c>
    </row>
    <row r="572" customFormat="false" ht="15" hidden="false" customHeight="false" outlineLevel="0" collapsed="false">
      <c r="A572" s="15" t="n">
        <f aca="false">2_Matriz_decision!A571</f>
        <v>567</v>
      </c>
      <c r="B572" s="16" t="n">
        <f aca="false">2_Matriz_decision!B571</f>
        <v>56.858</v>
      </c>
      <c r="C572" s="21" t="n">
        <f aca="false">2_Matriz_decision!C571/C$5</f>
        <v>0.0351757961231539</v>
      </c>
      <c r="D572" s="21" t="n">
        <f aca="false">2_Matriz_decision!D571/D$5</f>
        <v>0.0418648306977948</v>
      </c>
      <c r="E572" s="21" t="n">
        <f aca="false">2_Matriz_decision!E571/E$5</f>
        <v>0.0400721949850431</v>
      </c>
      <c r="F572" s="21" t="n">
        <f aca="false">2_Matriz_decision!F571/F$5</f>
        <v>0.0395246111152501</v>
      </c>
      <c r="G572" s="21" t="n">
        <f aca="false">2_Matriz_decision!G571/G$5</f>
        <v>0.0411149420220302</v>
      </c>
      <c r="H572" s="21" t="n">
        <f aca="false">2_Matriz_decision!H571/H$5</f>
        <v>0.0128089386344754</v>
      </c>
      <c r="I572" s="21" t="n">
        <f aca="false">2_Matriz_decision!I571/I$5</f>
        <v>0.0444554224474387</v>
      </c>
      <c r="J572" s="21" t="n">
        <f aca="false">2_Matriz_decision!J571/J$5</f>
        <v>0.0351992440847949</v>
      </c>
      <c r="K572" s="21" t="n">
        <f aca="false">2_Matriz_decision!K571/K$5</f>
        <v>0.039014903418414</v>
      </c>
      <c r="L572" s="21" t="n">
        <f aca="false">2_Matriz_decision!L571/L$5</f>
        <v>0.0336691493542238</v>
      </c>
      <c r="M572" s="21" t="n">
        <f aca="false">2_Matriz_decision!M571/M$5</f>
        <v>0.0441878007760322</v>
      </c>
      <c r="N572" s="21" t="n">
        <f aca="false">2_Matriz_decision!N571/N$5</f>
        <v>0.0448392173876134</v>
      </c>
      <c r="O572" s="21" t="n">
        <f aca="false">2_Matriz_decision!O571/O$5</f>
        <v>0.0304431282773992</v>
      </c>
      <c r="P572" s="21" t="n">
        <f aca="false">2_Matriz_decision!P571/P$5</f>
        <v>0.0529441535179372</v>
      </c>
      <c r="Q572" s="21" t="n">
        <f aca="false">2_Matriz_decision!Q571/Q$5</f>
        <v>0.0133893885620924</v>
      </c>
    </row>
    <row r="573" customFormat="false" ht="15" hidden="false" customHeight="false" outlineLevel="0" collapsed="false">
      <c r="A573" s="15" t="n">
        <f aca="false">2_Matriz_decision!A572</f>
        <v>568</v>
      </c>
      <c r="B573" s="16" t="n">
        <f aca="false">2_Matriz_decision!B572</f>
        <v>56.957</v>
      </c>
      <c r="C573" s="21" t="n">
        <f aca="false">2_Matriz_decision!C572/C$5</f>
        <v>0.0351757961231539</v>
      </c>
      <c r="D573" s="21" t="n">
        <f aca="false">2_Matriz_decision!D572/D$5</f>
        <v>0.0418648306977948</v>
      </c>
      <c r="E573" s="21" t="n">
        <f aca="false">2_Matriz_decision!E572/E$5</f>
        <v>0.0300541462387823</v>
      </c>
      <c r="F573" s="21" t="n">
        <f aca="false">2_Matriz_decision!F572/F$5</f>
        <v>0.0296434583364376</v>
      </c>
      <c r="G573" s="21" t="n">
        <f aca="false">2_Matriz_decision!G572/G$5</f>
        <v>0.0411149420220302</v>
      </c>
      <c r="H573" s="21" t="n">
        <f aca="false">2_Matriz_decision!H572/H$5</f>
        <v>0.0128089386344754</v>
      </c>
      <c r="I573" s="21" t="n">
        <f aca="false">2_Matriz_decision!I572/I$5</f>
        <v>0.0444554224474387</v>
      </c>
      <c r="J573" s="21" t="n">
        <f aca="false">2_Matriz_decision!J572/J$5</f>
        <v>0.0351992440847949</v>
      </c>
      <c r="K573" s="21" t="n">
        <f aca="false">2_Matriz_decision!K572/K$5</f>
        <v>0.039014903418414</v>
      </c>
      <c r="L573" s="21" t="n">
        <f aca="false">2_Matriz_decision!L572/L$5</f>
        <v>0.0339365770695075</v>
      </c>
      <c r="M573" s="21" t="n">
        <f aca="false">2_Matriz_decision!M572/M$5</f>
        <v>0.0441878007760322</v>
      </c>
      <c r="N573" s="21" t="n">
        <f aca="false">2_Matriz_decision!N572/N$5</f>
        <v>0.0448392173876134</v>
      </c>
      <c r="O573" s="21" t="n">
        <f aca="false">2_Matriz_decision!O572/O$5</f>
        <v>0.0304431282773992</v>
      </c>
      <c r="P573" s="21" t="n">
        <f aca="false">2_Matriz_decision!P572/P$5</f>
        <v>0.0529441535179372</v>
      </c>
      <c r="Q573" s="21" t="n">
        <f aca="false">2_Matriz_decision!Q572/Q$5</f>
        <v>0.0133893885620924</v>
      </c>
    </row>
    <row r="574" customFormat="false" ht="15" hidden="false" customHeight="false" outlineLevel="0" collapsed="false">
      <c r="A574" s="15" t="n">
        <f aca="false">2_Matriz_decision!A573</f>
        <v>569</v>
      </c>
      <c r="B574" s="16" t="n">
        <f aca="false">2_Matriz_decision!B573</f>
        <v>57.055</v>
      </c>
      <c r="C574" s="21" t="n">
        <f aca="false">2_Matriz_decision!C573/C$5</f>
        <v>0.0351757961231539</v>
      </c>
      <c r="D574" s="21" t="n">
        <f aca="false">2_Matriz_decision!D573/D$5</f>
        <v>0.0418648306977948</v>
      </c>
      <c r="E574" s="21" t="n">
        <f aca="false">2_Matriz_decision!E573/E$5</f>
        <v>0.0400721949850431</v>
      </c>
      <c r="F574" s="21" t="n">
        <f aca="false">2_Matriz_decision!F573/F$5</f>
        <v>0.0296434583364376</v>
      </c>
      <c r="G574" s="21" t="n">
        <f aca="false">2_Matriz_decision!G573/G$5</f>
        <v>0.0411149420220302</v>
      </c>
      <c r="H574" s="21" t="n">
        <f aca="false">2_Matriz_decision!H573/H$5</f>
        <v>0.0128089386344754</v>
      </c>
      <c r="I574" s="21" t="n">
        <f aca="false">2_Matriz_decision!I573/I$5</f>
        <v>0.0444554224474387</v>
      </c>
      <c r="J574" s="21" t="n">
        <f aca="false">2_Matriz_decision!J573/J$5</f>
        <v>0.0351992440847949</v>
      </c>
      <c r="K574" s="21" t="n">
        <f aca="false">2_Matriz_decision!K573/K$5</f>
        <v>0.039014903418414</v>
      </c>
      <c r="L574" s="21" t="n">
        <f aca="false">2_Matriz_decision!L573/L$5</f>
        <v>0.0308879011152728</v>
      </c>
      <c r="M574" s="21" t="n">
        <f aca="false">2_Matriz_decision!M573/M$5</f>
        <v>0.0441878007760322</v>
      </c>
      <c r="N574" s="21" t="n">
        <f aca="false">2_Matriz_decision!N573/N$5</f>
        <v>0.0448392173876134</v>
      </c>
      <c r="O574" s="21" t="n">
        <f aca="false">2_Matriz_decision!O573/O$5</f>
        <v>0.0304431282773992</v>
      </c>
      <c r="P574" s="21" t="n">
        <f aca="false">2_Matriz_decision!P573/P$5</f>
        <v>0.0529441535179372</v>
      </c>
      <c r="Q574" s="21" t="n">
        <f aca="false">2_Matriz_decision!Q573/Q$5</f>
        <v>0.0133893885620924</v>
      </c>
    </row>
    <row r="575" customFormat="false" ht="15" hidden="false" customHeight="false" outlineLevel="0" collapsed="false">
      <c r="A575" s="15" t="n">
        <f aca="false">2_Matriz_decision!A574</f>
        <v>570</v>
      </c>
      <c r="B575" s="16" t="n">
        <f aca="false">2_Matriz_decision!B574</f>
        <v>57.154</v>
      </c>
      <c r="C575" s="21" t="n">
        <f aca="false">2_Matriz_decision!C574/C$5</f>
        <v>0.0351757961231539</v>
      </c>
      <c r="D575" s="21" t="n">
        <f aca="false">2_Matriz_decision!D574/D$5</f>
        <v>0.0418648306977948</v>
      </c>
      <c r="E575" s="21" t="n">
        <f aca="false">2_Matriz_decision!E574/E$5</f>
        <v>0.0300541462387823</v>
      </c>
      <c r="F575" s="21" t="n">
        <f aca="false">2_Matriz_decision!F574/F$5</f>
        <v>0.0296434583364376</v>
      </c>
      <c r="G575" s="21" t="n">
        <f aca="false">2_Matriz_decision!G574/G$5</f>
        <v>0.0411149420220302</v>
      </c>
      <c r="H575" s="21" t="n">
        <f aca="false">2_Matriz_decision!H574/H$5</f>
        <v>0.0128089386344754</v>
      </c>
      <c r="I575" s="21" t="n">
        <f aca="false">2_Matriz_decision!I574/I$5</f>
        <v>0.0444554224474387</v>
      </c>
      <c r="J575" s="21" t="n">
        <f aca="false">2_Matriz_decision!J574/J$5</f>
        <v>0.0351992440847949</v>
      </c>
      <c r="K575" s="21" t="n">
        <f aca="false">2_Matriz_decision!K574/K$5</f>
        <v>0.039014903418414</v>
      </c>
      <c r="L575" s="21" t="n">
        <f aca="false">2_Matriz_decision!L574/L$5</f>
        <v>0.0267828856856673</v>
      </c>
      <c r="M575" s="21" t="n">
        <f aca="false">2_Matriz_decision!M574/M$5</f>
        <v>0.0441878007760322</v>
      </c>
      <c r="N575" s="21" t="n">
        <f aca="false">2_Matriz_decision!N574/N$5</f>
        <v>0.0448392173876134</v>
      </c>
      <c r="O575" s="21" t="n">
        <f aca="false">2_Matriz_decision!O574/O$5</f>
        <v>0.0304431282773992</v>
      </c>
      <c r="P575" s="21" t="n">
        <f aca="false">2_Matriz_decision!P574/P$5</f>
        <v>0.0529441535179372</v>
      </c>
      <c r="Q575" s="21" t="n">
        <f aca="false">2_Matriz_decision!Q574/Q$5</f>
        <v>0.0133893885620924</v>
      </c>
    </row>
    <row r="576" customFormat="false" ht="15" hidden="false" customHeight="false" outlineLevel="0" collapsed="false">
      <c r="A576" s="15" t="n">
        <f aca="false">2_Matriz_decision!A575</f>
        <v>571</v>
      </c>
      <c r="B576" s="16" t="n">
        <f aca="false">2_Matriz_decision!B575</f>
        <v>57.253</v>
      </c>
      <c r="C576" s="21" t="n">
        <f aca="false">2_Matriz_decision!C575/C$5</f>
        <v>0.0351757961231539</v>
      </c>
      <c r="D576" s="21" t="n">
        <f aca="false">2_Matriz_decision!D575/D$5</f>
        <v>0.0418648306977948</v>
      </c>
      <c r="E576" s="21" t="n">
        <f aca="false">2_Matriz_decision!E575/E$5</f>
        <v>0.0300541462387823</v>
      </c>
      <c r="F576" s="21" t="n">
        <f aca="false">2_Matriz_decision!F575/F$5</f>
        <v>0.0296434583364376</v>
      </c>
      <c r="G576" s="21" t="n">
        <f aca="false">2_Matriz_decision!G575/G$5</f>
        <v>0.0411149420220302</v>
      </c>
      <c r="H576" s="21" t="n">
        <f aca="false">2_Matriz_decision!H575/H$5</f>
        <v>0.0128089386344754</v>
      </c>
      <c r="I576" s="21" t="n">
        <f aca="false">2_Matriz_decision!I575/I$5</f>
        <v>0.0296369482982925</v>
      </c>
      <c r="J576" s="21" t="n">
        <f aca="false">2_Matriz_decision!J575/J$5</f>
        <v>0.0351992440847949</v>
      </c>
      <c r="K576" s="21" t="n">
        <f aca="false">2_Matriz_decision!K575/K$5</f>
        <v>0.039014903418414</v>
      </c>
      <c r="L576" s="21" t="n">
        <f aca="false">2_Matriz_decision!L575/L$5</f>
        <v>0.0236539814168474</v>
      </c>
      <c r="M576" s="21" t="n">
        <f aca="false">2_Matriz_decision!M575/M$5</f>
        <v>0.0434476551130337</v>
      </c>
      <c r="N576" s="21" t="n">
        <f aca="false">2_Matriz_decision!N575/N$5</f>
        <v>0.0448392173876134</v>
      </c>
      <c r="O576" s="21" t="n">
        <f aca="false">2_Matriz_decision!O575/O$5</f>
        <v>0.0304431282773992</v>
      </c>
      <c r="P576" s="21" t="n">
        <f aca="false">2_Matriz_decision!P575/P$5</f>
        <v>0.0529441535179372</v>
      </c>
      <c r="Q576" s="21" t="n">
        <f aca="false">2_Matriz_decision!Q575/Q$5</f>
        <v>0.0133893885620924</v>
      </c>
    </row>
    <row r="577" customFormat="false" ht="15" hidden="false" customHeight="false" outlineLevel="0" collapsed="false">
      <c r="A577" s="15" t="n">
        <f aca="false">2_Matriz_decision!A576</f>
        <v>572</v>
      </c>
      <c r="B577" s="16" t="n">
        <f aca="false">2_Matriz_decision!B576</f>
        <v>57.352</v>
      </c>
      <c r="C577" s="21" t="n">
        <f aca="false">2_Matriz_decision!C576/C$5</f>
        <v>0.0351757961231539</v>
      </c>
      <c r="D577" s="21" t="n">
        <f aca="false">2_Matriz_decision!D576/D$5</f>
        <v>0.0418648306977948</v>
      </c>
      <c r="E577" s="21" t="n">
        <f aca="false">2_Matriz_decision!E576/E$5</f>
        <v>0.0400721949850431</v>
      </c>
      <c r="F577" s="21" t="n">
        <f aca="false">2_Matriz_decision!F576/F$5</f>
        <v>0.0197623055576251</v>
      </c>
      <c r="G577" s="21" t="n">
        <f aca="false">2_Matriz_decision!G576/G$5</f>
        <v>0.0411149420220302</v>
      </c>
      <c r="H577" s="21" t="n">
        <f aca="false">2_Matriz_decision!H576/H$5</f>
        <v>0.0128089386344754</v>
      </c>
      <c r="I577" s="21" t="n">
        <f aca="false">2_Matriz_decision!I576/I$5</f>
        <v>0.0148184741491462</v>
      </c>
      <c r="J577" s="21" t="n">
        <f aca="false">2_Matriz_decision!J576/J$5</f>
        <v>0.0351992440847949</v>
      </c>
      <c r="K577" s="21" t="n">
        <f aca="false">2_Matriz_decision!K576/K$5</f>
        <v>0.039014903418414</v>
      </c>
      <c r="L577" s="21" t="n">
        <f aca="false">2_Matriz_decision!L576/L$5</f>
        <v>0.0243894076338777</v>
      </c>
      <c r="M577" s="21" t="n">
        <f aca="false">2_Matriz_decision!M576/M$5</f>
        <v>0.0418568942850965</v>
      </c>
      <c r="N577" s="21" t="n">
        <f aca="false">2_Matriz_decision!N576/N$5</f>
        <v>0.0448392173876134</v>
      </c>
      <c r="O577" s="21" t="n">
        <f aca="false">2_Matriz_decision!O576/O$5</f>
        <v>0.0304431282773992</v>
      </c>
      <c r="P577" s="21" t="n">
        <f aca="false">2_Matriz_decision!P576/P$5</f>
        <v>0.0529441535179372</v>
      </c>
      <c r="Q577" s="21" t="n">
        <f aca="false">2_Matriz_decision!Q576/Q$5</f>
        <v>0.0133893885620924</v>
      </c>
    </row>
    <row r="578" customFormat="false" ht="15" hidden="false" customHeight="false" outlineLevel="0" collapsed="false">
      <c r="A578" s="15" t="n">
        <f aca="false">2_Matriz_decision!A577</f>
        <v>573</v>
      </c>
      <c r="B578" s="16" t="n">
        <f aca="false">2_Matriz_decision!B577</f>
        <v>57.451</v>
      </c>
      <c r="C578" s="21" t="n">
        <f aca="false">2_Matriz_decision!C577/C$5</f>
        <v>0.0263818470923654</v>
      </c>
      <c r="D578" s="21" t="n">
        <f aca="false">2_Matriz_decision!D577/D$5</f>
        <v>0.0418648306977948</v>
      </c>
      <c r="E578" s="21" t="n">
        <f aca="false">2_Matriz_decision!E577/E$5</f>
        <v>0.0400721949850431</v>
      </c>
      <c r="F578" s="21" t="n">
        <f aca="false">2_Matriz_decision!F577/F$5</f>
        <v>0.0197623055576251</v>
      </c>
      <c r="G578" s="21" t="n">
        <f aca="false">2_Matriz_decision!G577/G$5</f>
        <v>0.0411149420220302</v>
      </c>
      <c r="H578" s="21" t="n">
        <f aca="false">2_Matriz_decision!H577/H$5</f>
        <v>0.0128089386344754</v>
      </c>
      <c r="I578" s="21" t="n">
        <f aca="false">2_Matriz_decision!I577/I$5</f>
        <v>0.0148184741491462</v>
      </c>
      <c r="J578" s="21" t="n">
        <f aca="false">2_Matriz_decision!J577/J$5</f>
        <v>0.0351992440847949</v>
      </c>
      <c r="K578" s="21" t="n">
        <f aca="false">2_Matriz_decision!K577/K$5</f>
        <v>0.039014903418414</v>
      </c>
      <c r="L578" s="21" t="n">
        <f aca="false">2_Matriz_decision!L577/L$5</f>
        <v>0.027331112501999</v>
      </c>
      <c r="M578" s="21" t="n">
        <f aca="false">2_Matriz_decision!M577/M$5</f>
        <v>0.0402882273575474</v>
      </c>
      <c r="N578" s="21" t="n">
        <f aca="false">2_Matriz_decision!N577/N$5</f>
        <v>0.0448392173876134</v>
      </c>
      <c r="O578" s="21" t="n">
        <f aca="false">2_Matriz_decision!O577/O$5</f>
        <v>0.0304431282773992</v>
      </c>
      <c r="P578" s="21" t="n">
        <f aca="false">2_Matriz_decision!P577/P$5</f>
        <v>0.0529441535179372</v>
      </c>
      <c r="Q578" s="21" t="n">
        <f aca="false">2_Matriz_decision!Q577/Q$5</f>
        <v>0.0133893885620924</v>
      </c>
    </row>
    <row r="579" customFormat="false" ht="15" hidden="false" customHeight="false" outlineLevel="0" collapsed="false">
      <c r="A579" s="15" t="n">
        <f aca="false">2_Matriz_decision!A578</f>
        <v>574</v>
      </c>
      <c r="B579" s="16" t="n">
        <f aca="false">2_Matriz_decision!B578</f>
        <v>57.55</v>
      </c>
      <c r="C579" s="21" t="n">
        <f aca="false">2_Matriz_decision!C578/C$5</f>
        <v>0.0263818470923654</v>
      </c>
      <c r="D579" s="21" t="n">
        <f aca="false">2_Matriz_decision!D578/D$5</f>
        <v>0.0418648306977948</v>
      </c>
      <c r="E579" s="21" t="n">
        <f aca="false">2_Matriz_decision!E578/E$5</f>
        <v>0.0200360974925215</v>
      </c>
      <c r="F579" s="21" t="n">
        <f aca="false">2_Matriz_decision!F578/F$5</f>
        <v>0.0296434583364376</v>
      </c>
      <c r="G579" s="21" t="n">
        <f aca="false">2_Matriz_decision!G578/G$5</f>
        <v>0.0411149420220302</v>
      </c>
      <c r="H579" s="21" t="n">
        <f aca="false">2_Matriz_decision!H578/H$5</f>
        <v>0.0128089386344754</v>
      </c>
      <c r="I579" s="21" t="n">
        <f aca="false">2_Matriz_decision!I578/I$5</f>
        <v>0.0148184741491462</v>
      </c>
      <c r="J579" s="21" t="n">
        <f aca="false">2_Matriz_decision!J578/J$5</f>
        <v>0.0351992440847949</v>
      </c>
      <c r="K579" s="21" t="n">
        <f aca="false">2_Matriz_decision!K578/K$5</f>
        <v>0.039014903418414</v>
      </c>
      <c r="L579" s="21" t="n">
        <f aca="false">2_Matriz_decision!L578/L$5</f>
        <v>0.0292833348235703</v>
      </c>
      <c r="M579" s="21" t="n">
        <f aca="false">2_Matriz_decision!M578/M$5</f>
        <v>0.0392277201389226</v>
      </c>
      <c r="N579" s="21" t="n">
        <f aca="false">2_Matriz_decision!N578/N$5</f>
        <v>0.0560490217345168</v>
      </c>
      <c r="O579" s="21" t="n">
        <f aca="false">2_Matriz_decision!O578/O$5</f>
        <v>0.0304431282773992</v>
      </c>
      <c r="P579" s="21" t="n">
        <f aca="false">2_Matriz_decision!P578/P$5</f>
        <v>0.0529441535179372</v>
      </c>
      <c r="Q579" s="21" t="n">
        <f aca="false">2_Matriz_decision!Q578/Q$5</f>
        <v>0.0133893885620924</v>
      </c>
    </row>
    <row r="580" customFormat="false" ht="15" hidden="false" customHeight="false" outlineLevel="0" collapsed="false">
      <c r="A580" s="15" t="n">
        <f aca="false">2_Matriz_decision!A579</f>
        <v>575</v>
      </c>
      <c r="B580" s="16" t="n">
        <f aca="false">2_Matriz_decision!B579</f>
        <v>57.648</v>
      </c>
      <c r="C580" s="21" t="n">
        <f aca="false">2_Matriz_decision!C579/C$5</f>
        <v>0.0263818470923654</v>
      </c>
      <c r="D580" s="21" t="n">
        <f aca="false">2_Matriz_decision!D579/D$5</f>
        <v>0.0418648306977948</v>
      </c>
      <c r="E580" s="21" t="n">
        <f aca="false">2_Matriz_decision!E579/E$5</f>
        <v>0.0200360974925215</v>
      </c>
      <c r="F580" s="21" t="n">
        <f aca="false">2_Matriz_decision!F579/F$5</f>
        <v>0.0197623055576251</v>
      </c>
      <c r="G580" s="21" t="n">
        <f aca="false">2_Matriz_decision!G579/G$5</f>
        <v>0.0411149420220302</v>
      </c>
      <c r="H580" s="21" t="n">
        <f aca="false">2_Matriz_decision!H579/H$5</f>
        <v>0.0128089386344754</v>
      </c>
      <c r="I580" s="21" t="n">
        <f aca="false">2_Matriz_decision!I579/I$5</f>
        <v>0.0148184741491462</v>
      </c>
      <c r="J580" s="21" t="n">
        <f aca="false">2_Matriz_decision!J579/J$5</f>
        <v>0.0351992440847949</v>
      </c>
      <c r="K580" s="21" t="n">
        <f aca="false">2_Matriz_decision!K579/K$5</f>
        <v>0.039014903418414</v>
      </c>
      <c r="L580" s="21" t="n">
        <f aca="false">2_Matriz_decision!L579/L$5</f>
        <v>0.0295775053103824</v>
      </c>
      <c r="M580" s="21" t="n">
        <f aca="false">2_Matriz_decision!M579/M$5</f>
        <v>0.0389957341848484</v>
      </c>
      <c r="N580" s="21" t="n">
        <f aca="false">2_Matriz_decision!N579/N$5</f>
        <v>0.0560490217345168</v>
      </c>
      <c r="O580" s="21" t="n">
        <f aca="false">2_Matriz_decision!O579/O$5</f>
        <v>0.0304431282773992</v>
      </c>
      <c r="P580" s="21" t="n">
        <f aca="false">2_Matriz_decision!P579/P$5</f>
        <v>0.0529441535179372</v>
      </c>
      <c r="Q580" s="21" t="n">
        <f aca="false">2_Matriz_decision!Q579/Q$5</f>
        <v>0.0133893885620924</v>
      </c>
    </row>
    <row r="581" customFormat="false" ht="15" hidden="false" customHeight="false" outlineLevel="0" collapsed="false">
      <c r="A581" s="15" t="n">
        <f aca="false">2_Matriz_decision!A580</f>
        <v>576</v>
      </c>
      <c r="B581" s="16" t="n">
        <f aca="false">2_Matriz_decision!B580</f>
        <v>57.746</v>
      </c>
      <c r="C581" s="21" t="n">
        <f aca="false">2_Matriz_decision!C580/C$5</f>
        <v>0.0263818470923654</v>
      </c>
      <c r="D581" s="21" t="n">
        <f aca="false">2_Matriz_decision!D580/D$5</f>
        <v>0.0418648306977948</v>
      </c>
      <c r="E581" s="21" t="n">
        <f aca="false">2_Matriz_decision!E580/E$5</f>
        <v>0.0100180487462608</v>
      </c>
      <c r="F581" s="21" t="n">
        <f aca="false">2_Matriz_decision!F580/F$5</f>
        <v>0.0197623055576251</v>
      </c>
      <c r="G581" s="21" t="n">
        <f aca="false">2_Matriz_decision!G580/G$5</f>
        <v>0.0411149420220302</v>
      </c>
      <c r="H581" s="21" t="n">
        <f aca="false">2_Matriz_decision!H580/H$5</f>
        <v>0.0128089386344754</v>
      </c>
      <c r="I581" s="21" t="n">
        <f aca="false">2_Matriz_decision!I580/I$5</f>
        <v>0.0148184741491462</v>
      </c>
      <c r="J581" s="21" t="n">
        <f aca="false">2_Matriz_decision!J580/J$5</f>
        <v>0.0351992440847949</v>
      </c>
      <c r="K581" s="21" t="n">
        <f aca="false">2_Matriz_decision!K580/K$5</f>
        <v>0.039014903418414</v>
      </c>
      <c r="L581" s="21" t="n">
        <f aca="false">2_Matriz_decision!L580/L$5</f>
        <v>0.0304065312277621</v>
      </c>
      <c r="M581" s="21" t="n">
        <f aca="false">2_Matriz_decision!M580/M$5</f>
        <v>0.038432339724954</v>
      </c>
      <c r="N581" s="21" t="n">
        <f aca="false">2_Matriz_decision!N580/N$5</f>
        <v>0.0560490217345168</v>
      </c>
      <c r="O581" s="21" t="n">
        <f aca="false">2_Matriz_decision!O580/O$5</f>
        <v>0.0304431282773992</v>
      </c>
      <c r="P581" s="21" t="n">
        <f aca="false">2_Matriz_decision!P580/P$5</f>
        <v>0.0529441535179372</v>
      </c>
      <c r="Q581" s="21" t="n">
        <f aca="false">2_Matriz_decision!Q580/Q$5</f>
        <v>0.0133893885620924</v>
      </c>
    </row>
    <row r="582" customFormat="false" ht="15" hidden="false" customHeight="false" outlineLevel="0" collapsed="false">
      <c r="A582" s="15" t="n">
        <f aca="false">2_Matriz_decision!A581</f>
        <v>577</v>
      </c>
      <c r="B582" s="16" t="n">
        <f aca="false">2_Matriz_decision!B581</f>
        <v>57.845</v>
      </c>
      <c r="C582" s="21" t="n">
        <f aca="false">2_Matriz_decision!C581/C$5</f>
        <v>0.0263818470923654</v>
      </c>
      <c r="D582" s="21" t="n">
        <f aca="false">2_Matriz_decision!D581/D$5</f>
        <v>0.0418648306977948</v>
      </c>
      <c r="E582" s="21" t="n">
        <f aca="false">2_Matriz_decision!E581/E$5</f>
        <v>0.0100180487462608</v>
      </c>
      <c r="F582" s="21" t="n">
        <f aca="false">2_Matriz_decision!F581/F$5</f>
        <v>0.0296434583364376</v>
      </c>
      <c r="G582" s="21" t="n">
        <f aca="false">2_Matriz_decision!G581/G$5</f>
        <v>0.0411149420220302</v>
      </c>
      <c r="H582" s="21" t="n">
        <f aca="false">2_Matriz_decision!H581/H$5</f>
        <v>0.0128089386344754</v>
      </c>
      <c r="I582" s="21" t="n">
        <f aca="false">2_Matriz_decision!I581/I$5</f>
        <v>0.0148184741491462</v>
      </c>
      <c r="J582" s="21" t="n">
        <f aca="false">2_Matriz_decision!J581/J$5</f>
        <v>0.0351992440847949</v>
      </c>
      <c r="K582" s="21" t="n">
        <f aca="false">2_Matriz_decision!K581/K$5</f>
        <v>0.039014903418414</v>
      </c>
      <c r="L582" s="21" t="n">
        <f aca="false">2_Matriz_decision!L581/L$5</f>
        <v>0.032545952950032</v>
      </c>
      <c r="M582" s="21" t="n">
        <f aca="false">2_Matriz_decision!M581/M$5</f>
        <v>0.0387085134798042</v>
      </c>
      <c r="N582" s="21" t="n">
        <f aca="false">2_Matriz_decision!N581/N$5</f>
        <v>0.0560490217345168</v>
      </c>
      <c r="O582" s="21" t="n">
        <f aca="false">2_Matriz_decision!O581/O$5</f>
        <v>0.0304431282773992</v>
      </c>
      <c r="P582" s="21" t="n">
        <f aca="false">2_Matriz_decision!P581/P$5</f>
        <v>0.0529441535179372</v>
      </c>
      <c r="Q582" s="21" t="n">
        <f aca="false">2_Matriz_decision!Q581/Q$5</f>
        <v>0.0133893885620924</v>
      </c>
    </row>
    <row r="583" customFormat="false" ht="15" hidden="false" customHeight="false" outlineLevel="0" collapsed="false">
      <c r="A583" s="15" t="n">
        <f aca="false">2_Matriz_decision!A582</f>
        <v>578</v>
      </c>
      <c r="B583" s="16" t="n">
        <f aca="false">2_Matriz_decision!B582</f>
        <v>57.943</v>
      </c>
      <c r="C583" s="21" t="n">
        <f aca="false">2_Matriz_decision!C582/C$5</f>
        <v>0.0263818470923654</v>
      </c>
      <c r="D583" s="21" t="n">
        <f aca="false">2_Matriz_decision!D582/D$5</f>
        <v>0.0418648306977948</v>
      </c>
      <c r="E583" s="21" t="n">
        <f aca="false">2_Matriz_decision!E582/E$5</f>
        <v>0.0100180487462608</v>
      </c>
      <c r="F583" s="21" t="n">
        <f aca="false">2_Matriz_decision!F582/F$5</f>
        <v>0.0296434583364376</v>
      </c>
      <c r="G583" s="21" t="n">
        <f aca="false">2_Matriz_decision!G582/G$5</f>
        <v>0.0411149420220302</v>
      </c>
      <c r="H583" s="21" t="n">
        <f aca="false">2_Matriz_decision!H582/H$5</f>
        <v>0.0128089386344754</v>
      </c>
      <c r="I583" s="21" t="n">
        <f aca="false">2_Matriz_decision!I582/I$5</f>
        <v>0.0148184741491462</v>
      </c>
      <c r="J583" s="21" t="n">
        <f aca="false">2_Matriz_decision!J582/J$5</f>
        <v>0.0351992440847949</v>
      </c>
      <c r="K583" s="21" t="n">
        <f aca="false">2_Matriz_decision!K582/K$5</f>
        <v>0.039014903418414</v>
      </c>
      <c r="L583" s="21" t="n">
        <f aca="false">2_Matriz_decision!L582/L$5</f>
        <v>0.0315163562461896</v>
      </c>
      <c r="M583" s="21" t="n">
        <f aca="false">2_Matriz_decision!M582/M$5</f>
        <v>0.0379683678168057</v>
      </c>
      <c r="N583" s="21" t="n">
        <f aca="false">2_Matriz_decision!N582/N$5</f>
        <v>0.0560490217345168</v>
      </c>
      <c r="O583" s="21" t="n">
        <f aca="false">2_Matriz_decision!O582/O$5</f>
        <v>0.0304431282773992</v>
      </c>
      <c r="P583" s="21" t="n">
        <f aca="false">2_Matriz_decision!P582/P$5</f>
        <v>0.0529441535179372</v>
      </c>
      <c r="Q583" s="21" t="n">
        <f aca="false">2_Matriz_decision!Q582/Q$5</f>
        <v>0.0267787771241848</v>
      </c>
    </row>
    <row r="584" customFormat="false" ht="15" hidden="false" customHeight="false" outlineLevel="0" collapsed="false">
      <c r="A584" s="15" t="n">
        <f aca="false">2_Matriz_decision!A583</f>
        <v>579</v>
      </c>
      <c r="B584" s="16" t="n">
        <f aca="false">2_Matriz_decision!B583</f>
        <v>58.042</v>
      </c>
      <c r="C584" s="21" t="n">
        <f aca="false">2_Matriz_decision!C583/C$5</f>
        <v>0.0263818470923654</v>
      </c>
      <c r="D584" s="21" t="n">
        <f aca="false">2_Matriz_decision!D583/D$5</f>
        <v>0.0418648306977948</v>
      </c>
      <c r="E584" s="21" t="n">
        <f aca="false">2_Matriz_decision!E583/E$5</f>
        <v>0.0100180487462608</v>
      </c>
      <c r="F584" s="21" t="n">
        <f aca="false">2_Matriz_decision!F583/F$5</f>
        <v>0.0197623055576251</v>
      </c>
      <c r="G584" s="21" t="n">
        <f aca="false">2_Matriz_decision!G583/G$5</f>
        <v>0.0411149420220302</v>
      </c>
      <c r="H584" s="21" t="n">
        <f aca="false">2_Matriz_decision!H583/H$5</f>
        <v>0.0128089386344754</v>
      </c>
      <c r="I584" s="21" t="n">
        <f aca="false">2_Matriz_decision!I583/I$5</f>
        <v>0.0148184741491462</v>
      </c>
      <c r="J584" s="21" t="n">
        <f aca="false">2_Matriz_decision!J583/J$5</f>
        <v>0.0351992440847949</v>
      </c>
      <c r="K584" s="21" t="n">
        <f aca="false">2_Matriz_decision!K583/K$5</f>
        <v>0.039014903418414</v>
      </c>
      <c r="L584" s="21" t="n">
        <f aca="false">2_Matriz_decision!L583/L$5</f>
        <v>0.0334552071819968</v>
      </c>
      <c r="M584" s="21" t="n">
        <f aca="false">2_Matriz_decision!M583/M$5</f>
        <v>0.0380898842689398</v>
      </c>
      <c r="N584" s="21" t="n">
        <f aca="false">2_Matriz_decision!N583/N$5</f>
        <v>0.0560490217345168</v>
      </c>
      <c r="O584" s="21" t="n">
        <f aca="false">2_Matriz_decision!O583/O$5</f>
        <v>0.0304431282773992</v>
      </c>
      <c r="P584" s="21" t="n">
        <f aca="false">2_Matriz_decision!P583/P$5</f>
        <v>0.0529441535179372</v>
      </c>
      <c r="Q584" s="21" t="n">
        <f aca="false">2_Matriz_decision!Q583/Q$5</f>
        <v>0.0133893885620924</v>
      </c>
    </row>
    <row r="585" customFormat="false" ht="15" hidden="false" customHeight="false" outlineLevel="0" collapsed="false">
      <c r="A585" s="15" t="n">
        <f aca="false">2_Matriz_decision!A584</f>
        <v>580</v>
      </c>
      <c r="B585" s="16" t="n">
        <f aca="false">2_Matriz_decision!B584</f>
        <v>58.141</v>
      </c>
      <c r="C585" s="21" t="n">
        <f aca="false">2_Matriz_decision!C584/C$5</f>
        <v>0.0263818470923654</v>
      </c>
      <c r="D585" s="21" t="n">
        <f aca="false">2_Matriz_decision!D584/D$5</f>
        <v>0.0418648306977948</v>
      </c>
      <c r="E585" s="21" t="n">
        <f aca="false">2_Matriz_decision!E584/E$5</f>
        <v>0.0100180487462608</v>
      </c>
      <c r="F585" s="21" t="n">
        <f aca="false">2_Matriz_decision!F584/F$5</f>
        <v>0.0197623055576251</v>
      </c>
      <c r="G585" s="21" t="n">
        <f aca="false">2_Matriz_decision!G584/G$5</f>
        <v>0.0411149420220302</v>
      </c>
      <c r="H585" s="21" t="n">
        <f aca="false">2_Matriz_decision!H584/H$5</f>
        <v>0.0128089386344754</v>
      </c>
      <c r="I585" s="21" t="n">
        <f aca="false">2_Matriz_decision!I584/I$5</f>
        <v>0.0148184741491462</v>
      </c>
      <c r="J585" s="21" t="n">
        <f aca="false">2_Matriz_decision!J584/J$5</f>
        <v>0.0351992440847949</v>
      </c>
      <c r="K585" s="21" t="n">
        <f aca="false">2_Matriz_decision!K584/K$5</f>
        <v>0.039014903418414</v>
      </c>
      <c r="L585" s="21" t="n">
        <f aca="false">2_Matriz_decision!L584/L$5</f>
        <v>0.0357417141476728</v>
      </c>
      <c r="M585" s="21" t="n">
        <f aca="false">2_Matriz_decision!M584/M$5</f>
        <v>0.0375043959086574</v>
      </c>
      <c r="N585" s="21" t="n">
        <f aca="false">2_Matriz_decision!N584/N$5</f>
        <v>0.0560490217345168</v>
      </c>
      <c r="O585" s="21" t="n">
        <f aca="false">2_Matriz_decision!O584/O$5</f>
        <v>0.0304431282773992</v>
      </c>
      <c r="P585" s="21" t="n">
        <f aca="false">2_Matriz_decision!P584/P$5</f>
        <v>0.0529441535179372</v>
      </c>
      <c r="Q585" s="21" t="n">
        <f aca="false">2_Matriz_decision!Q584/Q$5</f>
        <v>0.0133893885620924</v>
      </c>
    </row>
    <row r="586" customFormat="false" ht="15" hidden="false" customHeight="false" outlineLevel="0" collapsed="false">
      <c r="A586" s="15" t="n">
        <f aca="false">2_Matriz_decision!A585</f>
        <v>581</v>
      </c>
      <c r="B586" s="16" t="n">
        <f aca="false">2_Matriz_decision!B585</f>
        <v>58.24</v>
      </c>
      <c r="C586" s="21" t="n">
        <f aca="false">2_Matriz_decision!C585/C$5</f>
        <v>0.0263818470923654</v>
      </c>
      <c r="D586" s="21" t="n">
        <f aca="false">2_Matriz_decision!D585/D$5</f>
        <v>0.0418648306977948</v>
      </c>
      <c r="E586" s="21" t="n">
        <f aca="false">2_Matriz_decision!E585/E$5</f>
        <v>0.0100180487462608</v>
      </c>
      <c r="F586" s="21" t="n">
        <f aca="false">2_Matriz_decision!F585/F$5</f>
        <v>0.0296434583364376</v>
      </c>
      <c r="G586" s="21" t="n">
        <f aca="false">2_Matriz_decision!G585/G$5</f>
        <v>0.0411149420220302</v>
      </c>
      <c r="H586" s="21" t="n">
        <f aca="false">2_Matriz_decision!H585/H$5</f>
        <v>0.0128089386344754</v>
      </c>
      <c r="I586" s="21" t="n">
        <f aca="false">2_Matriz_decision!I585/I$5</f>
        <v>0.0148184741491462</v>
      </c>
      <c r="J586" s="21" t="n">
        <f aca="false">2_Matriz_decision!J585/J$5</f>
        <v>0.0351992440847949</v>
      </c>
      <c r="K586" s="21" t="n">
        <f aca="false">2_Matriz_decision!K585/K$5</f>
        <v>0.039014903418414</v>
      </c>
      <c r="L586" s="21" t="n">
        <f aca="false">2_Matriz_decision!L585/L$5</f>
        <v>0.0327197809649665</v>
      </c>
      <c r="M586" s="21" t="n">
        <f aca="false">2_Matriz_decision!M585/M$5</f>
        <v>0.0374933489584634</v>
      </c>
      <c r="N586" s="21" t="n">
        <f aca="false">2_Matriz_decision!N585/N$5</f>
        <v>0.0560490217345168</v>
      </c>
      <c r="O586" s="21" t="n">
        <f aca="false">2_Matriz_decision!O585/O$5</f>
        <v>0.0304431282773992</v>
      </c>
      <c r="P586" s="21" t="n">
        <f aca="false">2_Matriz_decision!P585/P$5</f>
        <v>0.0529441535179372</v>
      </c>
      <c r="Q586" s="21" t="n">
        <f aca="false">2_Matriz_decision!Q585/Q$5</f>
        <v>0.0133893885620924</v>
      </c>
    </row>
    <row r="587" customFormat="false" ht="15" hidden="false" customHeight="false" outlineLevel="0" collapsed="false">
      <c r="A587" s="15" t="n">
        <f aca="false">2_Matriz_decision!A586</f>
        <v>582</v>
      </c>
      <c r="B587" s="16" t="n">
        <f aca="false">2_Matriz_decision!B586</f>
        <v>58.339</v>
      </c>
      <c r="C587" s="21" t="n">
        <f aca="false">2_Matriz_decision!C586/C$5</f>
        <v>0.0263818470923654</v>
      </c>
      <c r="D587" s="21" t="n">
        <f aca="false">2_Matriz_decision!D586/D$5</f>
        <v>0.0418648306977948</v>
      </c>
      <c r="E587" s="21" t="n">
        <f aca="false">2_Matriz_decision!E586/E$5</f>
        <v>0.0100180487462608</v>
      </c>
      <c r="F587" s="21" t="n">
        <f aca="false">2_Matriz_decision!F586/F$5</f>
        <v>0.0197623055576251</v>
      </c>
      <c r="G587" s="21" t="n">
        <f aca="false">2_Matriz_decision!G586/G$5</f>
        <v>0.0411149420220302</v>
      </c>
      <c r="H587" s="21" t="n">
        <f aca="false">2_Matriz_decision!H586/H$5</f>
        <v>0.0128089386344754</v>
      </c>
      <c r="I587" s="21" t="n">
        <f aca="false">2_Matriz_decision!I586/I$5</f>
        <v>0.0296369482982925</v>
      </c>
      <c r="J587" s="21" t="n">
        <f aca="false">2_Matriz_decision!J586/J$5</f>
        <v>0.0351992440847949</v>
      </c>
      <c r="K587" s="21" t="n">
        <f aca="false">2_Matriz_decision!K586/K$5</f>
        <v>0.039014903418414</v>
      </c>
      <c r="L587" s="21" t="n">
        <f aca="false">2_Matriz_decision!L586/L$5</f>
        <v>0.0335889210396387</v>
      </c>
      <c r="M587" s="21" t="n">
        <f aca="false">2_Matriz_decision!M586/M$5</f>
        <v>0.0360572454332423</v>
      </c>
      <c r="N587" s="21" t="n">
        <f aca="false">2_Matriz_decision!N586/N$5</f>
        <v>0.0560490217345168</v>
      </c>
      <c r="O587" s="21" t="n">
        <f aca="false">2_Matriz_decision!O586/O$5</f>
        <v>0.0304431282773992</v>
      </c>
      <c r="P587" s="21" t="n">
        <f aca="false">2_Matriz_decision!P586/P$5</f>
        <v>0.0529441535179372</v>
      </c>
      <c r="Q587" s="21" t="n">
        <f aca="false">2_Matriz_decision!Q586/Q$5</f>
        <v>0.0267787771241848</v>
      </c>
    </row>
    <row r="588" customFormat="false" ht="15" hidden="false" customHeight="false" outlineLevel="0" collapsed="false">
      <c r="A588" s="15" t="n">
        <f aca="false">2_Matriz_decision!A587</f>
        <v>583</v>
      </c>
      <c r="B588" s="16" t="n">
        <f aca="false">2_Matriz_decision!B587</f>
        <v>58.439</v>
      </c>
      <c r="C588" s="21" t="n">
        <f aca="false">2_Matriz_decision!C587/C$5</f>
        <v>0.0263818470923654</v>
      </c>
      <c r="D588" s="21" t="n">
        <f aca="false">2_Matriz_decision!D587/D$5</f>
        <v>0.0418648306977948</v>
      </c>
      <c r="E588" s="21" t="n">
        <f aca="false">2_Matriz_decision!E587/E$5</f>
        <v>0.0100180487462608</v>
      </c>
      <c r="F588" s="21" t="n">
        <f aca="false">2_Matriz_decision!F587/F$5</f>
        <v>0.0296434583364376</v>
      </c>
      <c r="G588" s="21" t="n">
        <f aca="false">2_Matriz_decision!G587/G$5</f>
        <v>0.0308362065165227</v>
      </c>
      <c r="H588" s="21" t="n">
        <f aca="false">2_Matriz_decision!H587/H$5</f>
        <v>0.0128089386344754</v>
      </c>
      <c r="I588" s="21" t="n">
        <f aca="false">2_Matriz_decision!I587/I$5</f>
        <v>0.0148184741491462</v>
      </c>
      <c r="J588" s="21" t="n">
        <f aca="false">2_Matriz_decision!J587/J$5</f>
        <v>0.0351992440847949</v>
      </c>
      <c r="K588" s="21" t="n">
        <f aca="false">2_Matriz_decision!K587/K$5</f>
        <v>0.039014903418414</v>
      </c>
      <c r="L588" s="21" t="n">
        <f aca="false">2_Matriz_decision!L587/L$5</f>
        <v>0.0352202301028695</v>
      </c>
      <c r="M588" s="21" t="n">
        <f aca="false">2_Matriz_decision!M587/M$5</f>
        <v>0.0366427337935247</v>
      </c>
      <c r="N588" s="21" t="n">
        <f aca="false">2_Matriz_decision!N587/N$5</f>
        <v>0.0560490217345168</v>
      </c>
      <c r="O588" s="21" t="n">
        <f aca="false">2_Matriz_decision!O587/O$5</f>
        <v>0.0304431282773992</v>
      </c>
      <c r="P588" s="21" t="n">
        <f aca="false">2_Matriz_decision!P587/P$5</f>
        <v>0.0529441535179372</v>
      </c>
      <c r="Q588" s="21" t="n">
        <f aca="false">2_Matriz_decision!Q587/Q$5</f>
        <v>0.0133893885620924</v>
      </c>
    </row>
    <row r="589" customFormat="false" ht="15" hidden="false" customHeight="false" outlineLevel="0" collapsed="false">
      <c r="A589" s="15" t="n">
        <f aca="false">2_Matriz_decision!A588</f>
        <v>584</v>
      </c>
      <c r="B589" s="16" t="n">
        <f aca="false">2_Matriz_decision!B588</f>
        <v>58.538</v>
      </c>
      <c r="C589" s="21" t="n">
        <f aca="false">2_Matriz_decision!C588/C$5</f>
        <v>0.0263818470923654</v>
      </c>
      <c r="D589" s="21" t="n">
        <f aca="false">2_Matriz_decision!D588/D$5</f>
        <v>0.0418648306977948</v>
      </c>
      <c r="E589" s="21" t="n">
        <f aca="false">2_Matriz_decision!E588/E$5</f>
        <v>0.0100180487462608</v>
      </c>
      <c r="F589" s="21" t="n">
        <f aca="false">2_Matriz_decision!F588/F$5</f>
        <v>0.0197623055576251</v>
      </c>
      <c r="G589" s="21" t="n">
        <f aca="false">2_Matriz_decision!G588/G$5</f>
        <v>0.0308362065165227</v>
      </c>
      <c r="H589" s="21" t="n">
        <f aca="false">2_Matriz_decision!H588/H$5</f>
        <v>0.0128089386344754</v>
      </c>
      <c r="I589" s="21" t="n">
        <f aca="false">2_Matriz_decision!I588/I$5</f>
        <v>0.0148184741491462</v>
      </c>
      <c r="J589" s="21" t="n">
        <f aca="false">2_Matriz_decision!J588/J$5</f>
        <v>0.0351992440847949</v>
      </c>
      <c r="K589" s="21" t="n">
        <f aca="false">2_Matriz_decision!K588/K$5</f>
        <v>0.039014903418414</v>
      </c>
      <c r="L589" s="21" t="n">
        <f aca="false">2_Matriz_decision!L588/L$5</f>
        <v>0.0349394310018216</v>
      </c>
      <c r="M589" s="21" t="n">
        <f aca="false">2_Matriz_decision!M588/M$5</f>
        <v>0.0367973910962408</v>
      </c>
      <c r="N589" s="21" t="n">
        <f aca="false">2_Matriz_decision!N588/N$5</f>
        <v>0.0560490217345168</v>
      </c>
      <c r="O589" s="21" t="n">
        <f aca="false">2_Matriz_decision!O588/O$5</f>
        <v>0.0304431282773992</v>
      </c>
      <c r="P589" s="21" t="n">
        <f aca="false">2_Matriz_decision!P588/P$5</f>
        <v>0.0529441535179372</v>
      </c>
      <c r="Q589" s="21" t="n">
        <f aca="false">2_Matriz_decision!Q588/Q$5</f>
        <v>0.0267787771241848</v>
      </c>
    </row>
    <row r="590" customFormat="false" ht="15" hidden="false" customHeight="false" outlineLevel="0" collapsed="false">
      <c r="A590" s="15" t="n">
        <f aca="false">2_Matriz_decision!A589</f>
        <v>585</v>
      </c>
      <c r="B590" s="16" t="n">
        <f aca="false">2_Matriz_decision!B589</f>
        <v>58.637</v>
      </c>
      <c r="C590" s="21" t="n">
        <f aca="false">2_Matriz_decision!C589/C$5</f>
        <v>0.0263818470923654</v>
      </c>
      <c r="D590" s="21" t="n">
        <f aca="false">2_Matriz_decision!D589/D$5</f>
        <v>0.0418648306977948</v>
      </c>
      <c r="E590" s="21" t="n">
        <f aca="false">2_Matriz_decision!E589/E$5</f>
        <v>0.0100180487462608</v>
      </c>
      <c r="F590" s="21" t="n">
        <f aca="false">2_Matriz_decision!F589/F$5</f>
        <v>0.0296434583364376</v>
      </c>
      <c r="G590" s="21" t="n">
        <f aca="false">2_Matriz_decision!G589/G$5</f>
        <v>0.0308362065165227</v>
      </c>
      <c r="H590" s="21" t="n">
        <f aca="false">2_Matriz_decision!H589/H$5</f>
        <v>0.0128089386344754</v>
      </c>
      <c r="I590" s="21" t="n">
        <f aca="false">2_Matriz_decision!I589/I$5</f>
        <v>0.0148184741491462</v>
      </c>
      <c r="J590" s="21" t="n">
        <f aca="false">2_Matriz_decision!J589/J$5</f>
        <v>0.0351992440847949</v>
      </c>
      <c r="K590" s="21" t="n">
        <f aca="false">2_Matriz_decision!K589/K$5</f>
        <v>0.039014903418414</v>
      </c>
      <c r="L590" s="21" t="n">
        <f aca="false">2_Matriz_decision!L589/L$5</f>
        <v>0.0350196593164067</v>
      </c>
      <c r="M590" s="21" t="n">
        <f aca="false">2_Matriz_decision!M589/M$5</f>
        <v>0.0368747197475989</v>
      </c>
      <c r="N590" s="21" t="n">
        <f aca="false">2_Matriz_decision!N589/N$5</f>
        <v>0.0560490217345168</v>
      </c>
      <c r="O590" s="21" t="n">
        <f aca="false">2_Matriz_decision!O589/O$5</f>
        <v>0.0304431282773992</v>
      </c>
      <c r="P590" s="21" t="n">
        <f aca="false">2_Matriz_decision!P589/P$5</f>
        <v>0.0529441535179372</v>
      </c>
      <c r="Q590" s="21" t="n">
        <f aca="false">2_Matriz_decision!Q589/Q$5</f>
        <v>0.0267787771241848</v>
      </c>
    </row>
    <row r="591" customFormat="false" ht="15" hidden="false" customHeight="false" outlineLevel="0" collapsed="false">
      <c r="A591" s="15" t="n">
        <f aca="false">2_Matriz_decision!A590</f>
        <v>586</v>
      </c>
      <c r="B591" s="16" t="n">
        <f aca="false">2_Matriz_decision!B590</f>
        <v>58.737</v>
      </c>
      <c r="C591" s="21" t="n">
        <f aca="false">2_Matriz_decision!C590/C$5</f>
        <v>0.0263818470923654</v>
      </c>
      <c r="D591" s="21" t="n">
        <f aca="false">2_Matriz_decision!D590/D$5</f>
        <v>0.0418648306977948</v>
      </c>
      <c r="E591" s="21" t="n">
        <f aca="false">2_Matriz_decision!E590/E$5</f>
        <v>0.0100180487462608</v>
      </c>
      <c r="F591" s="21" t="n">
        <f aca="false">2_Matriz_decision!F590/F$5</f>
        <v>0.0197623055576251</v>
      </c>
      <c r="G591" s="21" t="n">
        <f aca="false">2_Matriz_decision!G590/G$5</f>
        <v>0.0308362065165227</v>
      </c>
      <c r="H591" s="21" t="n">
        <f aca="false">2_Matriz_decision!H590/H$5</f>
        <v>0.0128089386344754</v>
      </c>
      <c r="I591" s="21" t="n">
        <f aca="false">2_Matriz_decision!I590/I$5</f>
        <v>0.0148184741491462</v>
      </c>
      <c r="J591" s="21" t="n">
        <f aca="false">2_Matriz_decision!J590/J$5</f>
        <v>0.0351992440847949</v>
      </c>
      <c r="K591" s="21" t="n">
        <f aca="false">2_Matriz_decision!K590/K$5</f>
        <v>0.039014903418414</v>
      </c>
      <c r="L591" s="21" t="n">
        <f aca="false">2_Matriz_decision!L590/L$5</f>
        <v>0.0372393093532618</v>
      </c>
      <c r="M591" s="21" t="n">
        <f aca="false">2_Matriz_decision!M590/M$5</f>
        <v>0.0365764520923607</v>
      </c>
      <c r="N591" s="21" t="n">
        <f aca="false">2_Matriz_decision!N590/N$5</f>
        <v>0.0560490217345168</v>
      </c>
      <c r="O591" s="21" t="n">
        <f aca="false">2_Matriz_decision!O590/O$5</f>
        <v>0.0304431282773992</v>
      </c>
      <c r="P591" s="21" t="n">
        <f aca="false">2_Matriz_decision!P590/P$5</f>
        <v>0.0529441535179372</v>
      </c>
      <c r="Q591" s="21" t="n">
        <f aca="false">2_Matriz_decision!Q590/Q$5</f>
        <v>0.0267787771241848</v>
      </c>
    </row>
    <row r="592" customFormat="false" ht="15" hidden="false" customHeight="false" outlineLevel="0" collapsed="false">
      <c r="A592" s="15" t="n">
        <f aca="false">2_Matriz_decision!A591</f>
        <v>587</v>
      </c>
      <c r="B592" s="16" t="n">
        <f aca="false">2_Matriz_decision!B591</f>
        <v>58.836</v>
      </c>
      <c r="C592" s="21" t="n">
        <f aca="false">2_Matriz_decision!C591/C$5</f>
        <v>0.0263818470923654</v>
      </c>
      <c r="D592" s="21" t="n">
        <f aca="false">2_Matriz_decision!D591/D$5</f>
        <v>0.0418648306977948</v>
      </c>
      <c r="E592" s="21" t="n">
        <f aca="false">2_Matriz_decision!E591/E$5</f>
        <v>0.0200360974925215</v>
      </c>
      <c r="F592" s="21" t="n">
        <f aca="false">2_Matriz_decision!F591/F$5</f>
        <v>0.0197623055576251</v>
      </c>
      <c r="G592" s="21" t="n">
        <f aca="false">2_Matriz_decision!G591/G$5</f>
        <v>0.0308362065165227</v>
      </c>
      <c r="H592" s="21" t="n">
        <f aca="false">2_Matriz_decision!H591/H$5</f>
        <v>0.0128089386344754</v>
      </c>
      <c r="I592" s="21" t="n">
        <f aca="false">2_Matriz_decision!I591/I$5</f>
        <v>0.0296369482982925</v>
      </c>
      <c r="J592" s="21" t="n">
        <f aca="false">2_Matriz_decision!J591/J$5</f>
        <v>0.0351992440847949</v>
      </c>
      <c r="K592" s="21" t="n">
        <f aca="false">2_Matriz_decision!K591/K$5</f>
        <v>0.039014903418414</v>
      </c>
      <c r="L592" s="21" t="n">
        <f aca="false">2_Matriz_decision!L591/L$5</f>
        <v>0.0353539439605114</v>
      </c>
      <c r="M592" s="21" t="n">
        <f aca="false">2_Matriz_decision!M591/M$5</f>
        <v>0.0333176017851283</v>
      </c>
      <c r="N592" s="21" t="n">
        <f aca="false">2_Matriz_decision!N591/N$5</f>
        <v>0.0560490217345168</v>
      </c>
      <c r="O592" s="21" t="n">
        <f aca="false">2_Matriz_decision!O591/O$5</f>
        <v>0.0304431282773992</v>
      </c>
      <c r="P592" s="21" t="n">
        <f aca="false">2_Matriz_decision!P591/P$5</f>
        <v>0.0529441535179372</v>
      </c>
      <c r="Q592" s="21" t="n">
        <f aca="false">2_Matriz_decision!Q591/Q$5</f>
        <v>0.0267787771241848</v>
      </c>
    </row>
    <row r="593" customFormat="false" ht="15" hidden="false" customHeight="false" outlineLevel="0" collapsed="false">
      <c r="A593" s="15" t="n">
        <f aca="false">2_Matriz_decision!A592</f>
        <v>588</v>
      </c>
      <c r="B593" s="16" t="n">
        <f aca="false">2_Matriz_decision!B592</f>
        <v>58.935</v>
      </c>
      <c r="C593" s="21" t="n">
        <f aca="false">2_Matriz_decision!C592/C$5</f>
        <v>0.0263818470923654</v>
      </c>
      <c r="D593" s="21" t="n">
        <f aca="false">2_Matriz_decision!D592/D$5</f>
        <v>0.0418648306977948</v>
      </c>
      <c r="E593" s="21" t="n">
        <f aca="false">2_Matriz_decision!E592/E$5</f>
        <v>0.0200360974925215</v>
      </c>
      <c r="F593" s="21" t="n">
        <f aca="false">2_Matriz_decision!F592/F$5</f>
        <v>0.00988115277881254</v>
      </c>
      <c r="G593" s="21" t="n">
        <f aca="false">2_Matriz_decision!G592/G$5</f>
        <v>0.0308362065165227</v>
      </c>
      <c r="H593" s="21" t="n">
        <f aca="false">2_Matriz_decision!H592/H$5</f>
        <v>0.0128089386344754</v>
      </c>
      <c r="I593" s="21" t="n">
        <f aca="false">2_Matriz_decision!I592/I$5</f>
        <v>0.0296369482982925</v>
      </c>
      <c r="J593" s="21" t="n">
        <f aca="false">2_Matriz_decision!J592/J$5</f>
        <v>0.0351992440847949</v>
      </c>
      <c r="K593" s="21" t="n">
        <f aca="false">2_Matriz_decision!K592/K$5</f>
        <v>0.039014903418414</v>
      </c>
      <c r="L593" s="21" t="n">
        <f aca="false">2_Matriz_decision!L592/L$5</f>
        <v>0.0400205575922128</v>
      </c>
      <c r="M593" s="21" t="n">
        <f aca="false">2_Matriz_decision!M592/M$5</f>
        <v>0.0351513955173336</v>
      </c>
      <c r="N593" s="21" t="n">
        <f aca="false">2_Matriz_decision!N592/N$5</f>
        <v>0.0560490217345168</v>
      </c>
      <c r="O593" s="21" t="n">
        <f aca="false">2_Matriz_decision!O592/O$5</f>
        <v>0.0304431282773992</v>
      </c>
      <c r="P593" s="21" t="n">
        <f aca="false">2_Matriz_decision!P592/P$5</f>
        <v>0.0529441535179372</v>
      </c>
      <c r="Q593" s="21" t="n">
        <f aca="false">2_Matriz_decision!Q592/Q$5</f>
        <v>0.0267787771241848</v>
      </c>
    </row>
    <row r="594" customFormat="false" ht="15" hidden="false" customHeight="false" outlineLevel="0" collapsed="false">
      <c r="A594" s="15" t="n">
        <f aca="false">2_Matriz_decision!A593</f>
        <v>589</v>
      </c>
      <c r="B594" s="16" t="n">
        <f aca="false">2_Matriz_decision!B593</f>
        <v>59.034</v>
      </c>
      <c r="C594" s="21" t="n">
        <f aca="false">2_Matriz_decision!C593/C$5</f>
        <v>0.0263818470923654</v>
      </c>
      <c r="D594" s="21" t="n">
        <f aca="false">2_Matriz_decision!D593/D$5</f>
        <v>0.0418648306977948</v>
      </c>
      <c r="E594" s="21" t="n">
        <f aca="false">2_Matriz_decision!E593/E$5</f>
        <v>0.0200360974925215</v>
      </c>
      <c r="F594" s="21" t="n">
        <f aca="false">2_Matriz_decision!F593/F$5</f>
        <v>0.0197623055576251</v>
      </c>
      <c r="G594" s="21" t="n">
        <f aca="false">2_Matriz_decision!G593/G$5</f>
        <v>0.0308362065165227</v>
      </c>
      <c r="H594" s="21" t="n">
        <f aca="false">2_Matriz_decision!H593/H$5</f>
        <v>0.0128089386344754</v>
      </c>
      <c r="I594" s="21" t="n">
        <f aca="false">2_Matriz_decision!I593/I$5</f>
        <v>0.0148184741491462</v>
      </c>
      <c r="J594" s="21" t="n">
        <f aca="false">2_Matriz_decision!J593/J$5</f>
        <v>0.0351992440847949</v>
      </c>
      <c r="K594" s="21" t="n">
        <f aca="false">2_Matriz_decision!K593/K$5</f>
        <v>0.039014903418414</v>
      </c>
      <c r="L594" s="21" t="n">
        <f aca="false">2_Matriz_decision!L593/L$5</f>
        <v>0.0462382519725599</v>
      </c>
      <c r="M594" s="21" t="n">
        <f aca="false">2_Matriz_decision!M593/M$5</f>
        <v>0.037040424000509</v>
      </c>
      <c r="N594" s="21" t="n">
        <f aca="false">2_Matriz_decision!N593/N$5</f>
        <v>0.0560490217345168</v>
      </c>
      <c r="O594" s="21" t="n">
        <f aca="false">2_Matriz_decision!O593/O$5</f>
        <v>0.0304431282773992</v>
      </c>
      <c r="P594" s="21" t="n">
        <f aca="false">2_Matriz_decision!P593/P$5</f>
        <v>0.0529441535179372</v>
      </c>
      <c r="Q594" s="21" t="n">
        <f aca="false">2_Matriz_decision!Q593/Q$5</f>
        <v>0.0401681656862772</v>
      </c>
    </row>
    <row r="595" customFormat="false" ht="15" hidden="false" customHeight="false" outlineLevel="0" collapsed="false">
      <c r="A595" s="15" t="n">
        <f aca="false">2_Matriz_decision!A594</f>
        <v>590</v>
      </c>
      <c r="B595" s="16" t="n">
        <f aca="false">2_Matriz_decision!B594</f>
        <v>59.134</v>
      </c>
      <c r="C595" s="21" t="n">
        <f aca="false">2_Matriz_decision!C594/C$5</f>
        <v>0.0263818470923654</v>
      </c>
      <c r="D595" s="21" t="n">
        <f aca="false">2_Matriz_decision!D594/D$5</f>
        <v>0.0418648306977948</v>
      </c>
      <c r="E595" s="21" t="n">
        <f aca="false">2_Matriz_decision!E594/E$5</f>
        <v>0.0300541462387823</v>
      </c>
      <c r="F595" s="21" t="n">
        <f aca="false">2_Matriz_decision!F594/F$5</f>
        <v>0.0197623055576251</v>
      </c>
      <c r="G595" s="21" t="n">
        <f aca="false">2_Matriz_decision!G594/G$5</f>
        <v>0.0308362065165227</v>
      </c>
      <c r="H595" s="21" t="n">
        <f aca="false">2_Matriz_decision!H594/H$5</f>
        <v>0.0128089386344754</v>
      </c>
      <c r="I595" s="21" t="n">
        <f aca="false">2_Matriz_decision!I594/I$5</f>
        <v>0.0148184741491462</v>
      </c>
      <c r="J595" s="21" t="n">
        <f aca="false">2_Matriz_decision!J594/J$5</f>
        <v>0.0351992440847949</v>
      </c>
      <c r="K595" s="21" t="n">
        <f aca="false">2_Matriz_decision!K594/K$5</f>
        <v>0.039014903418414</v>
      </c>
      <c r="L595" s="21" t="n">
        <f aca="false">2_Matriz_decision!L594/L$5</f>
        <v>0.0511321791622525</v>
      </c>
      <c r="M595" s="21" t="n">
        <f aca="false">2_Matriz_decision!M594/M$5</f>
        <v>0.0330082871796961</v>
      </c>
      <c r="N595" s="21" t="n">
        <f aca="false">2_Matriz_decision!N594/N$5</f>
        <v>0.0560490217345168</v>
      </c>
      <c r="O595" s="21" t="n">
        <f aca="false">2_Matriz_decision!O594/O$5</f>
        <v>0.0304431282773992</v>
      </c>
      <c r="P595" s="21" t="n">
        <f aca="false">2_Matriz_decision!P594/P$5</f>
        <v>0.0529441535179372</v>
      </c>
      <c r="Q595" s="21" t="n">
        <f aca="false">2_Matriz_decision!Q594/Q$5</f>
        <v>0.0535575542483696</v>
      </c>
    </row>
    <row r="596" customFormat="false" ht="15" hidden="false" customHeight="false" outlineLevel="0" collapsed="false">
      <c r="A596" s="15" t="n">
        <f aca="false">2_Matriz_decision!A595</f>
        <v>591</v>
      </c>
      <c r="B596" s="16" t="n">
        <f aca="false">2_Matriz_decision!B595</f>
        <v>59.233</v>
      </c>
      <c r="C596" s="21" t="n">
        <f aca="false">2_Matriz_decision!C595/C$5</f>
        <v>0.0263818470923654</v>
      </c>
      <c r="D596" s="21" t="n">
        <f aca="false">2_Matriz_decision!D595/D$5</f>
        <v>0.0334918645582358</v>
      </c>
      <c r="E596" s="21" t="n">
        <f aca="false">2_Matriz_decision!E595/E$5</f>
        <v>0.0300541462387823</v>
      </c>
      <c r="F596" s="21" t="n">
        <f aca="false">2_Matriz_decision!F595/F$5</f>
        <v>0.00988115277881254</v>
      </c>
      <c r="G596" s="21" t="n">
        <f aca="false">2_Matriz_decision!G595/G$5</f>
        <v>0.0308362065165227</v>
      </c>
      <c r="H596" s="21" t="n">
        <f aca="false">2_Matriz_decision!H595/H$5</f>
        <v>0.0128089386344754</v>
      </c>
      <c r="I596" s="21" t="n">
        <f aca="false">2_Matriz_decision!I595/I$5</f>
        <v>0.0148184741491462</v>
      </c>
      <c r="J596" s="21" t="n">
        <f aca="false">2_Matriz_decision!J595/J$5</f>
        <v>0.0351992440847949</v>
      </c>
      <c r="K596" s="21" t="n">
        <f aca="false">2_Matriz_decision!K595/K$5</f>
        <v>0.039014903418414</v>
      </c>
      <c r="L596" s="21" t="n">
        <f aca="false">2_Matriz_decision!L595/L$5</f>
        <v>0.0532314867272299</v>
      </c>
      <c r="M596" s="21" t="n">
        <f aca="false">2_Matriz_decision!M595/M$5</f>
        <v>0.0313622916007889</v>
      </c>
      <c r="N596" s="21" t="n">
        <f aca="false">2_Matriz_decision!N595/N$5</f>
        <v>0.0560490217345168</v>
      </c>
      <c r="O596" s="21" t="n">
        <f aca="false">2_Matriz_decision!O595/O$5</f>
        <v>0.0304431282773992</v>
      </c>
      <c r="P596" s="21" t="n">
        <f aca="false">2_Matriz_decision!P595/P$5</f>
        <v>0.0529441535179372</v>
      </c>
      <c r="Q596" s="21" t="n">
        <f aca="false">2_Matriz_decision!Q595/Q$5</f>
        <v>0.066946942810462</v>
      </c>
    </row>
    <row r="597" customFormat="false" ht="15" hidden="false" customHeight="false" outlineLevel="0" collapsed="false">
      <c r="A597" s="15" t="n">
        <f aca="false">2_Matriz_decision!A596</f>
        <v>592</v>
      </c>
      <c r="B597" s="16" t="n">
        <f aca="false">2_Matriz_decision!B596</f>
        <v>59.333</v>
      </c>
      <c r="C597" s="21" t="n">
        <f aca="false">2_Matriz_decision!C596/C$5</f>
        <v>0.0263818470923654</v>
      </c>
      <c r="D597" s="21" t="n">
        <f aca="false">2_Matriz_decision!D596/D$5</f>
        <v>0.0418648306977948</v>
      </c>
      <c r="E597" s="21" t="n">
        <f aca="false">2_Matriz_decision!E596/E$5</f>
        <v>0.0200360974925215</v>
      </c>
      <c r="F597" s="21" t="n">
        <f aca="false">2_Matriz_decision!F596/F$5</f>
        <v>0.00988115277881254</v>
      </c>
      <c r="G597" s="21" t="n">
        <f aca="false">2_Matriz_decision!G596/G$5</f>
        <v>0.0308362065165227</v>
      </c>
      <c r="H597" s="21" t="n">
        <f aca="false">2_Matriz_decision!H596/H$5</f>
        <v>0.0128089386344754</v>
      </c>
      <c r="I597" s="21" t="n">
        <f aca="false">2_Matriz_decision!I596/I$5</f>
        <v>0.0148184741491462</v>
      </c>
      <c r="J597" s="21" t="n">
        <f aca="false">2_Matriz_decision!J596/J$5</f>
        <v>0.0351992440847949</v>
      </c>
      <c r="K597" s="21" t="n">
        <f aca="false">2_Matriz_decision!K596/K$5</f>
        <v>0.039014903418414</v>
      </c>
      <c r="L597" s="21" t="n">
        <f aca="false">2_Matriz_decision!L596/L$5</f>
        <v>0.0540471412588453</v>
      </c>
      <c r="M597" s="21" t="n">
        <f aca="false">2_Matriz_decision!M596/M$5</f>
        <v>0.0323896579688316</v>
      </c>
      <c r="N597" s="21" t="n">
        <f aca="false">2_Matriz_decision!N596/N$5</f>
        <v>0.0560490217345168</v>
      </c>
      <c r="O597" s="21" t="n">
        <f aca="false">2_Matriz_decision!O596/O$5</f>
        <v>0.0608862565547983</v>
      </c>
      <c r="P597" s="21" t="n">
        <f aca="false">2_Matriz_decision!P596/P$5</f>
        <v>0.0529441535179372</v>
      </c>
      <c r="Q597" s="21" t="n">
        <f aca="false">2_Matriz_decision!Q596/Q$5</f>
        <v>0.066946942810462</v>
      </c>
    </row>
    <row r="598" customFormat="false" ht="15" hidden="false" customHeight="false" outlineLevel="0" collapsed="false">
      <c r="A598" s="15" t="n">
        <f aca="false">2_Matriz_decision!A597</f>
        <v>593</v>
      </c>
      <c r="B598" s="16" t="n">
        <f aca="false">2_Matriz_decision!B597</f>
        <v>59.435</v>
      </c>
      <c r="C598" s="21" t="n">
        <f aca="false">2_Matriz_decision!C597/C$5</f>
        <v>0.0263818470923654</v>
      </c>
      <c r="D598" s="21" t="n">
        <f aca="false">2_Matriz_decision!D597/D$5</f>
        <v>0.0418648306977948</v>
      </c>
      <c r="E598" s="21" t="n">
        <f aca="false">2_Matriz_decision!E597/E$5</f>
        <v>0.0100180487462608</v>
      </c>
      <c r="F598" s="21" t="n">
        <f aca="false">2_Matriz_decision!F597/F$5</f>
        <v>0.0197623055576251</v>
      </c>
      <c r="G598" s="21" t="n">
        <f aca="false">2_Matriz_decision!G597/G$5</f>
        <v>0.0411149420220302</v>
      </c>
      <c r="H598" s="21" t="n">
        <f aca="false">2_Matriz_decision!H597/H$5</f>
        <v>0.0128089386344754</v>
      </c>
      <c r="I598" s="21" t="n">
        <f aca="false">2_Matriz_decision!I597/I$5</f>
        <v>0.0148184741491462</v>
      </c>
      <c r="J598" s="21" t="n">
        <f aca="false">2_Matriz_decision!J597/J$5</f>
        <v>0.0351992440847949</v>
      </c>
      <c r="K598" s="21" t="n">
        <f aca="false">2_Matriz_decision!K597/K$5</f>
        <v>0.039014903418414</v>
      </c>
      <c r="L598" s="21" t="n">
        <f aca="false">2_Matriz_decision!L597/L$5</f>
        <v>0.0578446148158745</v>
      </c>
      <c r="M598" s="21" t="n">
        <f aca="false">2_Matriz_decision!M597/M$5</f>
        <v>0.0365543581919727</v>
      </c>
      <c r="N598" s="21" t="n">
        <f aca="false">2_Matriz_decision!N597/N$5</f>
        <v>0.0560490217345168</v>
      </c>
      <c r="O598" s="21" t="n">
        <f aca="false">2_Matriz_decision!O597/O$5</f>
        <v>0.0913293848321975</v>
      </c>
      <c r="P598" s="21" t="n">
        <f aca="false">2_Matriz_decision!P597/P$5</f>
        <v>0.0529441535179372</v>
      </c>
      <c r="Q598" s="21" t="n">
        <f aca="false">2_Matriz_decision!Q597/Q$5</f>
        <v>0.0401681656862772</v>
      </c>
    </row>
    <row r="599" customFormat="false" ht="15" hidden="false" customHeight="false" outlineLevel="0" collapsed="false">
      <c r="A599" s="15" t="n">
        <f aca="false">2_Matriz_decision!A598</f>
        <v>594</v>
      </c>
      <c r="B599" s="16" t="n">
        <f aca="false">2_Matriz_decision!B598</f>
        <v>59.536</v>
      </c>
      <c r="C599" s="21" t="n">
        <f aca="false">2_Matriz_decision!C598/C$5</f>
        <v>0.0263818470923654</v>
      </c>
      <c r="D599" s="21" t="n">
        <f aca="false">2_Matriz_decision!D598/D$5</f>
        <v>0.0418648306977948</v>
      </c>
      <c r="E599" s="21" t="n">
        <f aca="false">2_Matriz_decision!E598/E$5</f>
        <v>0.0100180487462608</v>
      </c>
      <c r="F599" s="21" t="n">
        <f aca="false">2_Matriz_decision!F598/F$5</f>
        <v>0.0197623055576251</v>
      </c>
      <c r="G599" s="21" t="n">
        <f aca="false">2_Matriz_decision!G598/G$5</f>
        <v>0.0411149420220302</v>
      </c>
      <c r="H599" s="21" t="n">
        <f aca="false">2_Matriz_decision!H598/H$5</f>
        <v>0.0128089386344754</v>
      </c>
      <c r="I599" s="21" t="n">
        <f aca="false">2_Matriz_decision!I598/I$5</f>
        <v>0.0148184741491462</v>
      </c>
      <c r="J599" s="21" t="n">
        <f aca="false">2_Matriz_decision!J598/J$5</f>
        <v>0.0351992440847949</v>
      </c>
      <c r="K599" s="21" t="n">
        <f aca="false">2_Matriz_decision!K598/K$5</f>
        <v>0.039014903418414</v>
      </c>
      <c r="L599" s="21" t="n">
        <f aca="false">2_Matriz_decision!L598/L$5</f>
        <v>0.0597433515943891</v>
      </c>
      <c r="M599" s="21" t="n">
        <f aca="false">2_Matriz_decision!M598/M$5</f>
        <v>0.0388300299319383</v>
      </c>
      <c r="N599" s="21" t="n">
        <f aca="false">2_Matriz_decision!N598/N$5</f>
        <v>0.0560490217345168</v>
      </c>
      <c r="O599" s="21" t="n">
        <f aca="false">2_Matriz_decision!O598/O$5</f>
        <v>0.0913293848321975</v>
      </c>
      <c r="P599" s="21" t="n">
        <f aca="false">2_Matriz_decision!P598/P$5</f>
        <v>0.0529441535179372</v>
      </c>
      <c r="Q599" s="21" t="n">
        <f aca="false">2_Matriz_decision!Q598/Q$5</f>
        <v>0.0401681656862772</v>
      </c>
    </row>
    <row r="600" customFormat="false" ht="15" hidden="false" customHeight="false" outlineLevel="0" collapsed="false">
      <c r="A600" s="15" t="n">
        <f aca="false">2_Matriz_decision!A599</f>
        <v>595</v>
      </c>
      <c r="B600" s="16" t="n">
        <f aca="false">2_Matriz_decision!B599</f>
        <v>59.636</v>
      </c>
      <c r="C600" s="21" t="n">
        <f aca="false">2_Matriz_decision!C599/C$5</f>
        <v>0.0263818470923654</v>
      </c>
      <c r="D600" s="21" t="n">
        <f aca="false">2_Matriz_decision!D599/D$5</f>
        <v>0.0418648306977948</v>
      </c>
      <c r="E600" s="21" t="n">
        <f aca="false">2_Matriz_decision!E599/E$5</f>
        <v>0.0100180487462608</v>
      </c>
      <c r="F600" s="21" t="n">
        <f aca="false">2_Matriz_decision!F599/F$5</f>
        <v>0.0296434583364376</v>
      </c>
      <c r="G600" s="21" t="n">
        <f aca="false">2_Matriz_decision!G599/G$5</f>
        <v>0.0411149420220302</v>
      </c>
      <c r="H600" s="21" t="n">
        <f aca="false">2_Matriz_decision!H599/H$5</f>
        <v>0.0128089386344754</v>
      </c>
      <c r="I600" s="21" t="n">
        <f aca="false">2_Matriz_decision!I599/I$5</f>
        <v>0.0148184741491462</v>
      </c>
      <c r="J600" s="21" t="n">
        <f aca="false">2_Matriz_decision!J599/J$5</f>
        <v>0.0351992440847949</v>
      </c>
      <c r="K600" s="21" t="n">
        <f aca="false">2_Matriz_decision!K599/K$5</f>
        <v>0.039014903418414</v>
      </c>
      <c r="L600" s="21" t="n">
        <f aca="false">2_Matriz_decision!L599/L$5</f>
        <v>0.0603450639537776</v>
      </c>
      <c r="M600" s="21" t="n">
        <f aca="false">2_Matriz_decision!M599/M$5</f>
        <v>0.0420115515878127</v>
      </c>
      <c r="N600" s="21" t="n">
        <f aca="false">2_Matriz_decision!N599/N$5</f>
        <v>0.0560490217345168</v>
      </c>
      <c r="O600" s="21" t="n">
        <f aca="false">2_Matriz_decision!O599/O$5</f>
        <v>0.0913293848321975</v>
      </c>
      <c r="P600" s="21" t="n">
        <f aca="false">2_Matriz_decision!P599/P$5</f>
        <v>0.0529441535179372</v>
      </c>
      <c r="Q600" s="21" t="n">
        <f aca="false">2_Matriz_decision!Q599/Q$5</f>
        <v>0.0267787771241848</v>
      </c>
    </row>
    <row r="601" customFormat="false" ht="15" hidden="false" customHeight="false" outlineLevel="0" collapsed="false">
      <c r="A601" s="15" t="n">
        <f aca="false">2_Matriz_decision!A600</f>
        <v>596</v>
      </c>
      <c r="B601" s="16" t="n">
        <f aca="false">2_Matriz_decision!B600</f>
        <v>59.738</v>
      </c>
      <c r="C601" s="21" t="n">
        <f aca="false">2_Matriz_decision!C600/C$5</f>
        <v>0.0263818470923654</v>
      </c>
      <c r="D601" s="21" t="n">
        <f aca="false">2_Matriz_decision!D600/D$5</f>
        <v>0.0418648306977948</v>
      </c>
      <c r="E601" s="21" t="n">
        <f aca="false">2_Matriz_decision!E600/E$5</f>
        <v>0.0100180487462608</v>
      </c>
      <c r="F601" s="21" t="n">
        <f aca="false">2_Matriz_decision!F600/F$5</f>
        <v>0.0395246111152501</v>
      </c>
      <c r="G601" s="21" t="n">
        <f aca="false">2_Matriz_decision!G600/G$5</f>
        <v>0.0411149420220302</v>
      </c>
      <c r="H601" s="21" t="n">
        <f aca="false">2_Matriz_decision!H600/H$5</f>
        <v>0.0128089386344754</v>
      </c>
      <c r="I601" s="21" t="n">
        <f aca="false">2_Matriz_decision!I600/I$5</f>
        <v>0.0148184741491462</v>
      </c>
      <c r="J601" s="21" t="n">
        <f aca="false">2_Matriz_decision!J600/J$5</f>
        <v>0.0351992440847949</v>
      </c>
      <c r="K601" s="21" t="n">
        <f aca="false">2_Matriz_decision!K600/K$5</f>
        <v>0.039014903418414</v>
      </c>
      <c r="L601" s="21" t="n">
        <f aca="false">2_Matriz_decision!L600/L$5</f>
        <v>0.0611072329423362</v>
      </c>
      <c r="M601" s="21" t="n">
        <f aca="false">2_Matriz_decision!M600/M$5</f>
        <v>0.0441104721246742</v>
      </c>
      <c r="N601" s="21" t="n">
        <f aca="false">2_Matriz_decision!N600/N$5</f>
        <v>0.0560490217345168</v>
      </c>
      <c r="O601" s="21" t="n">
        <f aca="false">2_Matriz_decision!O600/O$5</f>
        <v>0.121772513109597</v>
      </c>
      <c r="P601" s="21" t="n">
        <f aca="false">2_Matriz_decision!P600/P$5</f>
        <v>0.0529441535179372</v>
      </c>
      <c r="Q601" s="21" t="n">
        <f aca="false">2_Matriz_decision!Q600/Q$5</f>
        <v>0.0267787771241848</v>
      </c>
    </row>
    <row r="602" customFormat="false" ht="15" hidden="false" customHeight="false" outlineLevel="0" collapsed="false">
      <c r="A602" s="15" t="n">
        <f aca="false">2_Matriz_decision!A601</f>
        <v>597</v>
      </c>
      <c r="B602" s="16" t="n">
        <f aca="false">2_Matriz_decision!B601</f>
        <v>59.839</v>
      </c>
      <c r="C602" s="21" t="n">
        <f aca="false">2_Matriz_decision!C601/C$5</f>
        <v>0.0263818470923654</v>
      </c>
      <c r="D602" s="21" t="n">
        <f aca="false">2_Matriz_decision!D601/D$5</f>
        <v>0.0418648306977948</v>
      </c>
      <c r="E602" s="21" t="n">
        <f aca="false">2_Matriz_decision!E601/E$5</f>
        <v>0.0100180487462608</v>
      </c>
      <c r="F602" s="21" t="n">
        <f aca="false">2_Matriz_decision!F601/F$5</f>
        <v>0.0395246111152501</v>
      </c>
      <c r="G602" s="21" t="n">
        <f aca="false">2_Matriz_decision!G601/G$5</f>
        <v>0.0411149420220302</v>
      </c>
      <c r="H602" s="21" t="n">
        <f aca="false">2_Matriz_decision!H601/H$5</f>
        <v>0.0128089386344754</v>
      </c>
      <c r="I602" s="21" t="n">
        <f aca="false">2_Matriz_decision!I601/I$5</f>
        <v>0.0148184741491462</v>
      </c>
      <c r="J602" s="21" t="n">
        <f aca="false">2_Matriz_decision!J601/J$5</f>
        <v>0.0351992440847949</v>
      </c>
      <c r="K602" s="21" t="n">
        <f aca="false">2_Matriz_decision!K601/K$5</f>
        <v>0.039014903418414</v>
      </c>
      <c r="L602" s="21" t="n">
        <f aca="false">2_Matriz_decision!L601/L$5</f>
        <v>0.0622170579607638</v>
      </c>
      <c r="M602" s="21" t="n">
        <f aca="false">2_Matriz_decision!M601/M$5</f>
        <v>0.0472478059797725</v>
      </c>
      <c r="N602" s="21" t="n">
        <f aca="false">2_Matriz_decision!N601/N$5</f>
        <v>0.0560490217345168</v>
      </c>
      <c r="O602" s="21" t="n">
        <f aca="false">2_Matriz_decision!O601/O$5</f>
        <v>0.121772513109597</v>
      </c>
      <c r="P602" s="21" t="n">
        <f aca="false">2_Matriz_decision!P601/P$5</f>
        <v>0.0529441535179372</v>
      </c>
      <c r="Q602" s="21" t="n">
        <f aca="false">2_Matriz_decision!Q601/Q$5</f>
        <v>0.0267787771241848</v>
      </c>
    </row>
    <row r="603" customFormat="false" ht="15" hidden="false" customHeight="false" outlineLevel="0" collapsed="false">
      <c r="A603" s="15" t="n">
        <f aca="false">2_Matriz_decision!A602</f>
        <v>598</v>
      </c>
      <c r="B603" s="16" t="n">
        <f aca="false">2_Matriz_decision!B602</f>
        <v>59.94</v>
      </c>
      <c r="C603" s="21" t="n">
        <f aca="false">2_Matriz_decision!C602/C$5</f>
        <v>0.0263818470923654</v>
      </c>
      <c r="D603" s="21" t="n">
        <f aca="false">2_Matriz_decision!D602/D$5</f>
        <v>0.0418648306977948</v>
      </c>
      <c r="E603" s="21" t="n">
        <f aca="false">2_Matriz_decision!E602/E$5</f>
        <v>0.0100180487462608</v>
      </c>
      <c r="F603" s="21" t="n">
        <f aca="false">2_Matriz_decision!F602/F$5</f>
        <v>0.0395246111152501</v>
      </c>
      <c r="G603" s="21" t="n">
        <f aca="false">2_Matriz_decision!G602/G$5</f>
        <v>0.0411149420220302</v>
      </c>
      <c r="H603" s="21" t="n">
        <f aca="false">2_Matriz_decision!H602/H$5</f>
        <v>0.0128089386344754</v>
      </c>
      <c r="I603" s="21" t="n">
        <f aca="false">2_Matriz_decision!I602/I$5</f>
        <v>0.0148184741491462</v>
      </c>
      <c r="J603" s="21" t="n">
        <f aca="false">2_Matriz_decision!J602/J$5</f>
        <v>0.0351992440847949</v>
      </c>
      <c r="K603" s="21" t="n">
        <f aca="false">2_Matriz_decision!K602/K$5</f>
        <v>0.039014903418414</v>
      </c>
      <c r="L603" s="21" t="n">
        <f aca="false">2_Matriz_decision!L602/L$5</f>
        <v>0.0630728266496718</v>
      </c>
      <c r="M603" s="21" t="n">
        <f aca="false">2_Matriz_decision!M602/M$5</f>
        <v>0.0497775575742003</v>
      </c>
      <c r="N603" s="21" t="n">
        <f aca="false">2_Matriz_decision!N602/N$5</f>
        <v>0.0560490217345168</v>
      </c>
      <c r="O603" s="21" t="n">
        <f aca="false">2_Matriz_decision!O602/O$5</f>
        <v>0.121772513109597</v>
      </c>
      <c r="P603" s="21" t="n">
        <f aca="false">2_Matriz_decision!P602/P$5</f>
        <v>0.0529441535179372</v>
      </c>
      <c r="Q603" s="21" t="n">
        <f aca="false">2_Matriz_decision!Q602/Q$5</f>
        <v>0.0133893885620924</v>
      </c>
    </row>
    <row r="604" customFormat="false" ht="15" hidden="false" customHeight="false" outlineLevel="0" collapsed="false">
      <c r="A604" s="15" t="n">
        <f aca="false">2_Matriz_decision!A603</f>
        <v>599</v>
      </c>
      <c r="B604" s="16" t="n">
        <f aca="false">2_Matriz_decision!B603</f>
        <v>60.041</v>
      </c>
      <c r="C604" s="21" t="n">
        <f aca="false">2_Matriz_decision!C603/C$5</f>
        <v>0.0263818470923654</v>
      </c>
      <c r="D604" s="21" t="n">
        <f aca="false">2_Matriz_decision!D603/D$5</f>
        <v>0.0418648306977948</v>
      </c>
      <c r="E604" s="21" t="n">
        <f aca="false">2_Matriz_decision!E603/E$5</f>
        <v>0.0200360974925215</v>
      </c>
      <c r="F604" s="21" t="n">
        <f aca="false">2_Matriz_decision!F603/F$5</f>
        <v>0.0296434583364376</v>
      </c>
      <c r="G604" s="21" t="n">
        <f aca="false">2_Matriz_decision!G603/G$5</f>
        <v>0.0411149420220302</v>
      </c>
      <c r="H604" s="21" t="n">
        <f aca="false">2_Matriz_decision!H603/H$5</f>
        <v>0.0128089386344754</v>
      </c>
      <c r="I604" s="21" t="n">
        <f aca="false">2_Matriz_decision!I603/I$5</f>
        <v>0.0148184741491462</v>
      </c>
      <c r="J604" s="21" t="n">
        <f aca="false">2_Matriz_decision!J603/J$5</f>
        <v>0.0351992440847949</v>
      </c>
      <c r="K604" s="21" t="n">
        <f aca="false">2_Matriz_decision!K603/K$5</f>
        <v>0.039014903418414</v>
      </c>
      <c r="L604" s="21" t="n">
        <f aca="false">2_Matriz_decision!L603/L$5</f>
        <v>0.0639820808816365</v>
      </c>
      <c r="M604" s="21" t="n">
        <f aca="false">2_Matriz_decision!M603/M$5</f>
        <v>0.0519869476130019</v>
      </c>
      <c r="N604" s="21" t="n">
        <f aca="false">2_Matriz_decision!N603/N$5</f>
        <v>0.0560490217345168</v>
      </c>
      <c r="O604" s="21" t="n">
        <f aca="false">2_Matriz_decision!O603/O$5</f>
        <v>0.121772513109597</v>
      </c>
      <c r="P604" s="21" t="n">
        <f aca="false">2_Matriz_decision!P603/P$5</f>
        <v>0.0529441535179372</v>
      </c>
      <c r="Q604" s="21" t="n">
        <f aca="false">2_Matriz_decision!Q603/Q$5</f>
        <v>0.0133893885620924</v>
      </c>
    </row>
    <row r="605" customFormat="false" ht="15" hidden="false" customHeight="false" outlineLevel="0" collapsed="false">
      <c r="A605" s="15" t="n">
        <f aca="false">2_Matriz_decision!A604</f>
        <v>600</v>
      </c>
      <c r="B605" s="16" t="n">
        <f aca="false">2_Matriz_decision!B604</f>
        <v>60.141</v>
      </c>
      <c r="C605" s="21" t="n">
        <f aca="false">2_Matriz_decision!C604/C$5</f>
        <v>0.0263818470923654</v>
      </c>
      <c r="D605" s="21" t="n">
        <f aca="false">2_Matriz_decision!D604/D$5</f>
        <v>0.0418648306977948</v>
      </c>
      <c r="E605" s="21" t="n">
        <f aca="false">2_Matriz_decision!E604/E$5</f>
        <v>0.0300541462387823</v>
      </c>
      <c r="F605" s="21" t="n">
        <f aca="false">2_Matriz_decision!F604/F$5</f>
        <v>0.0197623055576251</v>
      </c>
      <c r="G605" s="21" t="n">
        <f aca="false">2_Matriz_decision!G604/G$5</f>
        <v>0.0411149420220302</v>
      </c>
      <c r="H605" s="21" t="n">
        <f aca="false">2_Matriz_decision!H604/H$5</f>
        <v>0.0128089386344754</v>
      </c>
      <c r="I605" s="21" t="n">
        <f aca="false">2_Matriz_decision!I604/I$5</f>
        <v>0.0148184741491462</v>
      </c>
      <c r="J605" s="21" t="n">
        <f aca="false">2_Matriz_decision!J604/J$5</f>
        <v>0.0351992440847949</v>
      </c>
      <c r="K605" s="21" t="n">
        <f aca="false">2_Matriz_decision!K604/K$5</f>
        <v>0.039014903418414</v>
      </c>
      <c r="L605" s="21" t="n">
        <f aca="false">2_Matriz_decision!L604/L$5</f>
        <v>0.0647843640274878</v>
      </c>
      <c r="M605" s="21" t="n">
        <f aca="false">2_Matriz_decision!M604/M$5</f>
        <v>0.0537544596440432</v>
      </c>
      <c r="N605" s="21" t="n">
        <f aca="false">2_Matriz_decision!N604/N$5</f>
        <v>0.0560490217345168</v>
      </c>
      <c r="O605" s="21" t="n">
        <f aca="false">2_Matriz_decision!O604/O$5</f>
        <v>0.121772513109597</v>
      </c>
      <c r="P605" s="21" t="n">
        <f aca="false">2_Matriz_decision!P604/P$5</f>
        <v>0.0529441535179372</v>
      </c>
      <c r="Q605" s="21" t="n">
        <f aca="false">2_Matriz_decision!Q604/Q$5</f>
        <v>0.0133893885620924</v>
      </c>
    </row>
    <row r="606" customFormat="false" ht="15" hidden="false" customHeight="false" outlineLevel="0" collapsed="false">
      <c r="A606" s="15" t="n">
        <f aca="false">2_Matriz_decision!A605</f>
        <v>601</v>
      </c>
      <c r="B606" s="16" t="n">
        <f aca="false">2_Matriz_decision!B605</f>
        <v>60.241</v>
      </c>
      <c r="C606" s="21" t="n">
        <f aca="false">2_Matriz_decision!C605/C$5</f>
        <v>0.0263818470923654</v>
      </c>
      <c r="D606" s="21" t="n">
        <f aca="false">2_Matriz_decision!D605/D$5</f>
        <v>0.0418648306977948</v>
      </c>
      <c r="E606" s="21" t="n">
        <f aca="false">2_Matriz_decision!E605/E$5</f>
        <v>0.0300541462387823</v>
      </c>
      <c r="F606" s="21" t="n">
        <f aca="false">2_Matriz_decision!F605/F$5</f>
        <v>0.0197623055576251</v>
      </c>
      <c r="G606" s="21" t="n">
        <f aca="false">2_Matriz_decision!G605/G$5</f>
        <v>0.0411149420220302</v>
      </c>
      <c r="H606" s="21" t="n">
        <f aca="false">2_Matriz_decision!H605/H$5</f>
        <v>0.0128089386344754</v>
      </c>
      <c r="I606" s="21" t="n">
        <f aca="false">2_Matriz_decision!I605/I$5</f>
        <v>0.0148184741491462</v>
      </c>
      <c r="J606" s="21" t="n">
        <f aca="false">2_Matriz_decision!J605/J$5</f>
        <v>0.0351992440847949</v>
      </c>
      <c r="K606" s="21" t="n">
        <f aca="false">2_Matriz_decision!K605/K$5</f>
        <v>0.039014903418414</v>
      </c>
      <c r="L606" s="21" t="n">
        <f aca="false">2_Matriz_decision!L605/L$5</f>
        <v>0.0652122483719418</v>
      </c>
      <c r="M606" s="21" t="n">
        <f aca="false">2_Matriz_decision!M605/M$5</f>
        <v>0.0540416803490874</v>
      </c>
      <c r="N606" s="21" t="n">
        <f aca="false">2_Matriz_decision!N605/N$5</f>
        <v>0.0560490217345168</v>
      </c>
      <c r="O606" s="21" t="n">
        <f aca="false">2_Matriz_decision!O605/O$5</f>
        <v>0.121772513109597</v>
      </c>
      <c r="P606" s="21" t="n">
        <f aca="false">2_Matriz_decision!P605/P$5</f>
        <v>0.0529441535179372</v>
      </c>
      <c r="Q606" s="21" t="n">
        <f aca="false">2_Matriz_decision!Q605/Q$5</f>
        <v>0.0133893885620924</v>
      </c>
    </row>
    <row r="607" customFormat="false" ht="15" hidden="false" customHeight="false" outlineLevel="0" collapsed="false">
      <c r="A607" s="15" t="n">
        <f aca="false">2_Matriz_decision!A606</f>
        <v>602</v>
      </c>
      <c r="B607" s="16" t="n">
        <f aca="false">2_Matriz_decision!B606</f>
        <v>60.341</v>
      </c>
      <c r="C607" s="21" t="n">
        <f aca="false">2_Matriz_decision!C606/C$5</f>
        <v>0.0263818470923654</v>
      </c>
      <c r="D607" s="21" t="n">
        <f aca="false">2_Matriz_decision!D606/D$5</f>
        <v>0.0418648306977948</v>
      </c>
      <c r="E607" s="21" t="n">
        <f aca="false">2_Matriz_decision!E606/E$5</f>
        <v>0.0400721949850431</v>
      </c>
      <c r="F607" s="21" t="n">
        <f aca="false">2_Matriz_decision!F606/F$5</f>
        <v>0.00988115277881254</v>
      </c>
      <c r="G607" s="21" t="n">
        <f aca="false">2_Matriz_decision!G606/G$5</f>
        <v>0.0411149420220302</v>
      </c>
      <c r="H607" s="21" t="n">
        <f aca="false">2_Matriz_decision!H606/H$5</f>
        <v>0.0128089386344754</v>
      </c>
      <c r="I607" s="21" t="n">
        <f aca="false">2_Matriz_decision!I606/I$5</f>
        <v>0.0148184741491462</v>
      </c>
      <c r="J607" s="21" t="n">
        <f aca="false">2_Matriz_decision!J606/J$5</f>
        <v>0.0351992440847949</v>
      </c>
      <c r="K607" s="21" t="n">
        <f aca="false">2_Matriz_decision!K606/K$5</f>
        <v>0.039014903418414</v>
      </c>
      <c r="L607" s="21" t="n">
        <f aca="false">2_Matriz_decision!L606/L$5</f>
        <v>0.0656267613306316</v>
      </c>
      <c r="M607" s="21" t="n">
        <f aca="false">2_Matriz_decision!M606/M$5</f>
        <v>0.0533567694370589</v>
      </c>
      <c r="N607" s="21" t="n">
        <f aca="false">2_Matriz_decision!N606/N$5</f>
        <v>0.0560490217345168</v>
      </c>
      <c r="O607" s="21" t="n">
        <f aca="false">2_Matriz_decision!O606/O$5</f>
        <v>0.121772513109597</v>
      </c>
      <c r="P607" s="21" t="n">
        <f aca="false">2_Matriz_decision!P606/P$5</f>
        <v>0.0529441535179372</v>
      </c>
      <c r="Q607" s="21" t="n">
        <f aca="false">2_Matriz_decision!Q606/Q$5</f>
        <v>0.0133893885620924</v>
      </c>
    </row>
    <row r="608" customFormat="false" ht="15" hidden="false" customHeight="false" outlineLevel="0" collapsed="false">
      <c r="A608" s="15" t="n">
        <f aca="false">2_Matriz_decision!A607</f>
        <v>603</v>
      </c>
      <c r="B608" s="16" t="n">
        <f aca="false">2_Matriz_decision!B607</f>
        <v>60.441</v>
      </c>
      <c r="C608" s="21" t="n">
        <f aca="false">2_Matriz_decision!C607/C$5</f>
        <v>0.0263818470923654</v>
      </c>
      <c r="D608" s="21" t="n">
        <f aca="false">2_Matriz_decision!D607/D$5</f>
        <v>0.0418648306977948</v>
      </c>
      <c r="E608" s="21" t="n">
        <f aca="false">2_Matriz_decision!E607/E$5</f>
        <v>0.0500902437313038</v>
      </c>
      <c r="F608" s="21" t="n">
        <f aca="false">2_Matriz_decision!F607/F$5</f>
        <v>0.0197623055576251</v>
      </c>
      <c r="G608" s="21" t="n">
        <f aca="false">2_Matriz_decision!G607/G$5</f>
        <v>0.0411149420220302</v>
      </c>
      <c r="H608" s="21" t="n">
        <f aca="false">2_Matriz_decision!H607/H$5</f>
        <v>0.0128089386344754</v>
      </c>
      <c r="I608" s="21" t="n">
        <f aca="false">2_Matriz_decision!I607/I$5</f>
        <v>0.0444554224474387</v>
      </c>
      <c r="J608" s="21" t="n">
        <f aca="false">2_Matriz_decision!J607/J$5</f>
        <v>0.0351992440847949</v>
      </c>
      <c r="K608" s="21" t="n">
        <f aca="false">2_Matriz_decision!K607/K$5</f>
        <v>0.039014903418414</v>
      </c>
      <c r="L608" s="21" t="n">
        <f aca="false">2_Matriz_decision!L607/L$5</f>
        <v>0.0654261905441688</v>
      </c>
      <c r="M608" s="21" t="n">
        <f aca="false">2_Matriz_decision!M607/M$5</f>
        <v>0.0511694732986453</v>
      </c>
      <c r="N608" s="21" t="n">
        <f aca="false">2_Matriz_decision!N607/N$5</f>
        <v>0.0560490217345168</v>
      </c>
      <c r="O608" s="21" t="n">
        <f aca="false">2_Matriz_decision!O607/O$5</f>
        <v>0.0913293848321975</v>
      </c>
      <c r="P608" s="21" t="n">
        <f aca="false">2_Matriz_decision!P607/P$5</f>
        <v>0.0529441535179372</v>
      </c>
      <c r="Q608" s="21" t="n">
        <f aca="false">2_Matriz_decision!Q607/Q$5</f>
        <v>0.0133893885620924</v>
      </c>
    </row>
    <row r="609" customFormat="false" ht="15" hidden="false" customHeight="false" outlineLevel="0" collapsed="false">
      <c r="A609" s="15" t="n">
        <f aca="false">2_Matriz_decision!A608</f>
        <v>604</v>
      </c>
      <c r="B609" s="16" t="n">
        <f aca="false">2_Matriz_decision!B608</f>
        <v>60.541</v>
      </c>
      <c r="C609" s="21" t="n">
        <f aca="false">2_Matriz_decision!C608/C$5</f>
        <v>0.0263818470923654</v>
      </c>
      <c r="D609" s="21" t="n">
        <f aca="false">2_Matriz_decision!D608/D$5</f>
        <v>0.0334918645582358</v>
      </c>
      <c r="E609" s="21" t="n">
        <f aca="false">2_Matriz_decision!E608/E$5</f>
        <v>0.0500902437313038</v>
      </c>
      <c r="F609" s="21" t="n">
        <f aca="false">2_Matriz_decision!F608/F$5</f>
        <v>0.0197623055576251</v>
      </c>
      <c r="G609" s="21" t="n">
        <f aca="false">2_Matriz_decision!G608/G$5</f>
        <v>0.0411149420220302</v>
      </c>
      <c r="H609" s="21" t="n">
        <f aca="false">2_Matriz_decision!H608/H$5</f>
        <v>0.0128089386344754</v>
      </c>
      <c r="I609" s="21" t="n">
        <f aca="false">2_Matriz_decision!I608/I$5</f>
        <v>0.0444554224474387</v>
      </c>
      <c r="J609" s="21" t="n">
        <f aca="false">2_Matriz_decision!J608/J$5</f>
        <v>0.0351992440847949</v>
      </c>
      <c r="K609" s="21" t="n">
        <f aca="false">2_Matriz_decision!K608/K$5</f>
        <v>0.039014903418414</v>
      </c>
      <c r="L609" s="21" t="n">
        <f aca="false">2_Matriz_decision!L608/L$5</f>
        <v>0.0632199118930778</v>
      </c>
      <c r="M609" s="21" t="n">
        <f aca="false">2_Matriz_decision!M608/M$5</f>
        <v>0.0494682429687681</v>
      </c>
      <c r="N609" s="21" t="n">
        <f aca="false">2_Matriz_decision!N608/N$5</f>
        <v>0.0560490217345168</v>
      </c>
      <c r="O609" s="21" t="n">
        <f aca="false">2_Matriz_decision!O608/O$5</f>
        <v>0.0913293848321975</v>
      </c>
      <c r="P609" s="21" t="n">
        <f aca="false">2_Matriz_decision!P608/P$5</f>
        <v>0.0529441535179372</v>
      </c>
      <c r="Q609" s="21" t="n">
        <f aca="false">2_Matriz_decision!Q608/Q$5</f>
        <v>0.0133893885620924</v>
      </c>
    </row>
    <row r="610" customFormat="false" ht="15" hidden="false" customHeight="false" outlineLevel="0" collapsed="false">
      <c r="A610" s="15" t="n">
        <f aca="false">2_Matriz_decision!A609</f>
        <v>605</v>
      </c>
      <c r="B610" s="16" t="n">
        <f aca="false">2_Matriz_decision!B609</f>
        <v>60.641</v>
      </c>
      <c r="C610" s="21" t="n">
        <f aca="false">2_Matriz_decision!C609/C$5</f>
        <v>0.0263818470923654</v>
      </c>
      <c r="D610" s="21" t="n">
        <f aca="false">2_Matriz_decision!D609/D$5</f>
        <v>0.0334918645582358</v>
      </c>
      <c r="E610" s="21" t="n">
        <f aca="false">2_Matriz_decision!E609/E$5</f>
        <v>0.0400721949850431</v>
      </c>
      <c r="F610" s="21" t="n">
        <f aca="false">2_Matriz_decision!F609/F$5</f>
        <v>0.00988115277881254</v>
      </c>
      <c r="G610" s="21" t="n">
        <f aca="false">2_Matriz_decision!G609/G$5</f>
        <v>0.0411149420220302</v>
      </c>
      <c r="H610" s="21" t="n">
        <f aca="false">2_Matriz_decision!H609/H$5</f>
        <v>0.0128089386344754</v>
      </c>
      <c r="I610" s="21" t="n">
        <f aca="false">2_Matriz_decision!I609/I$5</f>
        <v>0.0444554224474387</v>
      </c>
      <c r="J610" s="21" t="n">
        <f aca="false">2_Matriz_decision!J609/J$5</f>
        <v>0.0351992440847949</v>
      </c>
      <c r="K610" s="21" t="n">
        <f aca="false">2_Matriz_decision!K609/K$5</f>
        <v>0.039014903418414</v>
      </c>
      <c r="L610" s="21" t="n">
        <f aca="false">2_Matriz_decision!L609/L$5</f>
        <v>0.0539000560154393</v>
      </c>
      <c r="M610" s="21" t="n">
        <f aca="false">2_Matriz_decision!M609/M$5</f>
        <v>0.0431493874577955</v>
      </c>
      <c r="N610" s="21" t="n">
        <f aca="false">2_Matriz_decision!N609/N$5</f>
        <v>0.0560490217345168</v>
      </c>
      <c r="O610" s="21" t="n">
        <f aca="false">2_Matriz_decision!O609/O$5</f>
        <v>0.0608862565547983</v>
      </c>
      <c r="P610" s="21" t="n">
        <f aca="false">2_Matriz_decision!P609/P$5</f>
        <v>0.0529441535179372</v>
      </c>
      <c r="Q610" s="21" t="n">
        <f aca="false">2_Matriz_decision!Q609/Q$5</f>
        <v>0.066946942810462</v>
      </c>
    </row>
    <row r="611" customFormat="false" ht="15" hidden="false" customHeight="false" outlineLevel="0" collapsed="false">
      <c r="A611" s="15" t="n">
        <f aca="false">2_Matriz_decision!A610</f>
        <v>606</v>
      </c>
      <c r="B611" s="16" t="n">
        <f aca="false">2_Matriz_decision!B610</f>
        <v>60.741</v>
      </c>
      <c r="C611" s="21" t="n">
        <f aca="false">2_Matriz_decision!C610/C$5</f>
        <v>0.0263818470923654</v>
      </c>
      <c r="D611" s="21" t="n">
        <f aca="false">2_Matriz_decision!D610/D$5</f>
        <v>0.0334918645582358</v>
      </c>
      <c r="E611" s="21" t="n">
        <f aca="false">2_Matriz_decision!E610/E$5</f>
        <v>0.0400721949850431</v>
      </c>
      <c r="F611" s="21" t="n">
        <f aca="false">2_Matriz_decision!F610/F$5</f>
        <v>0.00988115277881254</v>
      </c>
      <c r="G611" s="21" t="n">
        <f aca="false">2_Matriz_decision!G610/G$5</f>
        <v>0.0308362065165227</v>
      </c>
      <c r="H611" s="21" t="n">
        <f aca="false">2_Matriz_decision!H610/H$5</f>
        <v>0.0128089386344754</v>
      </c>
      <c r="I611" s="21" t="n">
        <f aca="false">2_Matriz_decision!I610/I$5</f>
        <v>0.0444554224474387</v>
      </c>
      <c r="J611" s="21" t="n">
        <f aca="false">2_Matriz_decision!J610/J$5</f>
        <v>0.0351992440847949</v>
      </c>
      <c r="K611" s="21" t="n">
        <f aca="false">2_Matriz_decision!K610/K$5</f>
        <v>0.039014903418414</v>
      </c>
      <c r="L611" s="21" t="n">
        <f aca="false">2_Matriz_decision!L610/L$5</f>
        <v>0.0510519508476673</v>
      </c>
      <c r="M611" s="21" t="n">
        <f aca="false">2_Matriz_decision!M610/M$5</f>
        <v>0.0389073585832964</v>
      </c>
      <c r="N611" s="21" t="n">
        <f aca="false">2_Matriz_decision!N610/N$5</f>
        <v>0.0560490217345168</v>
      </c>
      <c r="O611" s="21" t="n">
        <f aca="false">2_Matriz_decision!O610/O$5</f>
        <v>0.0304431282773992</v>
      </c>
      <c r="P611" s="21" t="n">
        <f aca="false">2_Matriz_decision!P610/P$5</f>
        <v>0.0529441535179372</v>
      </c>
      <c r="Q611" s="21" t="n">
        <f aca="false">2_Matriz_decision!Q610/Q$5</f>
        <v>0.066946942810462</v>
      </c>
    </row>
    <row r="612" customFormat="false" ht="15" hidden="false" customHeight="false" outlineLevel="0" collapsed="false">
      <c r="A612" s="15" t="n">
        <f aca="false">2_Matriz_decision!A611</f>
        <v>607</v>
      </c>
      <c r="B612" s="16" t="n">
        <f aca="false">2_Matriz_decision!B611</f>
        <v>60.841</v>
      </c>
      <c r="C612" s="21" t="n">
        <f aca="false">2_Matriz_decision!C611/C$5</f>
        <v>0.0263818470923654</v>
      </c>
      <c r="D612" s="21" t="n">
        <f aca="false">2_Matriz_decision!D611/D$5</f>
        <v>0.0334918645582358</v>
      </c>
      <c r="E612" s="21" t="n">
        <f aca="false">2_Matriz_decision!E611/E$5</f>
        <v>0.0500902437313038</v>
      </c>
      <c r="F612" s="21" t="n">
        <f aca="false">2_Matriz_decision!F611/F$5</f>
        <v>0.0197623055576251</v>
      </c>
      <c r="G612" s="21" t="n">
        <f aca="false">2_Matriz_decision!G611/G$5</f>
        <v>0.0308362065165227</v>
      </c>
      <c r="H612" s="21" t="n">
        <f aca="false">2_Matriz_decision!H611/H$5</f>
        <v>0.0128089386344754</v>
      </c>
      <c r="I612" s="21" t="n">
        <f aca="false">2_Matriz_decision!I611/I$5</f>
        <v>0.0592738965965849</v>
      </c>
      <c r="J612" s="21" t="n">
        <f aca="false">2_Matriz_decision!J611/J$5</f>
        <v>0.0351992440847949</v>
      </c>
      <c r="K612" s="21" t="n">
        <f aca="false">2_Matriz_decision!K611/K$5</f>
        <v>0.039014903418414</v>
      </c>
      <c r="L612" s="21" t="n">
        <f aca="false">2_Matriz_decision!L611/L$5</f>
        <v>0.0483776736948299</v>
      </c>
      <c r="M612" s="21" t="n">
        <f aca="false">2_Matriz_decision!M611/M$5</f>
        <v>0.0388410768821323</v>
      </c>
      <c r="N612" s="21" t="n">
        <f aca="false">2_Matriz_decision!N611/N$5</f>
        <v>0.0560490217345168</v>
      </c>
      <c r="O612" s="21" t="n">
        <f aca="false">2_Matriz_decision!O611/O$5</f>
        <v>0.0304431282773992</v>
      </c>
      <c r="P612" s="21" t="n">
        <f aca="false">2_Matriz_decision!P611/P$5</f>
        <v>0.0529441535179372</v>
      </c>
      <c r="Q612" s="21" t="n">
        <f aca="false">2_Matriz_decision!Q611/Q$5</f>
        <v>0.066946942810462</v>
      </c>
    </row>
    <row r="613" customFormat="false" ht="15" hidden="false" customHeight="false" outlineLevel="0" collapsed="false">
      <c r="A613" s="15" t="n">
        <f aca="false">2_Matriz_decision!A612</f>
        <v>608</v>
      </c>
      <c r="B613" s="16" t="n">
        <f aca="false">2_Matriz_decision!B612</f>
        <v>60.942</v>
      </c>
      <c r="C613" s="21" t="n">
        <f aca="false">2_Matriz_decision!C612/C$5</f>
        <v>0.0351757961231539</v>
      </c>
      <c r="D613" s="21" t="n">
        <f aca="false">2_Matriz_decision!D612/D$5</f>
        <v>0.0334918645582358</v>
      </c>
      <c r="E613" s="21" t="n">
        <f aca="false">2_Matriz_decision!E612/E$5</f>
        <v>0.0500902437313038</v>
      </c>
      <c r="F613" s="21" t="n">
        <f aca="false">2_Matriz_decision!F612/F$5</f>
        <v>0.0197623055576251</v>
      </c>
      <c r="G613" s="21" t="n">
        <f aca="false">2_Matriz_decision!G612/G$5</f>
        <v>0.0308362065165227</v>
      </c>
      <c r="H613" s="21" t="n">
        <f aca="false">2_Matriz_decision!H612/H$5</f>
        <v>0.0128089386344754</v>
      </c>
      <c r="I613" s="21" t="n">
        <f aca="false">2_Matriz_decision!I612/I$5</f>
        <v>0.0444554224474387</v>
      </c>
      <c r="J613" s="21" t="n">
        <f aca="false">2_Matriz_decision!J612/J$5</f>
        <v>0.0351992440847949</v>
      </c>
      <c r="K613" s="21" t="n">
        <f aca="false">2_Matriz_decision!K612/K$5</f>
        <v>0.039014903418414</v>
      </c>
      <c r="L613" s="21" t="n">
        <f aca="false">2_Matriz_decision!L612/L$5</f>
        <v>0.0428419199884563</v>
      </c>
      <c r="M613" s="21" t="n">
        <f aca="false">2_Matriz_decision!M612/M$5</f>
        <v>0.0392498140393106</v>
      </c>
      <c r="N613" s="21" t="n">
        <f aca="false">2_Matriz_decision!N612/N$5</f>
        <v>0.0560490217345168</v>
      </c>
      <c r="O613" s="21" t="n">
        <f aca="false">2_Matriz_decision!O612/O$5</f>
        <v>0.0304431282773992</v>
      </c>
      <c r="P613" s="21" t="n">
        <f aca="false">2_Matriz_decision!P612/P$5</f>
        <v>0.0529441535179372</v>
      </c>
      <c r="Q613" s="21" t="n">
        <f aca="false">2_Matriz_decision!Q612/Q$5</f>
        <v>0.0133893885620924</v>
      </c>
    </row>
    <row r="614" customFormat="false" ht="15" hidden="false" customHeight="false" outlineLevel="0" collapsed="false">
      <c r="A614" s="15" t="n">
        <f aca="false">2_Matriz_decision!A613</f>
        <v>609</v>
      </c>
      <c r="B614" s="16" t="n">
        <f aca="false">2_Matriz_decision!B613</f>
        <v>61.042</v>
      </c>
      <c r="C614" s="21" t="n">
        <f aca="false">2_Matriz_decision!C613/C$5</f>
        <v>0.0351757961231539</v>
      </c>
      <c r="D614" s="21" t="n">
        <f aca="false">2_Matriz_decision!D613/D$5</f>
        <v>0.0334918645582358</v>
      </c>
      <c r="E614" s="21" t="n">
        <f aca="false">2_Matriz_decision!E613/E$5</f>
        <v>0.0400721949850431</v>
      </c>
      <c r="F614" s="21" t="n">
        <f aca="false">2_Matriz_decision!F613/F$5</f>
        <v>0.0197623055576251</v>
      </c>
      <c r="G614" s="21" t="n">
        <f aca="false">2_Matriz_decision!G613/G$5</f>
        <v>0.0308362065165227</v>
      </c>
      <c r="H614" s="21" t="n">
        <f aca="false">2_Matriz_decision!H613/H$5</f>
        <v>0.0128089386344754</v>
      </c>
      <c r="I614" s="21" t="n">
        <f aca="false">2_Matriz_decision!I613/I$5</f>
        <v>0.0444554224474387</v>
      </c>
      <c r="J614" s="21" t="n">
        <f aca="false">2_Matriz_decision!J613/J$5</f>
        <v>0.0351992440847949</v>
      </c>
      <c r="K614" s="21" t="n">
        <f aca="false">2_Matriz_decision!K613/K$5</f>
        <v>0.039014903418414</v>
      </c>
      <c r="L614" s="21" t="n">
        <f aca="false">2_Matriz_decision!L613/L$5</f>
        <v>0.039392102461296</v>
      </c>
      <c r="M614" s="21" t="n">
        <f aca="false">2_Matriz_decision!M613/M$5</f>
        <v>0.0408737157178298</v>
      </c>
      <c r="N614" s="21" t="n">
        <f aca="false">2_Matriz_decision!N613/N$5</f>
        <v>0.0560490217345168</v>
      </c>
      <c r="O614" s="21" t="n">
        <f aca="false">2_Matriz_decision!O613/O$5</f>
        <v>0.0304431282773992</v>
      </c>
      <c r="P614" s="21" t="n">
        <f aca="false">2_Matriz_decision!P613/P$5</f>
        <v>0.0529441535179372</v>
      </c>
      <c r="Q614" s="21" t="n">
        <f aca="false">2_Matriz_decision!Q613/Q$5</f>
        <v>0.066946942810462</v>
      </c>
    </row>
    <row r="615" customFormat="false" ht="15" hidden="false" customHeight="false" outlineLevel="0" collapsed="false">
      <c r="A615" s="15" t="n">
        <f aca="false">2_Matriz_decision!A614</f>
        <v>610</v>
      </c>
      <c r="B615" s="16" t="n">
        <f aca="false">2_Matriz_decision!B614</f>
        <v>61.141</v>
      </c>
      <c r="C615" s="21" t="n">
        <f aca="false">2_Matriz_decision!C614/C$5</f>
        <v>0.0351757961231539</v>
      </c>
      <c r="D615" s="21" t="n">
        <f aca="false">2_Matriz_decision!D614/D$5</f>
        <v>0.0334918645582358</v>
      </c>
      <c r="E615" s="21" t="n">
        <f aca="false">2_Matriz_decision!E614/E$5</f>
        <v>0.0500902437313038</v>
      </c>
      <c r="F615" s="21" t="n">
        <f aca="false">2_Matriz_decision!F614/F$5</f>
        <v>0.00988115277881254</v>
      </c>
      <c r="G615" s="21" t="n">
        <f aca="false">2_Matriz_decision!G614/G$5</f>
        <v>0.0308362065165227</v>
      </c>
      <c r="H615" s="21" t="n">
        <f aca="false">2_Matriz_decision!H614/H$5</f>
        <v>0.0128089386344754</v>
      </c>
      <c r="I615" s="21" t="n">
        <f aca="false">2_Matriz_decision!I614/I$5</f>
        <v>0.0296369482982925</v>
      </c>
      <c r="J615" s="21" t="n">
        <f aca="false">2_Matriz_decision!J614/J$5</f>
        <v>0.0351992440847949</v>
      </c>
      <c r="K615" s="21" t="n">
        <f aca="false">2_Matriz_decision!K614/K$5</f>
        <v>0.039014903418414</v>
      </c>
      <c r="L615" s="21" t="n">
        <f aca="false">2_Matriz_decision!L614/L$5</f>
        <v>0.0350464020879351</v>
      </c>
      <c r="M615" s="21" t="n">
        <f aca="false">2_Matriz_decision!M614/M$5</f>
        <v>0.0399678658019212</v>
      </c>
      <c r="N615" s="21" t="n">
        <f aca="false">2_Matriz_decision!N614/N$5</f>
        <v>0.0560490217345168</v>
      </c>
      <c r="O615" s="21" t="n">
        <f aca="false">2_Matriz_decision!O614/O$5</f>
        <v>0.0304431282773992</v>
      </c>
      <c r="P615" s="21" t="n">
        <f aca="false">2_Matriz_decision!P614/P$5</f>
        <v>0.0529441535179372</v>
      </c>
      <c r="Q615" s="21" t="n">
        <f aca="false">2_Matriz_decision!Q614/Q$5</f>
        <v>0.066946942810462</v>
      </c>
    </row>
    <row r="616" customFormat="false" ht="15" hidden="false" customHeight="false" outlineLevel="0" collapsed="false">
      <c r="A616" s="15" t="n">
        <f aca="false">2_Matriz_decision!A615</f>
        <v>611</v>
      </c>
      <c r="B616" s="16" t="n">
        <f aca="false">2_Matriz_decision!B615</f>
        <v>61.241</v>
      </c>
      <c r="C616" s="21" t="n">
        <f aca="false">2_Matriz_decision!C615/C$5</f>
        <v>0.0351757961231539</v>
      </c>
      <c r="D616" s="21" t="n">
        <f aca="false">2_Matriz_decision!D615/D$5</f>
        <v>0.0334918645582358</v>
      </c>
      <c r="E616" s="21" t="n">
        <f aca="false">2_Matriz_decision!E615/E$5</f>
        <v>0.0400721949850431</v>
      </c>
      <c r="F616" s="21" t="n">
        <f aca="false">2_Matriz_decision!F615/F$5</f>
        <v>0.0197623055576251</v>
      </c>
      <c r="G616" s="21" t="n">
        <f aca="false">2_Matriz_decision!G615/G$5</f>
        <v>0.0308362065165227</v>
      </c>
      <c r="H616" s="21" t="n">
        <f aca="false">2_Matriz_decision!H615/H$5</f>
        <v>0.0128089386344754</v>
      </c>
      <c r="I616" s="21" t="n">
        <f aca="false">2_Matriz_decision!I615/I$5</f>
        <v>0.0148184741491462</v>
      </c>
      <c r="J616" s="21" t="n">
        <f aca="false">2_Matriz_decision!J615/J$5</f>
        <v>0.0351992440847949</v>
      </c>
      <c r="K616" s="21" t="n">
        <f aca="false">2_Matriz_decision!K615/K$5</f>
        <v>0.039014903418414</v>
      </c>
      <c r="L616" s="21" t="n">
        <f aca="false">2_Matriz_decision!L615/L$5</f>
        <v>0.0407559838092431</v>
      </c>
      <c r="M616" s="21" t="n">
        <f aca="false">2_Matriz_decision!M615/M$5</f>
        <v>0.037018330100121</v>
      </c>
      <c r="N616" s="21" t="n">
        <f aca="false">2_Matriz_decision!N615/N$5</f>
        <v>0.0560490217345168</v>
      </c>
      <c r="O616" s="21" t="n">
        <f aca="false">2_Matriz_decision!O615/O$5</f>
        <v>0.0304431282773992</v>
      </c>
      <c r="P616" s="21" t="n">
        <f aca="false">2_Matriz_decision!P615/P$5</f>
        <v>0.0529441535179372</v>
      </c>
      <c r="Q616" s="21" t="n">
        <f aca="false">2_Matriz_decision!Q615/Q$5</f>
        <v>0.066946942810462</v>
      </c>
    </row>
    <row r="617" customFormat="false" ht="15" hidden="false" customHeight="false" outlineLevel="0" collapsed="false">
      <c r="A617" s="15" t="n">
        <f aca="false">2_Matriz_decision!A616</f>
        <v>612</v>
      </c>
      <c r="B617" s="16" t="n">
        <f aca="false">2_Matriz_decision!B616</f>
        <v>61.341</v>
      </c>
      <c r="C617" s="21" t="n">
        <f aca="false">2_Matriz_decision!C616/C$5</f>
        <v>0.0351757961231539</v>
      </c>
      <c r="D617" s="21" t="n">
        <f aca="false">2_Matriz_decision!D616/D$5</f>
        <v>0.0334918645582358</v>
      </c>
      <c r="E617" s="21" t="n">
        <f aca="false">2_Matriz_decision!E616/E$5</f>
        <v>0.0400721949850431</v>
      </c>
      <c r="F617" s="21" t="n">
        <f aca="false">2_Matriz_decision!F616/F$5</f>
        <v>0.0197623055576251</v>
      </c>
      <c r="G617" s="21" t="n">
        <f aca="false">2_Matriz_decision!G616/G$5</f>
        <v>0.0308362065165227</v>
      </c>
      <c r="H617" s="21" t="n">
        <f aca="false">2_Matriz_decision!H616/H$5</f>
        <v>0.0128089386344754</v>
      </c>
      <c r="I617" s="21" t="n">
        <f aca="false">2_Matriz_decision!I616/I$5</f>
        <v>0.0296369482982925</v>
      </c>
      <c r="J617" s="21" t="n">
        <f aca="false">2_Matriz_decision!J616/J$5</f>
        <v>0.0351992440847949</v>
      </c>
      <c r="K617" s="21" t="n">
        <f aca="false">2_Matriz_decision!K616/K$5</f>
        <v>0.039014903418414</v>
      </c>
      <c r="L617" s="21" t="n">
        <f aca="false">2_Matriz_decision!L616/L$5</f>
        <v>0.0444063721228662</v>
      </c>
      <c r="M617" s="21" t="n">
        <f aca="false">2_Matriz_decision!M616/M$5</f>
        <v>0.0373276447055532</v>
      </c>
      <c r="N617" s="21" t="n">
        <f aca="false">2_Matriz_decision!N616/N$5</f>
        <v>0.0560490217345168</v>
      </c>
      <c r="O617" s="21" t="n">
        <f aca="false">2_Matriz_decision!O616/O$5</f>
        <v>0.0304431282773992</v>
      </c>
      <c r="P617" s="21" t="n">
        <f aca="false">2_Matriz_decision!P616/P$5</f>
        <v>0.0529441535179372</v>
      </c>
      <c r="Q617" s="21" t="n">
        <f aca="false">2_Matriz_decision!Q616/Q$5</f>
        <v>0.066946942810462</v>
      </c>
    </row>
    <row r="618" customFormat="false" ht="15" hidden="false" customHeight="false" outlineLevel="0" collapsed="false">
      <c r="A618" s="15" t="n">
        <f aca="false">2_Matriz_decision!A617</f>
        <v>613</v>
      </c>
      <c r="B618" s="16" t="n">
        <f aca="false">2_Matriz_decision!B617</f>
        <v>61.44</v>
      </c>
      <c r="C618" s="21" t="n">
        <f aca="false">2_Matriz_decision!C617/C$5</f>
        <v>0.0351757961231539</v>
      </c>
      <c r="D618" s="21" t="n">
        <f aca="false">2_Matriz_decision!D617/D$5</f>
        <v>0.0334918645582358</v>
      </c>
      <c r="E618" s="21" t="n">
        <f aca="false">2_Matriz_decision!E617/E$5</f>
        <v>0.0400721949850431</v>
      </c>
      <c r="F618" s="21" t="n">
        <f aca="false">2_Matriz_decision!F617/F$5</f>
        <v>0.0197623055576251</v>
      </c>
      <c r="G618" s="21" t="n">
        <f aca="false">2_Matriz_decision!G617/G$5</f>
        <v>0.0308362065165227</v>
      </c>
      <c r="H618" s="21" t="n">
        <f aca="false">2_Matriz_decision!H617/H$5</f>
        <v>0.0128089386344754</v>
      </c>
      <c r="I618" s="21" t="n">
        <f aca="false">2_Matriz_decision!I617/I$5</f>
        <v>0.0296369482982925</v>
      </c>
      <c r="J618" s="21" t="n">
        <f aca="false">2_Matriz_decision!J617/J$5</f>
        <v>0.0351992440847949</v>
      </c>
      <c r="K618" s="21" t="n">
        <f aca="false">2_Matriz_decision!K617/K$5</f>
        <v>0.039014903418414</v>
      </c>
      <c r="L618" s="21" t="n">
        <f aca="false">2_Matriz_decision!L617/L$5</f>
        <v>0.0527768596112475</v>
      </c>
      <c r="M618" s="21" t="n">
        <f aca="false">2_Matriz_decision!M617/M$5</f>
        <v>0.0409510443691879</v>
      </c>
      <c r="N618" s="21" t="n">
        <f aca="false">2_Matriz_decision!N617/N$5</f>
        <v>0.0560490217345168</v>
      </c>
      <c r="O618" s="21" t="n">
        <f aca="false">2_Matriz_decision!O617/O$5</f>
        <v>0.0608862565547983</v>
      </c>
      <c r="P618" s="21" t="n">
        <f aca="false">2_Matriz_decision!P617/P$5</f>
        <v>0.0529441535179372</v>
      </c>
      <c r="Q618" s="21" t="n">
        <f aca="false">2_Matriz_decision!Q617/Q$5</f>
        <v>0.0401681656862772</v>
      </c>
    </row>
    <row r="619" customFormat="false" ht="15" hidden="false" customHeight="false" outlineLevel="0" collapsed="false">
      <c r="A619" s="15" t="n">
        <f aca="false">2_Matriz_decision!A618</f>
        <v>614</v>
      </c>
      <c r="B619" s="16" t="n">
        <f aca="false">2_Matriz_decision!B618</f>
        <v>61.538</v>
      </c>
      <c r="C619" s="21" t="n">
        <f aca="false">2_Matriz_decision!C618/C$5</f>
        <v>0.0351757961231539</v>
      </c>
      <c r="D619" s="21" t="n">
        <f aca="false">2_Matriz_decision!D618/D$5</f>
        <v>0.0334918645582358</v>
      </c>
      <c r="E619" s="21" t="n">
        <f aca="false">2_Matriz_decision!E618/E$5</f>
        <v>0.0400721949850431</v>
      </c>
      <c r="F619" s="21" t="n">
        <f aca="false">2_Matriz_decision!F618/F$5</f>
        <v>0.0197623055576251</v>
      </c>
      <c r="G619" s="21" t="n">
        <f aca="false">2_Matriz_decision!G618/G$5</f>
        <v>0.0308362065165227</v>
      </c>
      <c r="H619" s="21" t="n">
        <f aca="false">2_Matriz_decision!H618/H$5</f>
        <v>0.0128089386344754</v>
      </c>
      <c r="I619" s="21" t="n">
        <f aca="false">2_Matriz_decision!I618/I$5</f>
        <v>0.0296369482982925</v>
      </c>
      <c r="J619" s="21" t="n">
        <f aca="false">2_Matriz_decision!J618/J$5</f>
        <v>0.0351992440847949</v>
      </c>
      <c r="K619" s="21" t="n">
        <f aca="false">2_Matriz_decision!K618/K$5</f>
        <v>0.039014903418414</v>
      </c>
      <c r="L619" s="21" t="n">
        <f aca="false">2_Matriz_decision!L618/L$5</f>
        <v>0.0578312434301103</v>
      </c>
      <c r="M619" s="21" t="n">
        <f aca="false">2_Matriz_decision!M618/M$5</f>
        <v>0.0457564677035814</v>
      </c>
      <c r="N619" s="21" t="n">
        <f aca="false">2_Matriz_decision!N618/N$5</f>
        <v>0.0560490217345168</v>
      </c>
      <c r="O619" s="21" t="n">
        <f aca="false">2_Matriz_decision!O618/O$5</f>
        <v>0.0913293848321975</v>
      </c>
      <c r="P619" s="21" t="n">
        <f aca="false">2_Matriz_decision!P618/P$5</f>
        <v>0.0529441535179372</v>
      </c>
      <c r="Q619" s="21" t="n">
        <f aca="false">2_Matriz_decision!Q618/Q$5</f>
        <v>0.066946942810462</v>
      </c>
    </row>
    <row r="620" customFormat="false" ht="15" hidden="false" customHeight="false" outlineLevel="0" collapsed="false">
      <c r="A620" s="15" t="n">
        <f aca="false">2_Matriz_decision!A619</f>
        <v>615</v>
      </c>
      <c r="B620" s="16" t="n">
        <f aca="false">2_Matriz_decision!B619</f>
        <v>61.636</v>
      </c>
      <c r="C620" s="21" t="n">
        <f aca="false">2_Matriz_decision!C619/C$5</f>
        <v>0.0351757961231539</v>
      </c>
      <c r="D620" s="21" t="n">
        <f aca="false">2_Matriz_decision!D619/D$5</f>
        <v>0.0334918645582358</v>
      </c>
      <c r="E620" s="21" t="n">
        <f aca="false">2_Matriz_decision!E619/E$5</f>
        <v>0.0400721949850431</v>
      </c>
      <c r="F620" s="21" t="n">
        <f aca="false">2_Matriz_decision!F619/F$5</f>
        <v>0.0197623055576251</v>
      </c>
      <c r="G620" s="21" t="n">
        <f aca="false">2_Matriz_decision!G619/G$5</f>
        <v>0.0308362065165227</v>
      </c>
      <c r="H620" s="21" t="n">
        <f aca="false">2_Matriz_decision!H619/H$5</f>
        <v>0.0128089386344754</v>
      </c>
      <c r="I620" s="21" t="n">
        <f aca="false">2_Matriz_decision!I619/I$5</f>
        <v>0.0444554224474387</v>
      </c>
      <c r="J620" s="21" t="n">
        <f aca="false">2_Matriz_decision!J619/J$5</f>
        <v>0.0351992440847949</v>
      </c>
      <c r="K620" s="21" t="n">
        <f aca="false">2_Matriz_decision!K619/K$5</f>
        <v>0.039014903418414</v>
      </c>
      <c r="L620" s="21" t="n">
        <f aca="false">2_Matriz_decision!L619/L$5</f>
        <v>0.0592218675495858</v>
      </c>
      <c r="M620" s="21" t="n">
        <f aca="false">2_Matriz_decision!M619/M$5</f>
        <v>0.0491368344629479</v>
      </c>
      <c r="N620" s="21" t="n">
        <f aca="false">2_Matriz_decision!N619/N$5</f>
        <v>0.0560490217345168</v>
      </c>
      <c r="O620" s="21" t="n">
        <f aca="false">2_Matriz_decision!O619/O$5</f>
        <v>0.121772513109597</v>
      </c>
      <c r="P620" s="21" t="n">
        <f aca="false">2_Matriz_decision!P619/P$5</f>
        <v>0.0529441535179372</v>
      </c>
      <c r="Q620" s="21" t="n">
        <f aca="false">2_Matriz_decision!Q619/Q$5</f>
        <v>0.066946942810462</v>
      </c>
    </row>
    <row r="621" customFormat="false" ht="15" hidden="false" customHeight="false" outlineLevel="0" collapsed="false">
      <c r="A621" s="15" t="n">
        <f aca="false">2_Matriz_decision!A620</f>
        <v>616</v>
      </c>
      <c r="B621" s="16" t="n">
        <f aca="false">2_Matriz_decision!B620</f>
        <v>61.733</v>
      </c>
      <c r="C621" s="21" t="n">
        <f aca="false">2_Matriz_decision!C620/C$5</f>
        <v>0.0351757961231539</v>
      </c>
      <c r="D621" s="21" t="n">
        <f aca="false">2_Matriz_decision!D620/D$5</f>
        <v>0.0334918645582358</v>
      </c>
      <c r="E621" s="21" t="n">
        <f aca="false">2_Matriz_decision!E620/E$5</f>
        <v>0.0400721949850431</v>
      </c>
      <c r="F621" s="21" t="n">
        <f aca="false">2_Matriz_decision!F620/F$5</f>
        <v>0.00988115277881254</v>
      </c>
      <c r="G621" s="21" t="n">
        <f aca="false">2_Matriz_decision!G620/G$5</f>
        <v>0.0308362065165227</v>
      </c>
      <c r="H621" s="21" t="n">
        <f aca="false">2_Matriz_decision!H620/H$5</f>
        <v>0.0128089386344754</v>
      </c>
      <c r="I621" s="21" t="n">
        <f aca="false">2_Matriz_decision!I620/I$5</f>
        <v>0.0444554224474387</v>
      </c>
      <c r="J621" s="21" t="n">
        <f aca="false">2_Matriz_decision!J620/J$5</f>
        <v>0.0351992440847949</v>
      </c>
      <c r="K621" s="21" t="n">
        <f aca="false">2_Matriz_decision!K620/K$5</f>
        <v>0.039014903418414</v>
      </c>
      <c r="L621" s="21" t="n">
        <f aca="false">2_Matriz_decision!L620/L$5</f>
        <v>0.0585399268756123</v>
      </c>
      <c r="M621" s="21" t="n">
        <f aca="false">2_Matriz_decision!M620/M$5</f>
        <v>0.0478664351906369</v>
      </c>
      <c r="N621" s="21" t="n">
        <f aca="false">2_Matriz_decision!N620/N$5</f>
        <v>0.0560490217345168</v>
      </c>
      <c r="O621" s="21" t="n">
        <f aca="false">2_Matriz_decision!O620/O$5</f>
        <v>0.0913293848321975</v>
      </c>
      <c r="P621" s="21" t="n">
        <f aca="false">2_Matriz_decision!P620/P$5</f>
        <v>0.0529441535179372</v>
      </c>
      <c r="Q621" s="21" t="n">
        <f aca="false">2_Matriz_decision!Q620/Q$5</f>
        <v>0.066946942810462</v>
      </c>
    </row>
    <row r="622" customFormat="false" ht="15" hidden="false" customHeight="false" outlineLevel="0" collapsed="false">
      <c r="A622" s="15" t="n">
        <f aca="false">2_Matriz_decision!A621</f>
        <v>617</v>
      </c>
      <c r="B622" s="16" t="n">
        <f aca="false">2_Matriz_decision!B621</f>
        <v>61.83</v>
      </c>
      <c r="C622" s="21" t="n">
        <f aca="false">2_Matriz_decision!C621/C$5</f>
        <v>0.0351757961231539</v>
      </c>
      <c r="D622" s="21" t="n">
        <f aca="false">2_Matriz_decision!D621/D$5</f>
        <v>0.0334918645582358</v>
      </c>
      <c r="E622" s="21" t="n">
        <f aca="false">2_Matriz_decision!E621/E$5</f>
        <v>0.0400721949850431</v>
      </c>
      <c r="F622" s="21" t="n">
        <f aca="false">2_Matriz_decision!F621/F$5</f>
        <v>0.0296434583364376</v>
      </c>
      <c r="G622" s="21" t="n">
        <f aca="false">2_Matriz_decision!G621/G$5</f>
        <v>0.0308362065165227</v>
      </c>
      <c r="H622" s="21" t="n">
        <f aca="false">2_Matriz_decision!H621/H$5</f>
        <v>0.0128089386344754</v>
      </c>
      <c r="I622" s="21" t="n">
        <f aca="false">2_Matriz_decision!I621/I$5</f>
        <v>0.0296369482982925</v>
      </c>
      <c r="J622" s="21" t="n">
        <f aca="false">2_Matriz_decision!J621/J$5</f>
        <v>0.0351992440847949</v>
      </c>
      <c r="K622" s="21" t="n">
        <f aca="false">2_Matriz_decision!K621/K$5</f>
        <v>0.039014903418414</v>
      </c>
      <c r="L622" s="21" t="n">
        <f aca="false">2_Matriz_decision!L621/L$5</f>
        <v>0.0398868437345709</v>
      </c>
      <c r="M622" s="21" t="n">
        <f aca="false">2_Matriz_decision!M621/M$5</f>
        <v>0.0394376121926088</v>
      </c>
      <c r="N622" s="21" t="n">
        <f aca="false">2_Matriz_decision!N621/N$5</f>
        <v>0.0560490217345168</v>
      </c>
      <c r="O622" s="21" t="n">
        <f aca="false">2_Matriz_decision!O621/O$5</f>
        <v>0.0304431282773992</v>
      </c>
      <c r="P622" s="21" t="n">
        <f aca="false">2_Matriz_decision!P621/P$5</f>
        <v>0.0529441535179372</v>
      </c>
      <c r="Q622" s="21" t="n">
        <f aca="false">2_Matriz_decision!Q621/Q$5</f>
        <v>0.066946942810462</v>
      </c>
    </row>
    <row r="623" customFormat="false" ht="15" hidden="false" customHeight="false" outlineLevel="0" collapsed="false">
      <c r="A623" s="15" t="n">
        <f aca="false">2_Matriz_decision!A622</f>
        <v>618</v>
      </c>
      <c r="B623" s="16" t="n">
        <f aca="false">2_Matriz_decision!B622</f>
        <v>61.926</v>
      </c>
      <c r="C623" s="21" t="n">
        <f aca="false">2_Matriz_decision!C622/C$5</f>
        <v>0.0351757961231539</v>
      </c>
      <c r="D623" s="21" t="n">
        <f aca="false">2_Matriz_decision!D622/D$5</f>
        <v>0.0334918645582358</v>
      </c>
      <c r="E623" s="21" t="n">
        <f aca="false">2_Matriz_decision!E622/E$5</f>
        <v>0.0400721949850431</v>
      </c>
      <c r="F623" s="21" t="n">
        <f aca="false">2_Matriz_decision!F622/F$5</f>
        <v>0.0296434583364376</v>
      </c>
      <c r="G623" s="21" t="n">
        <f aca="false">2_Matriz_decision!G622/G$5</f>
        <v>0.0308362065165227</v>
      </c>
      <c r="H623" s="21" t="n">
        <f aca="false">2_Matriz_decision!H622/H$5</f>
        <v>0.0128089386344754</v>
      </c>
      <c r="I623" s="21" t="n">
        <f aca="false">2_Matriz_decision!I622/I$5</f>
        <v>0.0148184741491462</v>
      </c>
      <c r="J623" s="21" t="n">
        <f aca="false">2_Matriz_decision!J622/J$5</f>
        <v>0.0351992440847949</v>
      </c>
      <c r="K623" s="21" t="n">
        <f aca="false">2_Matriz_decision!K622/K$5</f>
        <v>0.039014903418414</v>
      </c>
      <c r="L623" s="21" t="n">
        <f aca="false">2_Matriz_decision!L622/L$5</f>
        <v>0.0512525216341302</v>
      </c>
      <c r="M623" s="21" t="n">
        <f aca="false">2_Matriz_decision!M622/M$5</f>
        <v>0.0314285733019529</v>
      </c>
      <c r="N623" s="21" t="n">
        <f aca="false">2_Matriz_decision!N622/N$5</f>
        <v>0.0560490217345168</v>
      </c>
      <c r="O623" s="21" t="n">
        <f aca="false">2_Matriz_decision!O622/O$5</f>
        <v>0.0304431282773992</v>
      </c>
      <c r="P623" s="21" t="n">
        <f aca="false">2_Matriz_decision!P622/P$5</f>
        <v>0.0529441535179372</v>
      </c>
      <c r="Q623" s="21" t="n">
        <f aca="false">2_Matriz_decision!Q622/Q$5</f>
        <v>0.066946942810462</v>
      </c>
    </row>
    <row r="624" customFormat="false" ht="15" hidden="false" customHeight="false" outlineLevel="0" collapsed="false">
      <c r="A624" s="15" t="n">
        <f aca="false">2_Matriz_decision!A623</f>
        <v>619</v>
      </c>
      <c r="B624" s="16" t="n">
        <f aca="false">2_Matriz_decision!B623</f>
        <v>62.021</v>
      </c>
      <c r="C624" s="21" t="n">
        <f aca="false">2_Matriz_decision!C623/C$5</f>
        <v>0.0351757961231539</v>
      </c>
      <c r="D624" s="21" t="n">
        <f aca="false">2_Matriz_decision!D623/D$5</f>
        <v>0.0334918645582358</v>
      </c>
      <c r="E624" s="21" t="n">
        <f aca="false">2_Matriz_decision!E623/E$5</f>
        <v>0.0400721949850431</v>
      </c>
      <c r="F624" s="21" t="n">
        <f aca="false">2_Matriz_decision!F623/F$5</f>
        <v>0.0395246111152501</v>
      </c>
      <c r="G624" s="21" t="n">
        <f aca="false">2_Matriz_decision!G623/G$5</f>
        <v>0.0411149420220302</v>
      </c>
      <c r="H624" s="21" t="n">
        <f aca="false">2_Matriz_decision!H623/H$5</f>
        <v>0.0128089386344754</v>
      </c>
      <c r="I624" s="21" t="n">
        <f aca="false">2_Matriz_decision!I623/I$5</f>
        <v>0.0148184741491462</v>
      </c>
      <c r="J624" s="21" t="n">
        <f aca="false">2_Matriz_decision!J623/J$5</f>
        <v>0.0351992440847949</v>
      </c>
      <c r="K624" s="21" t="n">
        <f aca="false">2_Matriz_decision!K623/K$5</f>
        <v>0.039014903418414</v>
      </c>
      <c r="L624" s="21" t="n">
        <f aca="false">2_Matriz_decision!L623/L$5</f>
        <v>0.0517472629074051</v>
      </c>
      <c r="M624" s="21" t="n">
        <f aca="false">2_Matriz_decision!M623/M$5</f>
        <v>0.0292854649643154</v>
      </c>
      <c r="N624" s="21" t="n">
        <f aca="false">2_Matriz_decision!N623/N$5</f>
        <v>0.0560490217345168</v>
      </c>
      <c r="O624" s="21" t="n">
        <f aca="false">2_Matriz_decision!O623/O$5</f>
        <v>0.0304431282773992</v>
      </c>
      <c r="P624" s="21" t="n">
        <f aca="false">2_Matriz_decision!P623/P$5</f>
        <v>0.0529441535179372</v>
      </c>
      <c r="Q624" s="21" t="n">
        <f aca="false">2_Matriz_decision!Q623/Q$5</f>
        <v>0.066946942810462</v>
      </c>
    </row>
    <row r="625" customFormat="false" ht="15" hidden="false" customHeight="false" outlineLevel="0" collapsed="false">
      <c r="A625" s="15" t="n">
        <f aca="false">2_Matriz_decision!A624</f>
        <v>620</v>
      </c>
      <c r="B625" s="16" t="n">
        <f aca="false">2_Matriz_decision!B624</f>
        <v>62.115</v>
      </c>
      <c r="C625" s="21" t="n">
        <f aca="false">2_Matriz_decision!C624/C$5</f>
        <v>0.0351757961231539</v>
      </c>
      <c r="D625" s="21" t="n">
        <f aca="false">2_Matriz_decision!D624/D$5</f>
        <v>0.0334918645582358</v>
      </c>
      <c r="E625" s="21" t="n">
        <f aca="false">2_Matriz_decision!E624/E$5</f>
        <v>0.0400721949850431</v>
      </c>
      <c r="F625" s="21" t="n">
        <f aca="false">2_Matriz_decision!F624/F$5</f>
        <v>0.0395246111152501</v>
      </c>
      <c r="G625" s="21" t="n">
        <f aca="false">2_Matriz_decision!G624/G$5</f>
        <v>0.0411149420220302</v>
      </c>
      <c r="H625" s="21" t="n">
        <f aca="false">2_Matriz_decision!H624/H$5</f>
        <v>0.0128089386344754</v>
      </c>
      <c r="I625" s="21" t="n">
        <f aca="false">2_Matriz_decision!I624/I$5</f>
        <v>0.0296369482982925</v>
      </c>
      <c r="J625" s="21" t="n">
        <f aca="false">2_Matriz_decision!J624/J$5</f>
        <v>0.0351992440847949</v>
      </c>
      <c r="K625" s="21" t="n">
        <f aca="false">2_Matriz_decision!K624/K$5</f>
        <v>0.039014903418414</v>
      </c>
      <c r="L625" s="21" t="n">
        <f aca="false">2_Matriz_decision!L624/L$5</f>
        <v>0.0517071487501125</v>
      </c>
      <c r="M625" s="21" t="n">
        <f aca="false">2_Matriz_decision!M624/M$5</f>
        <v>0.0290203381596592</v>
      </c>
      <c r="N625" s="21" t="n">
        <f aca="false">2_Matriz_decision!N624/N$5</f>
        <v>0.0560490217345168</v>
      </c>
      <c r="O625" s="21" t="n">
        <f aca="false">2_Matriz_decision!O624/O$5</f>
        <v>0.0304431282773992</v>
      </c>
      <c r="P625" s="21" t="n">
        <f aca="false">2_Matriz_decision!P624/P$5</f>
        <v>0.0529441535179372</v>
      </c>
      <c r="Q625" s="21" t="n">
        <f aca="false">2_Matriz_decision!Q624/Q$5</f>
        <v>0.066946942810462</v>
      </c>
    </row>
    <row r="626" customFormat="false" ht="15" hidden="false" customHeight="false" outlineLevel="0" collapsed="false">
      <c r="A626" s="15" t="n">
        <f aca="false">2_Matriz_decision!A625</f>
        <v>621</v>
      </c>
      <c r="B626" s="16" t="n">
        <f aca="false">2_Matriz_decision!B625</f>
        <v>62.208</v>
      </c>
      <c r="C626" s="21" t="n">
        <f aca="false">2_Matriz_decision!C625/C$5</f>
        <v>0.0351757961231539</v>
      </c>
      <c r="D626" s="21" t="n">
        <f aca="false">2_Matriz_decision!D625/D$5</f>
        <v>0.0334918645582358</v>
      </c>
      <c r="E626" s="21" t="n">
        <f aca="false">2_Matriz_decision!E625/E$5</f>
        <v>0.0400721949850431</v>
      </c>
      <c r="F626" s="21" t="n">
        <f aca="false">2_Matriz_decision!F625/F$5</f>
        <v>0.0494057638940627</v>
      </c>
      <c r="G626" s="21" t="n">
        <f aca="false">2_Matriz_decision!G625/G$5</f>
        <v>0.0411149420220302</v>
      </c>
      <c r="H626" s="21" t="n">
        <f aca="false">2_Matriz_decision!H625/H$5</f>
        <v>0.0128089386344754</v>
      </c>
      <c r="I626" s="21" t="n">
        <f aca="false">2_Matriz_decision!I625/I$5</f>
        <v>0.0148184741491462</v>
      </c>
      <c r="J626" s="21" t="n">
        <f aca="false">2_Matriz_decision!J625/J$5</f>
        <v>0.0351992440847949</v>
      </c>
      <c r="K626" s="21" t="n">
        <f aca="false">2_Matriz_decision!K625/K$5</f>
        <v>0.039014903418414</v>
      </c>
      <c r="L626" s="21" t="n">
        <f aca="false">2_Matriz_decision!L625/L$5</f>
        <v>0.0509048656042613</v>
      </c>
      <c r="M626" s="21" t="n">
        <f aca="false">2_Matriz_decision!M625/M$5</f>
        <v>0.028766258305197</v>
      </c>
      <c r="N626" s="21" t="n">
        <f aca="false">2_Matriz_decision!N625/N$5</f>
        <v>0.0560490217345168</v>
      </c>
      <c r="O626" s="21" t="n">
        <f aca="false">2_Matriz_decision!O625/O$5</f>
        <v>0.0304431282773992</v>
      </c>
      <c r="P626" s="21" t="n">
        <f aca="false">2_Matriz_decision!P625/P$5</f>
        <v>0.0529441535179372</v>
      </c>
      <c r="Q626" s="21" t="n">
        <f aca="false">2_Matriz_decision!Q625/Q$5</f>
        <v>0.066946942810462</v>
      </c>
    </row>
    <row r="627" customFormat="false" ht="15" hidden="false" customHeight="false" outlineLevel="0" collapsed="false">
      <c r="A627" s="15" t="n">
        <f aca="false">2_Matriz_decision!A626</f>
        <v>622</v>
      </c>
      <c r="B627" s="16" t="n">
        <f aca="false">2_Matriz_decision!B626</f>
        <v>62.299</v>
      </c>
      <c r="C627" s="21" t="n">
        <f aca="false">2_Matriz_decision!C626/C$5</f>
        <v>0.0351757961231539</v>
      </c>
      <c r="D627" s="21" t="n">
        <f aca="false">2_Matriz_decision!D626/D$5</f>
        <v>0.0334918645582358</v>
      </c>
      <c r="E627" s="21" t="n">
        <f aca="false">2_Matriz_decision!E626/E$5</f>
        <v>0.0400721949850431</v>
      </c>
      <c r="F627" s="21" t="n">
        <f aca="false">2_Matriz_decision!F626/F$5</f>
        <v>0.0395246111152501</v>
      </c>
      <c r="G627" s="21" t="n">
        <f aca="false">2_Matriz_decision!G626/G$5</f>
        <v>0.0411149420220302</v>
      </c>
      <c r="H627" s="21" t="n">
        <f aca="false">2_Matriz_decision!H626/H$5</f>
        <v>0.0128089386344754</v>
      </c>
      <c r="I627" s="21" t="n">
        <f aca="false">2_Matriz_decision!I626/I$5</f>
        <v>0.0148184741491462</v>
      </c>
      <c r="J627" s="21" t="n">
        <f aca="false">2_Matriz_decision!J626/J$5</f>
        <v>0.0351992440847949</v>
      </c>
      <c r="K627" s="21" t="n">
        <f aca="false">2_Matriz_decision!K626/K$5</f>
        <v>0.039014903418414</v>
      </c>
      <c r="L627" s="21" t="n">
        <f aca="false">2_Matriz_decision!L626/L$5</f>
        <v>0.0504769812598073</v>
      </c>
      <c r="M627" s="21" t="n">
        <f aca="false">2_Matriz_decision!M626/M$5</f>
        <v>0.0277388919371542</v>
      </c>
      <c r="N627" s="21" t="n">
        <f aca="false">2_Matriz_decision!N626/N$5</f>
        <v>0.0560490217345168</v>
      </c>
      <c r="O627" s="21" t="n">
        <f aca="false">2_Matriz_decision!O626/O$5</f>
        <v>0.0304431282773992</v>
      </c>
      <c r="P627" s="21" t="n">
        <f aca="false">2_Matriz_decision!P626/P$5</f>
        <v>0.0529441535179372</v>
      </c>
      <c r="Q627" s="21" t="n">
        <f aca="false">2_Matriz_decision!Q626/Q$5</f>
        <v>0.0535575542483696</v>
      </c>
    </row>
    <row r="628" customFormat="false" ht="15" hidden="false" customHeight="false" outlineLevel="0" collapsed="false">
      <c r="A628" s="15" t="n">
        <f aca="false">2_Matriz_decision!A627</f>
        <v>623</v>
      </c>
      <c r="B628" s="16" t="n">
        <f aca="false">2_Matriz_decision!B627</f>
        <v>62.388</v>
      </c>
      <c r="C628" s="21" t="n">
        <f aca="false">2_Matriz_decision!C627/C$5</f>
        <v>0.0439697451539424</v>
      </c>
      <c r="D628" s="21" t="n">
        <f aca="false">2_Matriz_decision!D627/D$5</f>
        <v>0.0334918645582358</v>
      </c>
      <c r="E628" s="21" t="n">
        <f aca="false">2_Matriz_decision!E627/E$5</f>
        <v>0.0400721949850431</v>
      </c>
      <c r="F628" s="21" t="n">
        <f aca="false">2_Matriz_decision!F627/F$5</f>
        <v>0.0395246111152501</v>
      </c>
      <c r="G628" s="21" t="n">
        <f aca="false">2_Matriz_decision!G627/G$5</f>
        <v>0.0411149420220302</v>
      </c>
      <c r="H628" s="21" t="n">
        <f aca="false">2_Matriz_decision!H627/H$5</f>
        <v>0.0128089386344754</v>
      </c>
      <c r="I628" s="21" t="n">
        <f aca="false">2_Matriz_decision!I627/I$5</f>
        <v>0.0296369482982925</v>
      </c>
      <c r="J628" s="21" t="n">
        <f aca="false">2_Matriz_decision!J627/J$5</f>
        <v>0.0351992440847949</v>
      </c>
      <c r="K628" s="21" t="n">
        <f aca="false">2_Matriz_decision!K627/K$5</f>
        <v>0.039014903418414</v>
      </c>
      <c r="L628" s="21" t="n">
        <f aca="false">2_Matriz_decision!L627/L$5</f>
        <v>0.0485782444812927</v>
      </c>
      <c r="M628" s="21" t="n">
        <f aca="false">2_Matriz_decision!M627/M$5</f>
        <v>0.027385389530946</v>
      </c>
      <c r="N628" s="21" t="n">
        <f aca="false">2_Matriz_decision!N627/N$5</f>
        <v>0.0560490217345168</v>
      </c>
      <c r="O628" s="21" t="n">
        <f aca="false">2_Matriz_decision!O627/O$5</f>
        <v>0.0304431282773992</v>
      </c>
      <c r="P628" s="21" t="n">
        <f aca="false">2_Matriz_decision!P627/P$5</f>
        <v>0.0529441535179372</v>
      </c>
      <c r="Q628" s="21" t="n">
        <f aca="false">2_Matriz_decision!Q627/Q$5</f>
        <v>0.0535575542483696</v>
      </c>
    </row>
    <row r="629" customFormat="false" ht="15" hidden="false" customHeight="false" outlineLevel="0" collapsed="false">
      <c r="A629" s="15" t="n">
        <f aca="false">2_Matriz_decision!A628</f>
        <v>624</v>
      </c>
      <c r="B629" s="16" t="n">
        <f aca="false">2_Matriz_decision!B628</f>
        <v>62.474</v>
      </c>
      <c r="C629" s="21" t="n">
        <f aca="false">2_Matriz_decision!C628/C$5</f>
        <v>0.0351757961231539</v>
      </c>
      <c r="D629" s="21" t="n">
        <f aca="false">2_Matriz_decision!D628/D$5</f>
        <v>0.0334918645582358</v>
      </c>
      <c r="E629" s="21" t="n">
        <f aca="false">2_Matriz_decision!E628/E$5</f>
        <v>0.0400721949850431</v>
      </c>
      <c r="F629" s="21" t="n">
        <f aca="false">2_Matriz_decision!F628/F$5</f>
        <v>0.0395246111152501</v>
      </c>
      <c r="G629" s="21" t="n">
        <f aca="false">2_Matriz_decision!G628/G$5</f>
        <v>0.0308362065165227</v>
      </c>
      <c r="H629" s="21" t="n">
        <f aca="false">2_Matriz_decision!H628/H$5</f>
        <v>0.0128089386344754</v>
      </c>
      <c r="I629" s="21" t="n">
        <f aca="false">2_Matriz_decision!I628/I$5</f>
        <v>0.0148184741491462</v>
      </c>
      <c r="J629" s="21" t="n">
        <f aca="false">2_Matriz_decision!J628/J$5</f>
        <v>0.0351992440847949</v>
      </c>
      <c r="K629" s="21" t="n">
        <f aca="false">2_Matriz_decision!K628/K$5</f>
        <v>0.039014903418414</v>
      </c>
      <c r="L629" s="21" t="n">
        <f aca="false">2_Matriz_decision!L628/L$5</f>
        <v>0.0467329932458348</v>
      </c>
      <c r="M629" s="21" t="n">
        <f aca="false">2_Matriz_decision!M628/M$5</f>
        <v>0.0285563662515108</v>
      </c>
      <c r="N629" s="21" t="n">
        <f aca="false">2_Matriz_decision!N628/N$5</f>
        <v>0.0560490217345168</v>
      </c>
      <c r="O629" s="21" t="n">
        <f aca="false">2_Matriz_decision!O628/O$5</f>
        <v>0.0304431282773992</v>
      </c>
      <c r="P629" s="21" t="n">
        <f aca="false">2_Matriz_decision!P628/P$5</f>
        <v>0.0529441535179372</v>
      </c>
      <c r="Q629" s="21" t="n">
        <f aca="false">2_Matriz_decision!Q628/Q$5</f>
        <v>0.0535575542483696</v>
      </c>
    </row>
    <row r="630" customFormat="false" ht="15" hidden="false" customHeight="false" outlineLevel="0" collapsed="false">
      <c r="A630" s="15" t="n">
        <f aca="false">2_Matriz_decision!A629</f>
        <v>625</v>
      </c>
      <c r="B630" s="16" t="n">
        <f aca="false">2_Matriz_decision!B629</f>
        <v>62.562</v>
      </c>
      <c r="C630" s="21" t="n">
        <f aca="false">2_Matriz_decision!C629/C$5</f>
        <v>0.0439697451539424</v>
      </c>
      <c r="D630" s="21" t="n">
        <f aca="false">2_Matriz_decision!D629/D$5</f>
        <v>0.0334918645582358</v>
      </c>
      <c r="E630" s="21" t="n">
        <f aca="false">2_Matriz_decision!E629/E$5</f>
        <v>0.0400721949850431</v>
      </c>
      <c r="F630" s="21" t="n">
        <f aca="false">2_Matriz_decision!F629/F$5</f>
        <v>0.0395246111152501</v>
      </c>
      <c r="G630" s="21" t="n">
        <f aca="false">2_Matriz_decision!G629/G$5</f>
        <v>0.0308362065165227</v>
      </c>
      <c r="H630" s="21" t="n">
        <f aca="false">2_Matriz_decision!H629/H$5</f>
        <v>0.0128089386344754</v>
      </c>
      <c r="I630" s="21" t="n">
        <f aca="false">2_Matriz_decision!I629/I$5</f>
        <v>0.0148184741491462</v>
      </c>
      <c r="J630" s="21" t="n">
        <f aca="false">2_Matriz_decision!J629/J$5</f>
        <v>0.0351992440847949</v>
      </c>
      <c r="K630" s="21" t="n">
        <f aca="false">2_Matriz_decision!K629/K$5</f>
        <v>0.039014903418414</v>
      </c>
      <c r="L630" s="21" t="n">
        <f aca="false">2_Matriz_decision!L629/L$5</f>
        <v>0.0398467295772783</v>
      </c>
      <c r="M630" s="21" t="n">
        <f aca="false">2_Matriz_decision!M629/M$5</f>
        <v>0.0323454701680556</v>
      </c>
      <c r="N630" s="21" t="n">
        <f aca="false">2_Matriz_decision!N629/N$5</f>
        <v>0.0560490217345168</v>
      </c>
      <c r="O630" s="21" t="n">
        <f aca="false">2_Matriz_decision!O629/O$5</f>
        <v>0.0304431282773992</v>
      </c>
      <c r="P630" s="21" t="n">
        <f aca="false">2_Matriz_decision!P629/P$5</f>
        <v>0.0529441535179372</v>
      </c>
      <c r="Q630" s="21" t="n">
        <f aca="false">2_Matriz_decision!Q629/Q$5</f>
        <v>0.0535575542483696</v>
      </c>
    </row>
    <row r="631" customFormat="false" ht="15" hidden="false" customHeight="false" outlineLevel="0" collapsed="false">
      <c r="A631" s="15" t="n">
        <f aca="false">2_Matriz_decision!A630</f>
        <v>626</v>
      </c>
      <c r="B631" s="16" t="n">
        <f aca="false">2_Matriz_decision!B630</f>
        <v>62.651</v>
      </c>
      <c r="C631" s="21" t="n">
        <f aca="false">2_Matriz_decision!C630/C$5</f>
        <v>0.0439697451539424</v>
      </c>
      <c r="D631" s="21" t="n">
        <f aca="false">2_Matriz_decision!D630/D$5</f>
        <v>0.0334918645582358</v>
      </c>
      <c r="E631" s="21" t="n">
        <f aca="false">2_Matriz_decision!E630/E$5</f>
        <v>0.0400721949850431</v>
      </c>
      <c r="F631" s="21" t="n">
        <f aca="false">2_Matriz_decision!F630/F$5</f>
        <v>0.0494057638940627</v>
      </c>
      <c r="G631" s="21" t="n">
        <f aca="false">2_Matriz_decision!G630/G$5</f>
        <v>0.0308362065165227</v>
      </c>
      <c r="H631" s="21" t="n">
        <f aca="false">2_Matriz_decision!H630/H$5</f>
        <v>0.0128089386344754</v>
      </c>
      <c r="I631" s="21" t="n">
        <f aca="false">2_Matriz_decision!I630/I$5</f>
        <v>0.0148184741491462</v>
      </c>
      <c r="J631" s="21" t="n">
        <f aca="false">2_Matriz_decision!J630/J$5</f>
        <v>0.0351992440847949</v>
      </c>
      <c r="K631" s="21" t="n">
        <f aca="false">2_Matriz_decision!K630/K$5</f>
        <v>0.039014903418414</v>
      </c>
      <c r="L631" s="21" t="n">
        <f aca="false">2_Matriz_decision!L630/L$5</f>
        <v>0.0478829324215549</v>
      </c>
      <c r="M631" s="21" t="n">
        <f aca="false">2_Matriz_decision!M630/M$5</f>
        <v>0.0293406997152854</v>
      </c>
      <c r="N631" s="21" t="n">
        <f aca="false">2_Matriz_decision!N630/N$5</f>
        <v>0.0560490217345168</v>
      </c>
      <c r="O631" s="21" t="n">
        <f aca="false">2_Matriz_decision!O630/O$5</f>
        <v>0.0304431282773992</v>
      </c>
      <c r="P631" s="21" t="n">
        <f aca="false">2_Matriz_decision!P630/P$5</f>
        <v>0.0529441535179372</v>
      </c>
      <c r="Q631" s="21" t="n">
        <f aca="false">2_Matriz_decision!Q630/Q$5</f>
        <v>0.0535575542483696</v>
      </c>
    </row>
    <row r="632" customFormat="false" ht="15" hidden="false" customHeight="false" outlineLevel="0" collapsed="false">
      <c r="A632" s="15" t="n">
        <f aca="false">2_Matriz_decision!A631</f>
        <v>627</v>
      </c>
      <c r="B632" s="16" t="n">
        <f aca="false">2_Matriz_decision!B631</f>
        <v>62.751</v>
      </c>
      <c r="C632" s="21" t="n">
        <f aca="false">2_Matriz_decision!C631/C$5</f>
        <v>0.0263818470923654</v>
      </c>
      <c r="D632" s="21" t="n">
        <f aca="false">2_Matriz_decision!D631/D$5</f>
        <v>0.0418648306977948</v>
      </c>
      <c r="E632" s="21" t="n">
        <f aca="false">2_Matriz_decision!E631/E$5</f>
        <v>0.0400721949850431</v>
      </c>
      <c r="F632" s="21" t="n">
        <f aca="false">2_Matriz_decision!F631/F$5</f>
        <v>0.0395246111152501</v>
      </c>
      <c r="G632" s="21" t="n">
        <f aca="false">2_Matriz_decision!G631/G$5</f>
        <v>0.0308362065165227</v>
      </c>
      <c r="H632" s="21" t="n">
        <f aca="false">2_Matriz_decision!H631/H$5</f>
        <v>0.0128089386344754</v>
      </c>
      <c r="I632" s="21" t="n">
        <f aca="false">2_Matriz_decision!I631/I$5</f>
        <v>0.0148184741491462</v>
      </c>
      <c r="J632" s="21" t="n">
        <f aca="false">2_Matriz_decision!J631/J$5</f>
        <v>0.0351992440847949</v>
      </c>
      <c r="K632" s="21" t="n">
        <f aca="false">2_Matriz_decision!K631/K$5</f>
        <v>0.039014903418414</v>
      </c>
      <c r="L632" s="21" t="n">
        <f aca="false">2_Matriz_decision!L631/L$5</f>
        <v>0.047174248976053</v>
      </c>
      <c r="M632" s="21" t="n">
        <f aca="false">2_Matriz_decision!M631/M$5</f>
        <v>0.0327321134248459</v>
      </c>
      <c r="N632" s="21" t="n">
        <f aca="false">2_Matriz_decision!N631/N$5</f>
        <v>0.0560490217345168</v>
      </c>
      <c r="O632" s="21" t="n">
        <f aca="false">2_Matriz_decision!O631/O$5</f>
        <v>0.0304431282773992</v>
      </c>
      <c r="P632" s="21" t="n">
        <f aca="false">2_Matriz_decision!P631/P$5</f>
        <v>0.0529441535179372</v>
      </c>
      <c r="Q632" s="21" t="n">
        <f aca="false">2_Matriz_decision!Q631/Q$5</f>
        <v>0.0401681656862772</v>
      </c>
    </row>
    <row r="633" customFormat="false" ht="15" hidden="false" customHeight="false" outlineLevel="0" collapsed="false">
      <c r="A633" s="15" t="n">
        <f aca="false">2_Matriz_decision!A632</f>
        <v>628</v>
      </c>
      <c r="B633" s="16" t="n">
        <f aca="false">2_Matriz_decision!B632</f>
        <v>62.898</v>
      </c>
      <c r="C633" s="21" t="n">
        <f aca="false">2_Matriz_decision!C632/C$5</f>
        <v>0.00879394903078847</v>
      </c>
      <c r="D633" s="21" t="n">
        <f aca="false">2_Matriz_decision!D632/D$5</f>
        <v>0.0418648306977948</v>
      </c>
      <c r="E633" s="21" t="n">
        <f aca="false">2_Matriz_decision!E632/E$5</f>
        <v>0.0400721949850431</v>
      </c>
      <c r="F633" s="21" t="n">
        <f aca="false">2_Matriz_decision!F632/F$5</f>
        <v>0.0395246111152501</v>
      </c>
      <c r="G633" s="21" t="n">
        <f aca="false">2_Matriz_decision!G632/G$5</f>
        <v>0.0205574710110151</v>
      </c>
      <c r="H633" s="21" t="n">
        <f aca="false">2_Matriz_decision!H632/H$5</f>
        <v>0.0128089386344754</v>
      </c>
      <c r="I633" s="21" t="n">
        <f aca="false">2_Matriz_decision!I632/I$5</f>
        <v>0.0148184741491462</v>
      </c>
      <c r="J633" s="21" t="n">
        <f aca="false">2_Matriz_decision!J632/J$5</f>
        <v>0.0351992440847949</v>
      </c>
      <c r="K633" s="21" t="n">
        <f aca="false">2_Matriz_decision!K632/K$5</f>
        <v>0.039014903418414</v>
      </c>
      <c r="L633" s="21" t="n">
        <f aca="false">2_Matriz_decision!L632/L$5</f>
        <v>0.0440587160929974</v>
      </c>
      <c r="M633" s="21" t="n">
        <f aca="false">2_Matriz_decision!M632/M$5</f>
        <v>0.0353060528200498</v>
      </c>
      <c r="N633" s="21" t="n">
        <f aca="false">2_Matriz_decision!N632/N$5</f>
        <v>0.0560490217345168</v>
      </c>
      <c r="O633" s="21" t="n">
        <f aca="false">2_Matriz_decision!O632/O$5</f>
        <v>0.0304431282773992</v>
      </c>
      <c r="P633" s="21" t="n">
        <f aca="false">2_Matriz_decision!P632/P$5</f>
        <v>0.0529441535179372</v>
      </c>
      <c r="Q633" s="21" t="n">
        <f aca="false">2_Matriz_decision!Q632/Q$5</f>
        <v>0.0267787771241848</v>
      </c>
    </row>
    <row r="634" customFormat="false" ht="15" hidden="false" customHeight="false" outlineLevel="0" collapsed="false">
      <c r="A634" s="15" t="n">
        <f aca="false">2_Matriz_decision!A633</f>
        <v>629</v>
      </c>
      <c r="B634" s="16" t="n">
        <f aca="false">2_Matriz_decision!B633</f>
        <v>63.01</v>
      </c>
      <c r="C634" s="21" t="n">
        <f aca="false">2_Matriz_decision!C633/C$5</f>
        <v>0.00879394903078847</v>
      </c>
      <c r="D634" s="21" t="n">
        <f aca="false">2_Matriz_decision!D633/D$5</f>
        <v>0.0418648306977948</v>
      </c>
      <c r="E634" s="21" t="n">
        <f aca="false">2_Matriz_decision!E633/E$5</f>
        <v>0.0400721949850431</v>
      </c>
      <c r="F634" s="21" t="n">
        <f aca="false">2_Matriz_decision!F633/F$5</f>
        <v>0.0395246111152501</v>
      </c>
      <c r="G634" s="21" t="n">
        <f aca="false">2_Matriz_decision!G633/G$5</f>
        <v>0.0205574710110151</v>
      </c>
      <c r="H634" s="21" t="n">
        <f aca="false">2_Matriz_decision!H633/H$5</f>
        <v>0.0128089386344754</v>
      </c>
      <c r="I634" s="21" t="n">
        <f aca="false">2_Matriz_decision!I633/I$5</f>
        <v>0.0148184741491462</v>
      </c>
      <c r="J634" s="21" t="n">
        <f aca="false">2_Matriz_decision!J633/J$5</f>
        <v>0.0351992440847949</v>
      </c>
      <c r="K634" s="21" t="n">
        <f aca="false">2_Matriz_decision!K633/K$5</f>
        <v>0.039014903418414</v>
      </c>
      <c r="L634" s="21" t="n">
        <f aca="false">2_Matriz_decision!L633/L$5</f>
        <v>0.051025208076139</v>
      </c>
      <c r="M634" s="21" t="n">
        <f aca="false">2_Matriz_decision!M633/M$5</f>
        <v>0.0391062036867885</v>
      </c>
      <c r="N634" s="21" t="n">
        <f aca="false">2_Matriz_decision!N633/N$5</f>
        <v>0.0560490217345168</v>
      </c>
      <c r="O634" s="21" t="n">
        <f aca="false">2_Matriz_decision!O633/O$5</f>
        <v>0.0608862565547983</v>
      </c>
      <c r="P634" s="21" t="n">
        <f aca="false">2_Matriz_decision!P633/P$5</f>
        <v>0.0529441535179372</v>
      </c>
      <c r="Q634" s="21" t="n">
        <f aca="false">2_Matriz_decision!Q633/Q$5</f>
        <v>0.0267787771241848</v>
      </c>
    </row>
    <row r="635" customFormat="false" ht="15" hidden="false" customHeight="false" outlineLevel="0" collapsed="false">
      <c r="A635" s="15" t="n">
        <f aca="false">2_Matriz_decision!A634</f>
        <v>630</v>
      </c>
      <c r="B635" s="16" t="n">
        <f aca="false">2_Matriz_decision!B634</f>
        <v>63.127</v>
      </c>
      <c r="C635" s="21" t="n">
        <f aca="false">2_Matriz_decision!C634/C$5</f>
        <v>0.00879394903078847</v>
      </c>
      <c r="D635" s="21" t="n">
        <f aca="false">2_Matriz_decision!D634/D$5</f>
        <v>0.0418648306977948</v>
      </c>
      <c r="E635" s="21" t="n">
        <f aca="false">2_Matriz_decision!E634/E$5</f>
        <v>0.0300541462387823</v>
      </c>
      <c r="F635" s="21" t="n">
        <f aca="false">2_Matriz_decision!F634/F$5</f>
        <v>0.0395246111152501</v>
      </c>
      <c r="G635" s="21" t="n">
        <f aca="false">2_Matriz_decision!G634/G$5</f>
        <v>0.0205574710110151</v>
      </c>
      <c r="H635" s="21" t="n">
        <f aca="false">2_Matriz_decision!H634/H$5</f>
        <v>0.0128089386344754</v>
      </c>
      <c r="I635" s="21" t="n">
        <f aca="false">2_Matriz_decision!I634/I$5</f>
        <v>0.0148184741491462</v>
      </c>
      <c r="J635" s="21" t="n">
        <f aca="false">2_Matriz_decision!J634/J$5</f>
        <v>0.0351992440847949</v>
      </c>
      <c r="K635" s="21" t="n">
        <f aca="false">2_Matriz_decision!K634/K$5</f>
        <v>0.039014903418414</v>
      </c>
      <c r="L635" s="21" t="n">
        <f aca="false">2_Matriz_decision!L634/L$5</f>
        <v>0.0567882753405037</v>
      </c>
      <c r="M635" s="21" t="n">
        <f aca="false">2_Matriz_decision!M634/M$5</f>
        <v>0.04109465472171</v>
      </c>
      <c r="N635" s="21" t="n">
        <f aca="false">2_Matriz_decision!N634/N$5</f>
        <v>0.0560490217345168</v>
      </c>
      <c r="O635" s="21" t="n">
        <f aca="false">2_Matriz_decision!O634/O$5</f>
        <v>0.0608862565547983</v>
      </c>
      <c r="P635" s="21" t="n">
        <f aca="false">2_Matriz_decision!P634/P$5</f>
        <v>0.0529441535179372</v>
      </c>
      <c r="Q635" s="21" t="n">
        <f aca="false">2_Matriz_decision!Q634/Q$5</f>
        <v>0.0267787771241848</v>
      </c>
    </row>
    <row r="636" customFormat="false" ht="15" hidden="false" customHeight="false" outlineLevel="0" collapsed="false">
      <c r="A636" s="15" t="n">
        <f aca="false">2_Matriz_decision!A635</f>
        <v>631</v>
      </c>
      <c r="B636" s="16" t="n">
        <f aca="false">2_Matriz_decision!B635</f>
        <v>63.244</v>
      </c>
      <c r="C636" s="21" t="n">
        <f aca="false">2_Matriz_decision!C635/C$5</f>
        <v>0.00879394903078847</v>
      </c>
      <c r="D636" s="21" t="n">
        <f aca="false">2_Matriz_decision!D635/D$5</f>
        <v>0.0418648306977948</v>
      </c>
      <c r="E636" s="21" t="n">
        <f aca="false">2_Matriz_decision!E635/E$5</f>
        <v>0.0300541462387823</v>
      </c>
      <c r="F636" s="21" t="n">
        <f aca="false">2_Matriz_decision!F635/F$5</f>
        <v>0.0395246111152501</v>
      </c>
      <c r="G636" s="21" t="n">
        <f aca="false">2_Matriz_decision!G635/G$5</f>
        <v>0.0205574710110151</v>
      </c>
      <c r="H636" s="21" t="n">
        <f aca="false">2_Matriz_decision!H635/H$5</f>
        <v>0.0128089386344754</v>
      </c>
      <c r="I636" s="21" t="n">
        <f aca="false">2_Matriz_decision!I635/I$5</f>
        <v>0.0148184741491462</v>
      </c>
      <c r="J636" s="21" t="n">
        <f aca="false">2_Matriz_decision!J635/J$5</f>
        <v>0.0351992440847949</v>
      </c>
      <c r="K636" s="21" t="n">
        <f aca="false">2_Matriz_decision!K635/K$5</f>
        <v>0.039014903418414</v>
      </c>
      <c r="L636" s="21" t="n">
        <f aca="false">2_Matriz_decision!L635/L$5</f>
        <v>0.0568016467262679</v>
      </c>
      <c r="M636" s="21" t="n">
        <f aca="false">2_Matriz_decision!M635/M$5</f>
        <v>0.0444639745308824</v>
      </c>
      <c r="N636" s="21" t="n">
        <f aca="false">2_Matriz_decision!N635/N$5</f>
        <v>0.0560490217345168</v>
      </c>
      <c r="O636" s="21" t="n">
        <f aca="false">2_Matriz_decision!O635/O$5</f>
        <v>0.0608862565547983</v>
      </c>
      <c r="P636" s="21" t="n">
        <f aca="false">2_Matriz_decision!P635/P$5</f>
        <v>0.0529441535179372</v>
      </c>
      <c r="Q636" s="21" t="n">
        <f aca="false">2_Matriz_decision!Q635/Q$5</f>
        <v>0.0133893885620924</v>
      </c>
    </row>
    <row r="637" customFormat="false" ht="15" hidden="false" customHeight="false" outlineLevel="0" collapsed="false">
      <c r="A637" s="15" t="n">
        <f aca="false">2_Matriz_decision!A636</f>
        <v>632</v>
      </c>
      <c r="B637" s="16" t="n">
        <f aca="false">2_Matriz_decision!B636</f>
        <v>63.359</v>
      </c>
      <c r="C637" s="21" t="n">
        <f aca="false">2_Matriz_decision!C636/C$5</f>
        <v>0.00879394903078847</v>
      </c>
      <c r="D637" s="21" t="n">
        <f aca="false">2_Matriz_decision!D636/D$5</f>
        <v>0.0418648306977948</v>
      </c>
      <c r="E637" s="21" t="n">
        <f aca="false">2_Matriz_decision!E636/E$5</f>
        <v>0.0300541462387823</v>
      </c>
      <c r="F637" s="21" t="n">
        <f aca="false">2_Matriz_decision!F636/F$5</f>
        <v>0.0395246111152501</v>
      </c>
      <c r="G637" s="21" t="n">
        <f aca="false">2_Matriz_decision!G636/G$5</f>
        <v>0.0205574710110151</v>
      </c>
      <c r="H637" s="21" t="n">
        <f aca="false">2_Matriz_decision!H636/H$5</f>
        <v>0.0128089386344754</v>
      </c>
      <c r="I637" s="21" t="n">
        <f aca="false">2_Matriz_decision!I636/I$5</f>
        <v>0.0148184741491462</v>
      </c>
      <c r="J637" s="21" t="n">
        <f aca="false">2_Matriz_decision!J636/J$5</f>
        <v>0.0351992440847949</v>
      </c>
      <c r="K637" s="21" t="n">
        <f aca="false">2_Matriz_decision!K636/K$5</f>
        <v>0.039014903418414</v>
      </c>
      <c r="L637" s="21" t="n">
        <f aca="false">2_Matriz_decision!L636/L$5</f>
        <v>0.0565743331682767</v>
      </c>
      <c r="M637" s="21" t="n">
        <f aca="false">2_Matriz_decision!M636/M$5</f>
        <v>0.0476896839875328</v>
      </c>
      <c r="N637" s="21" t="n">
        <f aca="false">2_Matriz_decision!N636/N$5</f>
        <v>0.0560490217345168</v>
      </c>
      <c r="O637" s="21" t="n">
        <f aca="false">2_Matriz_decision!O636/O$5</f>
        <v>0.0913293848321975</v>
      </c>
      <c r="P637" s="21" t="n">
        <f aca="false">2_Matriz_decision!P636/P$5</f>
        <v>0.0529441535179372</v>
      </c>
      <c r="Q637" s="21" t="n">
        <f aca="false">2_Matriz_decision!Q636/Q$5</f>
        <v>0.0267787771241848</v>
      </c>
    </row>
    <row r="638" customFormat="false" ht="15" hidden="false" customHeight="false" outlineLevel="0" collapsed="false">
      <c r="A638" s="15" t="n">
        <f aca="false">2_Matriz_decision!A637</f>
        <v>633</v>
      </c>
      <c r="B638" s="16" t="n">
        <f aca="false">2_Matriz_decision!B637</f>
        <v>63.47</v>
      </c>
      <c r="C638" s="21" t="n">
        <f aca="false">2_Matriz_decision!C637/C$5</f>
        <v>0.00879394903078847</v>
      </c>
      <c r="D638" s="21" t="n">
        <f aca="false">2_Matriz_decision!D637/D$5</f>
        <v>0.0418648306977948</v>
      </c>
      <c r="E638" s="21" t="n">
        <f aca="false">2_Matriz_decision!E637/E$5</f>
        <v>0.0300541462387823</v>
      </c>
      <c r="F638" s="21" t="n">
        <f aca="false">2_Matriz_decision!F637/F$5</f>
        <v>0.0395246111152501</v>
      </c>
      <c r="G638" s="21" t="n">
        <f aca="false">2_Matriz_decision!G637/G$5</f>
        <v>0.0308362065165227</v>
      </c>
      <c r="H638" s="21" t="n">
        <f aca="false">2_Matriz_decision!H637/H$5</f>
        <v>0.0128089386344754</v>
      </c>
      <c r="I638" s="21" t="n">
        <f aca="false">2_Matriz_decision!I637/I$5</f>
        <v>0.0148184741491462</v>
      </c>
      <c r="J638" s="21" t="n">
        <f aca="false">2_Matriz_decision!J637/J$5</f>
        <v>0.0351992440847949</v>
      </c>
      <c r="K638" s="21" t="n">
        <f aca="false">2_Matriz_decision!K637/K$5</f>
        <v>0.039014903418414</v>
      </c>
      <c r="L638" s="21" t="n">
        <f aca="false">2_Matriz_decision!L637/L$5</f>
        <v>0.0619897444027726</v>
      </c>
      <c r="M638" s="21" t="n">
        <f aca="false">2_Matriz_decision!M637/M$5</f>
        <v>0.0538649291459833</v>
      </c>
      <c r="N638" s="21" t="n">
        <f aca="false">2_Matriz_decision!N637/N$5</f>
        <v>0.0560490217345168</v>
      </c>
      <c r="O638" s="21" t="n">
        <f aca="false">2_Matriz_decision!O637/O$5</f>
        <v>0.121772513109597</v>
      </c>
      <c r="P638" s="21" t="n">
        <f aca="false">2_Matriz_decision!P637/P$5</f>
        <v>0.0529441535179372</v>
      </c>
      <c r="Q638" s="21" t="n">
        <f aca="false">2_Matriz_decision!Q637/Q$5</f>
        <v>0.0133893885620924</v>
      </c>
    </row>
    <row r="639" customFormat="false" ht="15" hidden="false" customHeight="false" outlineLevel="0" collapsed="false">
      <c r="A639" s="15" t="n">
        <f aca="false">2_Matriz_decision!A638</f>
        <v>634</v>
      </c>
      <c r="B639" s="16" t="n">
        <f aca="false">2_Matriz_decision!B638</f>
        <v>63.576</v>
      </c>
      <c r="C639" s="21" t="n">
        <f aca="false">2_Matriz_decision!C638/C$5</f>
        <v>0.00879394903078847</v>
      </c>
      <c r="D639" s="21" t="n">
        <f aca="false">2_Matriz_decision!D638/D$5</f>
        <v>0.0418648306977948</v>
      </c>
      <c r="E639" s="21" t="n">
        <f aca="false">2_Matriz_decision!E638/E$5</f>
        <v>0.0300541462387823</v>
      </c>
      <c r="F639" s="21" t="n">
        <f aca="false">2_Matriz_decision!F638/F$5</f>
        <v>0.0395246111152501</v>
      </c>
      <c r="G639" s="21" t="n">
        <f aca="false">2_Matriz_decision!G638/G$5</f>
        <v>0.0308362065165227</v>
      </c>
      <c r="H639" s="21" t="n">
        <f aca="false">2_Matriz_decision!H638/H$5</f>
        <v>0.0128089386344754</v>
      </c>
      <c r="I639" s="21" t="n">
        <f aca="false">2_Matriz_decision!I638/I$5</f>
        <v>0.0148184741491462</v>
      </c>
      <c r="J639" s="21" t="n">
        <f aca="false">2_Matriz_decision!J638/J$5</f>
        <v>0.0351992440847949</v>
      </c>
      <c r="K639" s="21" t="n">
        <f aca="false">2_Matriz_decision!K638/K$5</f>
        <v>0.039014903418414</v>
      </c>
      <c r="L639" s="21" t="n">
        <f aca="false">2_Matriz_decision!L638/L$5</f>
        <v>0.061160718485393</v>
      </c>
      <c r="M639" s="21" t="n">
        <f aca="false">2_Matriz_decision!M638/M$5</f>
        <v>0.0537213187934612</v>
      </c>
      <c r="N639" s="21" t="n">
        <f aca="false">2_Matriz_decision!N638/N$5</f>
        <v>0.0560490217345168</v>
      </c>
      <c r="O639" s="21" t="n">
        <f aca="false">2_Matriz_decision!O638/O$5</f>
        <v>0.121772513109597</v>
      </c>
      <c r="P639" s="21" t="n">
        <f aca="false">2_Matriz_decision!P638/P$5</f>
        <v>0.0529441535179372</v>
      </c>
      <c r="Q639" s="21" t="n">
        <f aca="false">2_Matriz_decision!Q638/Q$5</f>
        <v>0.0133893885620924</v>
      </c>
    </row>
    <row r="640" customFormat="false" ht="15" hidden="false" customHeight="false" outlineLevel="0" collapsed="false">
      <c r="A640" s="15" t="n">
        <f aca="false">2_Matriz_decision!A639</f>
        <v>635</v>
      </c>
      <c r="B640" s="16" t="n">
        <f aca="false">2_Matriz_decision!B639</f>
        <v>63.684</v>
      </c>
      <c r="C640" s="21" t="n">
        <f aca="false">2_Matriz_decision!C639/C$5</f>
        <v>0.00879394903078847</v>
      </c>
      <c r="D640" s="21" t="n">
        <f aca="false">2_Matriz_decision!D639/D$5</f>
        <v>0.0418648306977948</v>
      </c>
      <c r="E640" s="21" t="n">
        <f aca="false">2_Matriz_decision!E639/E$5</f>
        <v>0.0200360974925215</v>
      </c>
      <c r="F640" s="21" t="n">
        <f aca="false">2_Matriz_decision!F639/F$5</f>
        <v>0.0197623055576251</v>
      </c>
      <c r="G640" s="21" t="n">
        <f aca="false">2_Matriz_decision!G639/G$5</f>
        <v>0.0411149420220302</v>
      </c>
      <c r="H640" s="21" t="n">
        <f aca="false">2_Matriz_decision!H639/H$5</f>
        <v>0.0128089386344754</v>
      </c>
      <c r="I640" s="21" t="n">
        <f aca="false">2_Matriz_decision!I639/I$5</f>
        <v>0.0296369482982925</v>
      </c>
      <c r="J640" s="21" t="n">
        <f aca="false">2_Matriz_decision!J639/J$5</f>
        <v>0.0351992440847949</v>
      </c>
      <c r="K640" s="21" t="n">
        <f aca="false">2_Matriz_decision!K639/K$5</f>
        <v>0.039014903418414</v>
      </c>
      <c r="L640" s="21" t="n">
        <f aca="false">2_Matriz_decision!L639/L$5</f>
        <v>0.0537930849293257</v>
      </c>
      <c r="M640" s="21" t="n">
        <f aca="false">2_Matriz_decision!M639/M$5</f>
        <v>0.0475460736350107</v>
      </c>
      <c r="N640" s="21" t="n">
        <f aca="false">2_Matriz_decision!N639/N$5</f>
        <v>0.0448392173876134</v>
      </c>
      <c r="O640" s="21" t="n">
        <f aca="false">2_Matriz_decision!O639/O$5</f>
        <v>0.0913293848321975</v>
      </c>
      <c r="P640" s="21" t="n">
        <f aca="false">2_Matriz_decision!P639/P$5</f>
        <v>0.0529441535179372</v>
      </c>
      <c r="Q640" s="21" t="n">
        <f aca="false">2_Matriz_decision!Q639/Q$5</f>
        <v>0.0133893885620924</v>
      </c>
    </row>
    <row r="641" customFormat="false" ht="15" hidden="false" customHeight="false" outlineLevel="0" collapsed="false">
      <c r="A641" s="15" t="n">
        <f aca="false">2_Matriz_decision!A640</f>
        <v>636</v>
      </c>
      <c r="B641" s="16" t="n">
        <f aca="false">2_Matriz_decision!B640</f>
        <v>63.775</v>
      </c>
      <c r="C641" s="21" t="n">
        <f aca="false">2_Matriz_decision!C640/C$5</f>
        <v>0.00879394903078847</v>
      </c>
      <c r="D641" s="21" t="n">
        <f aca="false">2_Matriz_decision!D640/D$5</f>
        <v>0.0418648306977948</v>
      </c>
      <c r="E641" s="21" t="n">
        <f aca="false">2_Matriz_decision!E640/E$5</f>
        <v>0.0200360974925215</v>
      </c>
      <c r="F641" s="21" t="n">
        <f aca="false">2_Matriz_decision!F640/F$5</f>
        <v>0.0296434583364376</v>
      </c>
      <c r="G641" s="21" t="n">
        <f aca="false">2_Matriz_decision!G640/G$5</f>
        <v>0.0411149420220302</v>
      </c>
      <c r="H641" s="21" t="n">
        <f aca="false">2_Matriz_decision!H640/H$5</f>
        <v>0.0128089386344754</v>
      </c>
      <c r="I641" s="21" t="n">
        <f aca="false">2_Matriz_decision!I640/I$5</f>
        <v>0.0148184741491462</v>
      </c>
      <c r="J641" s="21" t="n">
        <f aca="false">2_Matriz_decision!J640/J$5</f>
        <v>0.0351992440847949</v>
      </c>
      <c r="K641" s="21" t="n">
        <f aca="false">2_Matriz_decision!K640/K$5</f>
        <v>0.039014903418414</v>
      </c>
      <c r="L641" s="21" t="n">
        <f aca="false">2_Matriz_decision!L640/L$5</f>
        <v>0.0356748572188519</v>
      </c>
      <c r="M641" s="21" t="n">
        <f aca="false">2_Matriz_decision!M640/M$5</f>
        <v>0.0469163974739522</v>
      </c>
      <c r="N641" s="21" t="n">
        <f aca="false">2_Matriz_decision!N640/N$5</f>
        <v>0.0448392173876134</v>
      </c>
      <c r="O641" s="21" t="n">
        <f aca="false">2_Matriz_decision!O640/O$5</f>
        <v>0.0304431282773992</v>
      </c>
      <c r="P641" s="21" t="n">
        <f aca="false">2_Matriz_decision!P640/P$5</f>
        <v>0.0529441535179372</v>
      </c>
      <c r="Q641" s="21" t="n">
        <f aca="false">2_Matriz_decision!Q640/Q$5</f>
        <v>0.0133893885620924</v>
      </c>
    </row>
    <row r="642" customFormat="false" ht="15" hidden="false" customHeight="false" outlineLevel="0" collapsed="false">
      <c r="A642" s="15" t="n">
        <f aca="false">2_Matriz_decision!A641</f>
        <v>637</v>
      </c>
      <c r="B642" s="16" t="n">
        <f aca="false">2_Matriz_decision!B641</f>
        <v>63.877</v>
      </c>
      <c r="C642" s="21" t="n">
        <f aca="false">2_Matriz_decision!C641/C$5</f>
        <v>0.00879394903078847</v>
      </c>
      <c r="D642" s="21" t="n">
        <f aca="false">2_Matriz_decision!D641/D$5</f>
        <v>0.0418648306977948</v>
      </c>
      <c r="E642" s="21" t="n">
        <f aca="false">2_Matriz_decision!E641/E$5</f>
        <v>0.0300541462387823</v>
      </c>
      <c r="F642" s="21" t="n">
        <f aca="false">2_Matriz_decision!F641/F$5</f>
        <v>0.0296434583364376</v>
      </c>
      <c r="G642" s="21" t="n">
        <f aca="false">2_Matriz_decision!G641/G$5</f>
        <v>0.0411149420220302</v>
      </c>
      <c r="H642" s="21" t="n">
        <f aca="false">2_Matriz_decision!H641/H$5</f>
        <v>0.0128089386344754</v>
      </c>
      <c r="I642" s="21" t="n">
        <f aca="false">2_Matriz_decision!I641/I$5</f>
        <v>0.0148184741491462</v>
      </c>
      <c r="J642" s="21" t="n">
        <f aca="false">2_Matriz_decision!J641/J$5</f>
        <v>0.0351992440847949</v>
      </c>
      <c r="K642" s="21" t="n">
        <f aca="false">2_Matriz_decision!K641/K$5</f>
        <v>0.039014903418414</v>
      </c>
      <c r="L642" s="21" t="n">
        <f aca="false">2_Matriz_decision!L641/L$5</f>
        <v>0.03282675205108</v>
      </c>
      <c r="M642" s="21" t="n">
        <f aca="false">2_Matriz_decision!M641/M$5</f>
        <v>0.0467838340716241</v>
      </c>
      <c r="N642" s="21" t="n">
        <f aca="false">2_Matriz_decision!N641/N$5</f>
        <v>0.0448392173876134</v>
      </c>
      <c r="O642" s="21" t="n">
        <f aca="false">2_Matriz_decision!O641/O$5</f>
        <v>0.0304431282773992</v>
      </c>
      <c r="P642" s="21" t="n">
        <f aca="false">2_Matriz_decision!P641/P$5</f>
        <v>0.0529441535179372</v>
      </c>
      <c r="Q642" s="21" t="n">
        <f aca="false">2_Matriz_decision!Q641/Q$5</f>
        <v>0.0133893885620924</v>
      </c>
    </row>
    <row r="643" customFormat="false" ht="15" hidden="false" customHeight="false" outlineLevel="0" collapsed="false">
      <c r="A643" s="15" t="n">
        <f aca="false">2_Matriz_decision!A642</f>
        <v>638</v>
      </c>
      <c r="B643" s="16" t="n">
        <f aca="false">2_Matriz_decision!B642</f>
        <v>63.973</v>
      </c>
      <c r="C643" s="21" t="n">
        <f aca="false">2_Matriz_decision!C642/C$5</f>
        <v>0.00879394903078847</v>
      </c>
      <c r="D643" s="21" t="n">
        <f aca="false">2_Matriz_decision!D642/D$5</f>
        <v>0.0418648306977948</v>
      </c>
      <c r="E643" s="21" t="n">
        <f aca="false">2_Matriz_decision!E642/E$5</f>
        <v>0.0300541462387823</v>
      </c>
      <c r="F643" s="21" t="n">
        <f aca="false">2_Matriz_decision!F642/F$5</f>
        <v>0.0395246111152501</v>
      </c>
      <c r="G643" s="21" t="n">
        <f aca="false">2_Matriz_decision!G642/G$5</f>
        <v>0.0411149420220302</v>
      </c>
      <c r="H643" s="21" t="n">
        <f aca="false">2_Matriz_decision!H642/H$5</f>
        <v>0.0128089386344754</v>
      </c>
      <c r="I643" s="21" t="n">
        <f aca="false">2_Matriz_decision!I642/I$5</f>
        <v>0.0148184741491462</v>
      </c>
      <c r="J643" s="21" t="n">
        <f aca="false">2_Matriz_decision!J642/J$5</f>
        <v>0.0351992440847949</v>
      </c>
      <c r="K643" s="21" t="n">
        <f aca="false">2_Matriz_decision!K642/K$5</f>
        <v>0.039014903418414</v>
      </c>
      <c r="L643" s="21" t="n">
        <f aca="false">2_Matriz_decision!L642/L$5</f>
        <v>0.0402077569929114</v>
      </c>
      <c r="M643" s="21" t="n">
        <f aca="false">2_Matriz_decision!M642/M$5</f>
        <v>0.0470600078264743</v>
      </c>
      <c r="N643" s="21" t="n">
        <f aca="false">2_Matriz_decision!N642/N$5</f>
        <v>0.0448392173876134</v>
      </c>
      <c r="O643" s="21" t="n">
        <f aca="false">2_Matriz_decision!O642/O$5</f>
        <v>0.0304431282773992</v>
      </c>
      <c r="P643" s="21" t="n">
        <f aca="false">2_Matriz_decision!P642/P$5</f>
        <v>0.0529441535179372</v>
      </c>
      <c r="Q643" s="21" t="n">
        <f aca="false">2_Matriz_decision!Q642/Q$5</f>
        <v>0.0133893885620924</v>
      </c>
    </row>
    <row r="644" customFormat="false" ht="15" hidden="false" customHeight="false" outlineLevel="0" collapsed="false">
      <c r="A644" s="15" t="n">
        <f aca="false">2_Matriz_decision!A643</f>
        <v>639</v>
      </c>
      <c r="B644" s="16" t="n">
        <f aca="false">2_Matriz_decision!B643</f>
        <v>64.548</v>
      </c>
      <c r="C644" s="21" t="n">
        <f aca="false">2_Matriz_decision!C643/C$5</f>
        <v>0.0263818470923654</v>
      </c>
      <c r="D644" s="21" t="n">
        <f aca="false">2_Matriz_decision!D643/D$5</f>
        <v>0.0418648306977948</v>
      </c>
      <c r="E644" s="21" t="n">
        <f aca="false">2_Matriz_decision!E643/E$5</f>
        <v>0.0400721949850431</v>
      </c>
      <c r="F644" s="21" t="n">
        <f aca="false">2_Matriz_decision!F643/F$5</f>
        <v>0.0296434583364376</v>
      </c>
      <c r="G644" s="21" t="n">
        <f aca="false">2_Matriz_decision!G643/G$5</f>
        <v>0.0411149420220302</v>
      </c>
      <c r="H644" s="21" t="n">
        <f aca="false">2_Matriz_decision!H643/H$5</f>
        <v>0.0128089386344754</v>
      </c>
      <c r="I644" s="21" t="n">
        <f aca="false">2_Matriz_decision!I643/I$5</f>
        <v>0.0148184741491462</v>
      </c>
      <c r="J644" s="21" t="n">
        <f aca="false">2_Matriz_decision!J643/J$5</f>
        <v>0.0351992440847949</v>
      </c>
      <c r="K644" s="21" t="n">
        <f aca="false">2_Matriz_decision!K643/K$5</f>
        <v>0.039014903418414</v>
      </c>
      <c r="L644" s="21" t="n">
        <f aca="false">2_Matriz_decision!L643/L$5</f>
        <v>0.053739599386269</v>
      </c>
      <c r="M644" s="21" t="n">
        <f aca="false">2_Matriz_decision!M643/M$5</f>
        <v>0.0485955339034415</v>
      </c>
      <c r="N644" s="21" t="n">
        <f aca="false">2_Matriz_decision!N643/N$5</f>
        <v>0.0336294130407101</v>
      </c>
      <c r="O644" s="21" t="n">
        <f aca="false">2_Matriz_decision!O643/O$5</f>
        <v>0.0913293848321975</v>
      </c>
      <c r="P644" s="21" t="n">
        <f aca="false">2_Matriz_decision!P643/P$5</f>
        <v>0.0529441535179372</v>
      </c>
      <c r="Q644" s="21" t="n">
        <f aca="false">2_Matriz_decision!Q643/Q$5</f>
        <v>0.0133893885620924</v>
      </c>
    </row>
    <row r="645" customFormat="false" ht="15" hidden="false" customHeight="false" outlineLevel="0" collapsed="false">
      <c r="A645" s="15" t="n">
        <f aca="false">2_Matriz_decision!A644</f>
        <v>640</v>
      </c>
      <c r="B645" s="16" t="n">
        <f aca="false">2_Matriz_decision!B644</f>
        <v>64.691</v>
      </c>
      <c r="C645" s="21" t="n">
        <f aca="false">2_Matriz_decision!C644/C$5</f>
        <v>0.00879394903078847</v>
      </c>
      <c r="D645" s="21" t="n">
        <f aca="false">2_Matriz_decision!D644/D$5</f>
        <v>0.0418648306977948</v>
      </c>
      <c r="E645" s="21" t="n">
        <f aca="false">2_Matriz_decision!E644/E$5</f>
        <v>0.0300541462387823</v>
      </c>
      <c r="F645" s="21" t="n">
        <f aca="false">2_Matriz_decision!F644/F$5</f>
        <v>0.0296434583364376</v>
      </c>
      <c r="G645" s="21" t="n">
        <f aca="false">2_Matriz_decision!G644/G$5</f>
        <v>0.0411149420220302</v>
      </c>
      <c r="H645" s="21" t="n">
        <f aca="false">2_Matriz_decision!H644/H$5</f>
        <v>0.0128089386344754</v>
      </c>
      <c r="I645" s="21" t="n">
        <f aca="false">2_Matriz_decision!I644/I$5</f>
        <v>0.0148184741491462</v>
      </c>
      <c r="J645" s="21" t="n">
        <f aca="false">2_Matriz_decision!J644/J$5</f>
        <v>0.0351992440847949</v>
      </c>
      <c r="K645" s="21" t="n">
        <f aca="false">2_Matriz_decision!K644/K$5</f>
        <v>0.039014903418414</v>
      </c>
      <c r="L645" s="21" t="n">
        <f aca="false">2_Matriz_decision!L644/L$5</f>
        <v>0.057523701557534</v>
      </c>
      <c r="M645" s="21" t="n">
        <f aca="false">2_Matriz_decision!M644/M$5</f>
        <v>0.0517218208083457</v>
      </c>
      <c r="N645" s="21" t="n">
        <f aca="false">2_Matriz_decision!N644/N$5</f>
        <v>0.0336294130407101</v>
      </c>
      <c r="O645" s="21" t="n">
        <f aca="false">2_Matriz_decision!O644/O$5</f>
        <v>0.0913293848321975</v>
      </c>
      <c r="P645" s="21" t="n">
        <f aca="false">2_Matriz_decision!P644/P$5</f>
        <v>0.0529441535179372</v>
      </c>
      <c r="Q645" s="21" t="n">
        <f aca="false">2_Matriz_decision!Q644/Q$5</f>
        <v>0.0133893885620924</v>
      </c>
    </row>
    <row r="646" customFormat="false" ht="15" hidden="false" customHeight="false" outlineLevel="0" collapsed="false">
      <c r="A646" s="15" t="n">
        <f aca="false">2_Matriz_decision!A645</f>
        <v>641</v>
      </c>
      <c r="B646" s="16" t="n">
        <f aca="false">2_Matriz_decision!B645</f>
        <v>64.864</v>
      </c>
      <c r="C646" s="21" t="n">
        <f aca="false">2_Matriz_decision!C645/C$5</f>
        <v>0.00879394903078847</v>
      </c>
      <c r="D646" s="21" t="n">
        <f aca="false">2_Matriz_decision!D645/D$5</f>
        <v>0.0418648306977948</v>
      </c>
      <c r="E646" s="21" t="n">
        <f aca="false">2_Matriz_decision!E645/E$5</f>
        <v>0.0400721949850431</v>
      </c>
      <c r="F646" s="21" t="n">
        <f aca="false">2_Matriz_decision!F645/F$5</f>
        <v>0.0296434583364376</v>
      </c>
      <c r="G646" s="21" t="n">
        <f aca="false">2_Matriz_decision!G645/G$5</f>
        <v>0.0411149420220302</v>
      </c>
      <c r="H646" s="21" t="n">
        <f aca="false">2_Matriz_decision!H645/H$5</f>
        <v>0.0128089386344754</v>
      </c>
      <c r="I646" s="21" t="n">
        <f aca="false">2_Matriz_decision!I645/I$5</f>
        <v>0.0148184741491462</v>
      </c>
      <c r="J646" s="21" t="n">
        <f aca="false">2_Matriz_decision!J645/J$5</f>
        <v>0.0351992440847949</v>
      </c>
      <c r="K646" s="21" t="n">
        <f aca="false">2_Matriz_decision!K645/K$5</f>
        <v>0.039014903418414</v>
      </c>
      <c r="L646" s="21" t="n">
        <f aca="false">2_Matriz_decision!L645/L$5</f>
        <v>0.0617490594590172</v>
      </c>
      <c r="M646" s="21" t="n">
        <f aca="false">2_Matriz_decision!M645/M$5</f>
        <v>0.0539753986479234</v>
      </c>
      <c r="N646" s="21" t="n">
        <f aca="false">2_Matriz_decision!N645/N$5</f>
        <v>0.0336294130407101</v>
      </c>
      <c r="O646" s="21" t="n">
        <f aca="false">2_Matriz_decision!O645/O$5</f>
        <v>0.121772513109597</v>
      </c>
      <c r="P646" s="21" t="n">
        <f aca="false">2_Matriz_decision!P645/P$5</f>
        <v>0.0529441535179372</v>
      </c>
      <c r="Q646" s="21" t="n">
        <f aca="false">2_Matriz_decision!Q645/Q$5</f>
        <v>0.0133893885620924</v>
      </c>
    </row>
    <row r="647" customFormat="false" ht="15" hidden="false" customHeight="false" outlineLevel="0" collapsed="false">
      <c r="A647" s="15" t="n">
        <f aca="false">2_Matriz_decision!A646</f>
        <v>642</v>
      </c>
      <c r="B647" s="16" t="n">
        <f aca="false">2_Matriz_decision!B646</f>
        <v>65.003</v>
      </c>
      <c r="C647" s="21" t="n">
        <f aca="false">2_Matriz_decision!C646/C$5</f>
        <v>0.00879394903078847</v>
      </c>
      <c r="D647" s="21" t="n">
        <f aca="false">2_Matriz_decision!D646/D$5</f>
        <v>0.0418648306977948</v>
      </c>
      <c r="E647" s="21" t="n">
        <f aca="false">2_Matriz_decision!E646/E$5</f>
        <v>0.0400721949850431</v>
      </c>
      <c r="F647" s="21" t="n">
        <f aca="false">2_Matriz_decision!F646/F$5</f>
        <v>0.0296434583364376</v>
      </c>
      <c r="G647" s="21" t="n">
        <f aca="false">2_Matriz_decision!G646/G$5</f>
        <v>0.0411149420220302</v>
      </c>
      <c r="H647" s="21" t="n">
        <f aca="false">2_Matriz_decision!H646/H$5</f>
        <v>0.0128089386344754</v>
      </c>
      <c r="I647" s="21" t="n">
        <f aca="false">2_Matriz_decision!I646/I$5</f>
        <v>0.0148184741491462</v>
      </c>
      <c r="J647" s="21" t="n">
        <f aca="false">2_Matriz_decision!J646/J$5</f>
        <v>0.0351992440847949</v>
      </c>
      <c r="K647" s="21" t="n">
        <f aca="false">2_Matriz_decision!K646/K$5</f>
        <v>0.039014903418414</v>
      </c>
      <c r="L647" s="21" t="n">
        <f aca="false">2_Matriz_decision!L646/L$5</f>
        <v>0.0629925983350867</v>
      </c>
      <c r="M647" s="21" t="n">
        <f aca="false">2_Matriz_decision!M646/M$5</f>
        <v>0.0545166992074298</v>
      </c>
      <c r="N647" s="21" t="n">
        <f aca="false">2_Matriz_decision!N646/N$5</f>
        <v>0.0336294130407101</v>
      </c>
      <c r="O647" s="21" t="n">
        <f aca="false">2_Matriz_decision!O646/O$5</f>
        <v>0.121772513109597</v>
      </c>
      <c r="P647" s="21" t="n">
        <f aca="false">2_Matriz_decision!P646/P$5</f>
        <v>0.0529441535179372</v>
      </c>
      <c r="Q647" s="21" t="n">
        <f aca="false">2_Matriz_decision!Q646/Q$5</f>
        <v>0.0133893885620924</v>
      </c>
    </row>
    <row r="648" customFormat="false" ht="15" hidden="false" customHeight="false" outlineLevel="0" collapsed="false">
      <c r="A648" s="15" t="n">
        <f aca="false">2_Matriz_decision!A647</f>
        <v>643</v>
      </c>
      <c r="B648" s="16" t="n">
        <f aca="false">2_Matriz_decision!B647</f>
        <v>65.118</v>
      </c>
      <c r="C648" s="21" t="n">
        <f aca="false">2_Matriz_decision!C647/C$5</f>
        <v>0.00879394903078847</v>
      </c>
      <c r="D648" s="21" t="n">
        <f aca="false">2_Matriz_decision!D647/D$5</f>
        <v>0.0418648306977948</v>
      </c>
      <c r="E648" s="21" t="n">
        <f aca="false">2_Matriz_decision!E647/E$5</f>
        <v>0.0400721949850431</v>
      </c>
      <c r="F648" s="21" t="n">
        <f aca="false">2_Matriz_decision!F647/F$5</f>
        <v>0.0296434583364376</v>
      </c>
      <c r="G648" s="21" t="n">
        <f aca="false">2_Matriz_decision!G647/G$5</f>
        <v>0.0411149420220302</v>
      </c>
      <c r="H648" s="21" t="n">
        <f aca="false">2_Matriz_decision!H647/H$5</f>
        <v>0.0128089386344754</v>
      </c>
      <c r="I648" s="21" t="n">
        <f aca="false">2_Matriz_decision!I647/I$5</f>
        <v>0.0148184741491462</v>
      </c>
      <c r="J648" s="21" t="n">
        <f aca="false">2_Matriz_decision!J647/J$5</f>
        <v>0.0351992440847949</v>
      </c>
      <c r="K648" s="21" t="n">
        <f aca="false">2_Matriz_decision!K647/K$5</f>
        <v>0.039014903418414</v>
      </c>
      <c r="L648" s="21" t="n">
        <f aca="false">2_Matriz_decision!L647/L$5</f>
        <v>0.0634071112937765</v>
      </c>
      <c r="M648" s="21" t="n">
        <f aca="false">2_Matriz_decision!M647/M$5</f>
        <v>0.0546934504105339</v>
      </c>
      <c r="N648" s="21" t="n">
        <f aca="false">2_Matriz_decision!N647/N$5</f>
        <v>0.0448392173876134</v>
      </c>
      <c r="O648" s="21" t="n">
        <f aca="false">2_Matriz_decision!O647/O$5</f>
        <v>0.121772513109597</v>
      </c>
      <c r="P648" s="21" t="n">
        <f aca="false">2_Matriz_decision!P647/P$5</f>
        <v>0.0529441535179372</v>
      </c>
      <c r="Q648" s="21" t="n">
        <f aca="false">2_Matriz_decision!Q647/Q$5</f>
        <v>0.0133893885620924</v>
      </c>
    </row>
    <row r="649" customFormat="false" ht="15" hidden="false" customHeight="false" outlineLevel="0" collapsed="false">
      <c r="A649" s="15" t="n">
        <f aca="false">2_Matriz_decision!A648</f>
        <v>644</v>
      </c>
      <c r="B649" s="16" t="n">
        <f aca="false">2_Matriz_decision!B648</f>
        <v>65.225</v>
      </c>
      <c r="C649" s="21" t="n">
        <f aca="false">2_Matriz_decision!C648/C$5</f>
        <v>0.00879394903078847</v>
      </c>
      <c r="D649" s="21" t="n">
        <f aca="false">2_Matriz_decision!D648/D$5</f>
        <v>0.0418648306977948</v>
      </c>
      <c r="E649" s="21" t="n">
        <f aca="false">2_Matriz_decision!E648/E$5</f>
        <v>0.0400721949850431</v>
      </c>
      <c r="F649" s="21" t="n">
        <f aca="false">2_Matriz_decision!F648/F$5</f>
        <v>0.0395246111152501</v>
      </c>
      <c r="G649" s="21" t="n">
        <f aca="false">2_Matriz_decision!G648/G$5</f>
        <v>0.0411149420220302</v>
      </c>
      <c r="H649" s="21" t="n">
        <f aca="false">2_Matriz_decision!H648/H$5</f>
        <v>0.0128089386344754</v>
      </c>
      <c r="I649" s="21" t="n">
        <f aca="false">2_Matriz_decision!I648/I$5</f>
        <v>0.0148184741491462</v>
      </c>
      <c r="J649" s="21" t="n">
        <f aca="false">2_Matriz_decision!J648/J$5</f>
        <v>0.0351992440847949</v>
      </c>
      <c r="K649" s="21" t="n">
        <f aca="false">2_Matriz_decision!K648/K$5</f>
        <v>0.039014903418414</v>
      </c>
      <c r="L649" s="21" t="n">
        <f aca="false">2_Matriz_decision!L648/L$5</f>
        <v>0.0634739682225974</v>
      </c>
      <c r="M649" s="21" t="n">
        <f aca="false">2_Matriz_decision!M648/M$5</f>
        <v>0.0552347509700403</v>
      </c>
      <c r="N649" s="21" t="n">
        <f aca="false">2_Matriz_decision!N648/N$5</f>
        <v>0.0448392173876134</v>
      </c>
      <c r="O649" s="21" t="n">
        <f aca="false">2_Matriz_decision!O648/O$5</f>
        <v>0.121772513109597</v>
      </c>
      <c r="P649" s="21" t="n">
        <f aca="false">2_Matriz_decision!P648/P$5</f>
        <v>0.0529441535179372</v>
      </c>
      <c r="Q649" s="21" t="n">
        <f aca="false">2_Matriz_decision!Q648/Q$5</f>
        <v>0.0133893885620924</v>
      </c>
    </row>
    <row r="650" customFormat="false" ht="15" hidden="false" customHeight="false" outlineLevel="0" collapsed="false">
      <c r="A650" s="15" t="n">
        <f aca="false">2_Matriz_decision!A649</f>
        <v>645</v>
      </c>
      <c r="B650" s="16" t="n">
        <f aca="false">2_Matriz_decision!B649</f>
        <v>65.328</v>
      </c>
      <c r="C650" s="21" t="n">
        <f aca="false">2_Matriz_decision!C649/C$5</f>
        <v>0.00879394903078847</v>
      </c>
      <c r="D650" s="21" t="n">
        <f aca="false">2_Matriz_decision!D649/D$5</f>
        <v>0.0418648306977948</v>
      </c>
      <c r="E650" s="21" t="n">
        <f aca="false">2_Matriz_decision!E649/E$5</f>
        <v>0.0400721949850431</v>
      </c>
      <c r="F650" s="21" t="n">
        <f aca="false">2_Matriz_decision!F649/F$5</f>
        <v>0.0395246111152501</v>
      </c>
      <c r="G650" s="21" t="n">
        <f aca="false">2_Matriz_decision!G649/G$5</f>
        <v>0.0411149420220302</v>
      </c>
      <c r="H650" s="21" t="n">
        <f aca="false">2_Matriz_decision!H649/H$5</f>
        <v>0.0128089386344754</v>
      </c>
      <c r="I650" s="21" t="n">
        <f aca="false">2_Matriz_decision!I649/I$5</f>
        <v>0.0148184741491462</v>
      </c>
      <c r="J650" s="21" t="n">
        <f aca="false">2_Matriz_decision!J649/J$5</f>
        <v>0.0351992440847949</v>
      </c>
      <c r="K650" s="21" t="n">
        <f aca="false">2_Matriz_decision!K649/K$5</f>
        <v>0.039014903418414</v>
      </c>
      <c r="L650" s="21" t="n">
        <f aca="false">2_Matriz_decision!L649/L$5</f>
        <v>0.0636745390090602</v>
      </c>
      <c r="M650" s="21" t="n">
        <f aca="false">2_Matriz_decision!M649/M$5</f>
        <v>0.0552347509700403</v>
      </c>
      <c r="N650" s="21" t="n">
        <f aca="false">2_Matriz_decision!N649/N$5</f>
        <v>0.0448392173876134</v>
      </c>
      <c r="O650" s="21" t="n">
        <f aca="false">2_Matriz_decision!O649/O$5</f>
        <v>0.121772513109597</v>
      </c>
      <c r="P650" s="21" t="n">
        <f aca="false">2_Matriz_decision!P649/P$5</f>
        <v>0.0529441535179372</v>
      </c>
      <c r="Q650" s="21" t="n">
        <f aca="false">2_Matriz_decision!Q649/Q$5</f>
        <v>0.0133893885620924</v>
      </c>
    </row>
    <row r="651" customFormat="false" ht="15" hidden="false" customHeight="false" outlineLevel="0" collapsed="false">
      <c r="A651" s="15" t="n">
        <f aca="false">2_Matriz_decision!A650</f>
        <v>646</v>
      </c>
      <c r="B651" s="16" t="n">
        <f aca="false">2_Matriz_decision!B650</f>
        <v>65.429</v>
      </c>
      <c r="C651" s="21" t="n">
        <f aca="false">2_Matriz_decision!C650/C$5</f>
        <v>0.00879394903078847</v>
      </c>
      <c r="D651" s="21" t="n">
        <f aca="false">2_Matriz_decision!D650/D$5</f>
        <v>0.0418648306977948</v>
      </c>
      <c r="E651" s="21" t="n">
        <f aca="false">2_Matriz_decision!E650/E$5</f>
        <v>0.0300541462387823</v>
      </c>
      <c r="F651" s="21" t="n">
        <f aca="false">2_Matriz_decision!F650/F$5</f>
        <v>0.0395246111152501</v>
      </c>
      <c r="G651" s="21" t="n">
        <f aca="false">2_Matriz_decision!G650/G$5</f>
        <v>0.0411149420220302</v>
      </c>
      <c r="H651" s="21" t="n">
        <f aca="false">2_Matriz_decision!H650/H$5</f>
        <v>0.0128089386344754</v>
      </c>
      <c r="I651" s="21" t="n">
        <f aca="false">2_Matriz_decision!I650/I$5</f>
        <v>0.0148184741491462</v>
      </c>
      <c r="J651" s="21" t="n">
        <f aca="false">2_Matriz_decision!J650/J$5</f>
        <v>0.0351992440847949</v>
      </c>
      <c r="K651" s="21" t="n">
        <f aca="false">2_Matriz_decision!K650/K$5</f>
        <v>0.039014903418414</v>
      </c>
      <c r="L651" s="21" t="n">
        <f aca="false">2_Matriz_decision!L650/L$5</f>
        <v>0.0633536257507197</v>
      </c>
      <c r="M651" s="21" t="n">
        <f aca="false">2_Matriz_decision!M650/M$5</f>
        <v>0.0552347509700403</v>
      </c>
      <c r="N651" s="21" t="n">
        <f aca="false">2_Matriz_decision!N650/N$5</f>
        <v>0.0448392173876134</v>
      </c>
      <c r="O651" s="21" t="n">
        <f aca="false">2_Matriz_decision!O650/O$5</f>
        <v>0.0913293848321975</v>
      </c>
      <c r="P651" s="21" t="n">
        <f aca="false">2_Matriz_decision!P650/P$5</f>
        <v>0.0529441535179372</v>
      </c>
      <c r="Q651" s="21" t="n">
        <f aca="false">2_Matriz_decision!Q650/Q$5</f>
        <v>0.0133893885620924</v>
      </c>
    </row>
    <row r="652" customFormat="false" ht="15" hidden="false" customHeight="false" outlineLevel="0" collapsed="false">
      <c r="A652" s="15" t="n">
        <f aca="false">2_Matriz_decision!A651</f>
        <v>647</v>
      </c>
      <c r="B652" s="16" t="n">
        <f aca="false">2_Matriz_decision!B651</f>
        <v>65.528</v>
      </c>
      <c r="C652" s="21" t="n">
        <f aca="false">2_Matriz_decision!C651/C$5</f>
        <v>0.00879394903078847</v>
      </c>
      <c r="D652" s="21" t="n">
        <f aca="false">2_Matriz_decision!D651/D$5</f>
        <v>0.0418648306977948</v>
      </c>
      <c r="E652" s="21" t="n">
        <f aca="false">2_Matriz_decision!E651/E$5</f>
        <v>0.0300541462387823</v>
      </c>
      <c r="F652" s="21" t="n">
        <f aca="false">2_Matriz_decision!F651/F$5</f>
        <v>0.0395246111152501</v>
      </c>
      <c r="G652" s="21" t="n">
        <f aca="false">2_Matriz_decision!G651/G$5</f>
        <v>0.0411149420220302</v>
      </c>
      <c r="H652" s="21" t="n">
        <f aca="false">2_Matriz_decision!H651/H$5</f>
        <v>0.0128089386344754</v>
      </c>
      <c r="I652" s="21" t="n">
        <f aca="false">2_Matriz_decision!I651/I$5</f>
        <v>0.0148184741491462</v>
      </c>
      <c r="J652" s="21" t="n">
        <f aca="false">2_Matriz_decision!J651/J$5</f>
        <v>0.0351992440847949</v>
      </c>
      <c r="K652" s="21" t="n">
        <f aca="false">2_Matriz_decision!K651/K$5</f>
        <v>0.039014903418414</v>
      </c>
      <c r="L652" s="21" t="n">
        <f aca="false">2_Matriz_decision!L651/L$5</f>
        <v>0.0615351172867902</v>
      </c>
      <c r="M652" s="21" t="n">
        <f aca="false">2_Matriz_decision!M651/M$5</f>
        <v>0.0509153934441831</v>
      </c>
      <c r="N652" s="21" t="n">
        <f aca="false">2_Matriz_decision!N651/N$5</f>
        <v>0.0448392173876134</v>
      </c>
      <c r="O652" s="21" t="n">
        <f aca="false">2_Matriz_decision!O651/O$5</f>
        <v>0.0913293848321975</v>
      </c>
      <c r="P652" s="21" t="n">
        <f aca="false">2_Matriz_decision!P651/P$5</f>
        <v>0.0529441535179372</v>
      </c>
      <c r="Q652" s="21" t="n">
        <f aca="false">2_Matriz_decision!Q651/Q$5</f>
        <v>0.0133893885620924</v>
      </c>
    </row>
    <row r="653" customFormat="false" ht="15" hidden="false" customHeight="false" outlineLevel="0" collapsed="false">
      <c r="A653" s="15" t="n">
        <f aca="false">2_Matriz_decision!A652</f>
        <v>648</v>
      </c>
      <c r="B653" s="16" t="n">
        <f aca="false">2_Matriz_decision!B652</f>
        <v>65.627</v>
      </c>
      <c r="C653" s="21" t="n">
        <f aca="false">2_Matriz_decision!C652/C$5</f>
        <v>0.0175878980615769</v>
      </c>
      <c r="D653" s="21" t="n">
        <f aca="false">2_Matriz_decision!D652/D$5</f>
        <v>0.0418648306977948</v>
      </c>
      <c r="E653" s="21" t="n">
        <f aca="false">2_Matriz_decision!E652/E$5</f>
        <v>0.0300541462387823</v>
      </c>
      <c r="F653" s="21" t="n">
        <f aca="false">2_Matriz_decision!F652/F$5</f>
        <v>0.0395246111152501</v>
      </c>
      <c r="G653" s="21" t="n">
        <f aca="false">2_Matriz_decision!G652/G$5</f>
        <v>0.0411149420220302</v>
      </c>
      <c r="H653" s="21" t="n">
        <f aca="false">2_Matriz_decision!H652/H$5</f>
        <v>0.0128089386344754</v>
      </c>
      <c r="I653" s="21" t="n">
        <f aca="false">2_Matriz_decision!I652/I$5</f>
        <v>0.0148184741491462</v>
      </c>
      <c r="J653" s="21" t="n">
        <f aca="false">2_Matriz_decision!J652/J$5</f>
        <v>0.0351992440847949</v>
      </c>
      <c r="K653" s="21" t="n">
        <f aca="false">2_Matriz_decision!K652/K$5</f>
        <v>0.039014903418414</v>
      </c>
      <c r="L653" s="21" t="n">
        <f aca="false">2_Matriz_decision!L652/L$5</f>
        <v>0.0535523999855704</v>
      </c>
      <c r="M653" s="21" t="n">
        <f aca="false">2_Matriz_decision!M652/M$5</f>
        <v>0.0491589283633359</v>
      </c>
      <c r="N653" s="21" t="n">
        <f aca="false">2_Matriz_decision!N652/N$5</f>
        <v>0.0448392173876134</v>
      </c>
      <c r="O653" s="21" t="n">
        <f aca="false">2_Matriz_decision!O652/O$5</f>
        <v>0.0608862565547983</v>
      </c>
      <c r="P653" s="21" t="n">
        <f aca="false">2_Matriz_decision!P652/P$5</f>
        <v>0.0529441535179372</v>
      </c>
      <c r="Q653" s="21" t="n">
        <f aca="false">2_Matriz_decision!Q652/Q$5</f>
        <v>0.0133893885620924</v>
      </c>
    </row>
    <row r="654" customFormat="false" ht="15" hidden="false" customHeight="false" outlineLevel="0" collapsed="false">
      <c r="A654" s="15" t="n">
        <f aca="false">2_Matriz_decision!A653</f>
        <v>649</v>
      </c>
      <c r="B654" s="16" t="n">
        <f aca="false">2_Matriz_decision!B653</f>
        <v>65.725</v>
      </c>
      <c r="C654" s="21" t="n">
        <f aca="false">2_Matriz_decision!C653/C$5</f>
        <v>0.0175878980615769</v>
      </c>
      <c r="D654" s="21" t="n">
        <f aca="false">2_Matriz_decision!D653/D$5</f>
        <v>0.0418648306977948</v>
      </c>
      <c r="E654" s="21" t="n">
        <f aca="false">2_Matriz_decision!E653/E$5</f>
        <v>0.0200360974925215</v>
      </c>
      <c r="F654" s="21" t="n">
        <f aca="false">2_Matriz_decision!F653/F$5</f>
        <v>0.0296434583364376</v>
      </c>
      <c r="G654" s="21" t="n">
        <f aca="false">2_Matriz_decision!G653/G$5</f>
        <v>0.0411149420220302</v>
      </c>
      <c r="H654" s="21" t="n">
        <f aca="false">2_Matriz_decision!H653/H$5</f>
        <v>0.0128089386344754</v>
      </c>
      <c r="I654" s="21" t="n">
        <f aca="false">2_Matriz_decision!I653/I$5</f>
        <v>0.0148184741491462</v>
      </c>
      <c r="J654" s="21" t="n">
        <f aca="false">2_Matriz_decision!J653/J$5</f>
        <v>0.0351992440847949</v>
      </c>
      <c r="K654" s="21" t="n">
        <f aca="false">2_Matriz_decision!K653/K$5</f>
        <v>0.039014903418414</v>
      </c>
      <c r="L654" s="21" t="n">
        <f aca="false">2_Matriz_decision!L653/L$5</f>
        <v>0.0509984653046106</v>
      </c>
      <c r="M654" s="21" t="n">
        <f aca="false">2_Matriz_decision!M653/M$5</f>
        <v>0.0453035427456271</v>
      </c>
      <c r="N654" s="21" t="n">
        <f aca="false">2_Matriz_decision!N653/N$5</f>
        <v>0.0448392173876134</v>
      </c>
      <c r="O654" s="21" t="n">
        <f aca="false">2_Matriz_decision!O653/O$5</f>
        <v>0.0608862565547983</v>
      </c>
      <c r="P654" s="21" t="n">
        <f aca="false">2_Matriz_decision!P653/P$5</f>
        <v>0.0529441535179372</v>
      </c>
      <c r="Q654" s="21" t="n">
        <f aca="false">2_Matriz_decision!Q653/Q$5</f>
        <v>0.0133893885620924</v>
      </c>
    </row>
    <row r="655" customFormat="false" ht="15" hidden="false" customHeight="false" outlineLevel="0" collapsed="false">
      <c r="A655" s="15" t="n">
        <f aca="false">2_Matriz_decision!A654</f>
        <v>650</v>
      </c>
      <c r="B655" s="16" t="n">
        <f aca="false">2_Matriz_decision!B654</f>
        <v>65.823</v>
      </c>
      <c r="C655" s="21" t="n">
        <f aca="false">2_Matriz_decision!C654/C$5</f>
        <v>0.0175878980615769</v>
      </c>
      <c r="D655" s="21" t="n">
        <f aca="false">2_Matriz_decision!D654/D$5</f>
        <v>0.0418648306977948</v>
      </c>
      <c r="E655" s="21" t="n">
        <f aca="false">2_Matriz_decision!E654/E$5</f>
        <v>0.0300541462387823</v>
      </c>
      <c r="F655" s="21" t="n">
        <f aca="false">2_Matriz_decision!F654/F$5</f>
        <v>0.0395246111152501</v>
      </c>
      <c r="G655" s="21" t="n">
        <f aca="false">2_Matriz_decision!G654/G$5</f>
        <v>0.0411149420220302</v>
      </c>
      <c r="H655" s="21" t="n">
        <f aca="false">2_Matriz_decision!H654/H$5</f>
        <v>0.0128089386344754</v>
      </c>
      <c r="I655" s="21" t="n">
        <f aca="false">2_Matriz_decision!I654/I$5</f>
        <v>0.0296369482982925</v>
      </c>
      <c r="J655" s="21" t="n">
        <f aca="false">2_Matriz_decision!J654/J$5</f>
        <v>0.0351992440847949</v>
      </c>
      <c r="K655" s="21" t="n">
        <f aca="false">2_Matriz_decision!K654/K$5</f>
        <v>0.039014903418414</v>
      </c>
      <c r="L655" s="21" t="n">
        <f aca="false">2_Matriz_decision!L654/L$5</f>
        <v>0.0531780011841731</v>
      </c>
      <c r="M655" s="21" t="n">
        <f aca="false">2_Matriz_decision!M654/M$5</f>
        <v>0.0430720588064374</v>
      </c>
      <c r="N655" s="21" t="n">
        <f aca="false">2_Matriz_decision!N654/N$5</f>
        <v>0.0448392173876134</v>
      </c>
      <c r="O655" s="21" t="n">
        <f aca="false">2_Matriz_decision!O654/O$5</f>
        <v>0.0608862565547983</v>
      </c>
      <c r="P655" s="21" t="n">
        <f aca="false">2_Matriz_decision!P654/P$5</f>
        <v>0.0529441535179372</v>
      </c>
      <c r="Q655" s="21" t="n">
        <f aca="false">2_Matriz_decision!Q654/Q$5</f>
        <v>0.0133893885620924</v>
      </c>
    </row>
    <row r="656" customFormat="false" ht="15" hidden="false" customHeight="false" outlineLevel="0" collapsed="false">
      <c r="A656" s="15" t="n">
        <f aca="false">2_Matriz_decision!A655</f>
        <v>651</v>
      </c>
      <c r="B656" s="16" t="n">
        <f aca="false">2_Matriz_decision!B655</f>
        <v>65.922</v>
      </c>
      <c r="C656" s="21" t="n">
        <f aca="false">2_Matriz_decision!C655/C$5</f>
        <v>0.0175878980615769</v>
      </c>
      <c r="D656" s="21" t="n">
        <f aca="false">2_Matriz_decision!D655/D$5</f>
        <v>0.0418648306977948</v>
      </c>
      <c r="E656" s="21" t="n">
        <f aca="false">2_Matriz_decision!E655/E$5</f>
        <v>0.0400721949850431</v>
      </c>
      <c r="F656" s="21" t="n">
        <f aca="false">2_Matriz_decision!F655/F$5</f>
        <v>0.0395246111152501</v>
      </c>
      <c r="G656" s="21" t="n">
        <f aca="false">2_Matriz_decision!G655/G$5</f>
        <v>0.0411149420220302</v>
      </c>
      <c r="H656" s="21" t="n">
        <f aca="false">2_Matriz_decision!H655/H$5</f>
        <v>0.0128089386344754</v>
      </c>
      <c r="I656" s="21" t="n">
        <f aca="false">2_Matriz_decision!I655/I$5</f>
        <v>0.0296369482982925</v>
      </c>
      <c r="J656" s="21" t="n">
        <f aca="false">2_Matriz_decision!J655/J$5</f>
        <v>0.0351992440847949</v>
      </c>
      <c r="K656" s="21" t="n">
        <f aca="false">2_Matriz_decision!K655/K$5</f>
        <v>0.039014903418414</v>
      </c>
      <c r="L656" s="21" t="n">
        <f aca="false">2_Matriz_decision!L655/L$5</f>
        <v>0.0564807334679274</v>
      </c>
      <c r="M656" s="21" t="n">
        <f aca="false">2_Matriz_decision!M655/M$5</f>
        <v>0.0424202887449909</v>
      </c>
      <c r="N656" s="21" t="n">
        <f aca="false">2_Matriz_decision!N655/N$5</f>
        <v>0.0448392173876134</v>
      </c>
      <c r="O656" s="21" t="n">
        <f aca="false">2_Matriz_decision!O655/O$5</f>
        <v>0.0304431282773992</v>
      </c>
      <c r="P656" s="21" t="n">
        <f aca="false">2_Matriz_decision!P655/P$5</f>
        <v>0.0529441535179372</v>
      </c>
      <c r="Q656" s="21" t="n">
        <f aca="false">2_Matriz_decision!Q655/Q$5</f>
        <v>0.0133893885620924</v>
      </c>
    </row>
    <row r="657" customFormat="false" ht="15" hidden="false" customHeight="false" outlineLevel="0" collapsed="false">
      <c r="A657" s="15" t="n">
        <f aca="false">2_Matriz_decision!A656</f>
        <v>652</v>
      </c>
      <c r="B657" s="16" t="n">
        <f aca="false">2_Matriz_decision!B656</f>
        <v>66.021</v>
      </c>
      <c r="C657" s="21" t="n">
        <f aca="false">2_Matriz_decision!C656/C$5</f>
        <v>0.0175878980615769</v>
      </c>
      <c r="D657" s="21" t="n">
        <f aca="false">2_Matriz_decision!D656/D$5</f>
        <v>0.0418648306977948</v>
      </c>
      <c r="E657" s="21" t="n">
        <f aca="false">2_Matriz_decision!E656/E$5</f>
        <v>0.0400721949850431</v>
      </c>
      <c r="F657" s="21" t="n">
        <f aca="false">2_Matriz_decision!F656/F$5</f>
        <v>0.0395246111152501</v>
      </c>
      <c r="G657" s="21" t="n">
        <f aca="false">2_Matriz_decision!G656/G$5</f>
        <v>0.0411149420220302</v>
      </c>
      <c r="H657" s="21" t="n">
        <f aca="false">2_Matriz_decision!H656/H$5</f>
        <v>0.0128089386344754</v>
      </c>
      <c r="I657" s="21" t="n">
        <f aca="false">2_Matriz_decision!I656/I$5</f>
        <v>0.0148184741491462</v>
      </c>
      <c r="J657" s="21" t="n">
        <f aca="false">2_Matriz_decision!J656/J$5</f>
        <v>0.0351992440847949</v>
      </c>
      <c r="K657" s="21" t="n">
        <f aca="false">2_Matriz_decision!K656/K$5</f>
        <v>0.039014903418414</v>
      </c>
      <c r="L657" s="21" t="n">
        <f aca="false">2_Matriz_decision!L656/L$5</f>
        <v>0.0607729482982316</v>
      </c>
      <c r="M657" s="21" t="n">
        <f aca="false">2_Matriz_decision!M656/M$5</f>
        <v>0.0441878007760322</v>
      </c>
      <c r="N657" s="21" t="n">
        <f aca="false">2_Matriz_decision!N656/N$5</f>
        <v>0.0448392173876134</v>
      </c>
      <c r="O657" s="21" t="n">
        <f aca="false">2_Matriz_decision!O656/O$5</f>
        <v>0.0304431282773992</v>
      </c>
      <c r="P657" s="21" t="n">
        <f aca="false">2_Matriz_decision!P656/P$5</f>
        <v>0.0529441535179372</v>
      </c>
      <c r="Q657" s="21" t="n">
        <f aca="false">2_Matriz_decision!Q656/Q$5</f>
        <v>0.0133893885620924</v>
      </c>
    </row>
    <row r="658" customFormat="false" ht="15" hidden="false" customHeight="false" outlineLevel="0" collapsed="false">
      <c r="A658" s="15" t="n">
        <f aca="false">2_Matriz_decision!A657</f>
        <v>653</v>
      </c>
      <c r="B658" s="16" t="n">
        <f aca="false">2_Matriz_decision!B657</f>
        <v>66.121</v>
      </c>
      <c r="C658" s="21" t="n">
        <f aca="false">2_Matriz_decision!C657/C$5</f>
        <v>0.0175878980615769</v>
      </c>
      <c r="D658" s="21" t="n">
        <f aca="false">2_Matriz_decision!D657/D$5</f>
        <v>0.0418648306977948</v>
      </c>
      <c r="E658" s="21" t="n">
        <f aca="false">2_Matriz_decision!E657/E$5</f>
        <v>0.0400721949850431</v>
      </c>
      <c r="F658" s="21" t="n">
        <f aca="false">2_Matriz_decision!F657/F$5</f>
        <v>0.0395246111152501</v>
      </c>
      <c r="G658" s="21" t="n">
        <f aca="false">2_Matriz_decision!G657/G$5</f>
        <v>0.0308362065165227</v>
      </c>
      <c r="H658" s="21" t="n">
        <f aca="false">2_Matriz_decision!H657/H$5</f>
        <v>0.0128089386344754</v>
      </c>
      <c r="I658" s="21" t="n">
        <f aca="false">2_Matriz_decision!I657/I$5</f>
        <v>0.0296369482982925</v>
      </c>
      <c r="J658" s="21" t="n">
        <f aca="false">2_Matriz_decision!J657/J$5</f>
        <v>0.0351992440847949</v>
      </c>
      <c r="K658" s="21" t="n">
        <f aca="false">2_Matriz_decision!K657/K$5</f>
        <v>0.039014903418414</v>
      </c>
      <c r="L658" s="21" t="n">
        <f aca="false">2_Matriz_decision!L657/L$5</f>
        <v>0.0548226816331682</v>
      </c>
      <c r="M658" s="21" t="n">
        <f aca="false">2_Matriz_decision!M657/M$5</f>
        <v>0.0441878007760322</v>
      </c>
      <c r="N658" s="21" t="n">
        <f aca="false">2_Matriz_decision!N657/N$5</f>
        <v>0.0448392173876134</v>
      </c>
      <c r="O658" s="21" t="n">
        <f aca="false">2_Matriz_decision!O657/O$5</f>
        <v>0.0304431282773992</v>
      </c>
      <c r="P658" s="21" t="n">
        <f aca="false">2_Matriz_decision!P657/P$5</f>
        <v>0.0529441535179372</v>
      </c>
      <c r="Q658" s="21" t="n">
        <f aca="false">2_Matriz_decision!Q657/Q$5</f>
        <v>0.0133893885620924</v>
      </c>
    </row>
    <row r="659" customFormat="false" ht="15" hidden="false" customHeight="false" outlineLevel="0" collapsed="false">
      <c r="A659" s="15" t="n">
        <f aca="false">2_Matriz_decision!A658</f>
        <v>654</v>
      </c>
      <c r="B659" s="16" t="n">
        <f aca="false">2_Matriz_decision!B658</f>
        <v>66.22</v>
      </c>
      <c r="C659" s="21" t="n">
        <f aca="false">2_Matriz_decision!C658/C$5</f>
        <v>0.0175878980615769</v>
      </c>
      <c r="D659" s="21" t="n">
        <f aca="false">2_Matriz_decision!D658/D$5</f>
        <v>0.0418648306977948</v>
      </c>
      <c r="E659" s="21" t="n">
        <f aca="false">2_Matriz_decision!E658/E$5</f>
        <v>0.0300541462387823</v>
      </c>
      <c r="F659" s="21" t="n">
        <f aca="false">2_Matriz_decision!F658/F$5</f>
        <v>0.0197623055576251</v>
      </c>
      <c r="G659" s="21" t="n">
        <f aca="false">2_Matriz_decision!G658/G$5</f>
        <v>0.0308362065165227</v>
      </c>
      <c r="H659" s="21" t="n">
        <f aca="false">2_Matriz_decision!H658/H$5</f>
        <v>0.0128089386344754</v>
      </c>
      <c r="I659" s="21" t="n">
        <f aca="false">2_Matriz_decision!I658/I$5</f>
        <v>0.0296369482982925</v>
      </c>
      <c r="J659" s="21" t="n">
        <f aca="false">2_Matriz_decision!J658/J$5</f>
        <v>0.0351992440847949</v>
      </c>
      <c r="K659" s="21" t="n">
        <f aca="false">2_Matriz_decision!K658/K$5</f>
        <v>0.039014903418414</v>
      </c>
      <c r="L659" s="21" t="n">
        <f aca="false">2_Matriz_decision!L658/L$5</f>
        <v>0.044459857665923</v>
      </c>
      <c r="M659" s="21" t="n">
        <f aca="false">2_Matriz_decision!M658/M$5</f>
        <v>0.0441878007760322</v>
      </c>
      <c r="N659" s="21" t="n">
        <f aca="false">2_Matriz_decision!N658/N$5</f>
        <v>0.0448392173876134</v>
      </c>
      <c r="O659" s="21" t="n">
        <f aca="false">2_Matriz_decision!O658/O$5</f>
        <v>0.0304431282773992</v>
      </c>
      <c r="P659" s="21" t="n">
        <f aca="false">2_Matriz_decision!P658/P$5</f>
        <v>0.0529441535179372</v>
      </c>
      <c r="Q659" s="21" t="n">
        <f aca="false">2_Matriz_decision!Q658/Q$5</f>
        <v>0.0133893885620924</v>
      </c>
    </row>
    <row r="660" customFormat="false" ht="15" hidden="false" customHeight="false" outlineLevel="0" collapsed="false">
      <c r="A660" s="15" t="n">
        <f aca="false">2_Matriz_decision!A659</f>
        <v>655</v>
      </c>
      <c r="B660" s="16" t="n">
        <f aca="false">2_Matriz_decision!B659</f>
        <v>66.32</v>
      </c>
      <c r="C660" s="21" t="n">
        <f aca="false">2_Matriz_decision!C659/C$5</f>
        <v>0.0175878980615769</v>
      </c>
      <c r="D660" s="21" t="n">
        <f aca="false">2_Matriz_decision!D659/D$5</f>
        <v>0.0418648306977948</v>
      </c>
      <c r="E660" s="21" t="n">
        <f aca="false">2_Matriz_decision!E659/E$5</f>
        <v>0.0300541462387823</v>
      </c>
      <c r="F660" s="21" t="n">
        <f aca="false">2_Matriz_decision!F659/F$5</f>
        <v>0.0296434583364376</v>
      </c>
      <c r="G660" s="21" t="n">
        <f aca="false">2_Matriz_decision!G659/G$5</f>
        <v>0.0308362065165227</v>
      </c>
      <c r="H660" s="21" t="n">
        <f aca="false">2_Matriz_decision!H659/H$5</f>
        <v>0.0128089386344754</v>
      </c>
      <c r="I660" s="21" t="n">
        <f aca="false">2_Matriz_decision!I659/I$5</f>
        <v>0.0444554224474387</v>
      </c>
      <c r="J660" s="21" t="n">
        <f aca="false">2_Matriz_decision!J659/J$5</f>
        <v>0.0351992440847949</v>
      </c>
      <c r="K660" s="21" t="n">
        <f aca="false">2_Matriz_decision!K659/K$5</f>
        <v>0.039014903418414</v>
      </c>
      <c r="L660" s="21" t="n">
        <f aca="false">2_Matriz_decision!L659/L$5</f>
        <v>0.0368782819376287</v>
      </c>
      <c r="M660" s="21" t="n">
        <f aca="false">2_Matriz_decision!M659/M$5</f>
        <v>0.0441878007760322</v>
      </c>
      <c r="N660" s="21" t="n">
        <f aca="false">2_Matriz_decision!N659/N$5</f>
        <v>0.0448392173876134</v>
      </c>
      <c r="O660" s="21" t="n">
        <f aca="false">2_Matriz_decision!O659/O$5</f>
        <v>0.0304431282773992</v>
      </c>
      <c r="P660" s="21" t="n">
        <f aca="false">2_Matriz_decision!P659/P$5</f>
        <v>0.0529441535179372</v>
      </c>
      <c r="Q660" s="21" t="n">
        <f aca="false">2_Matriz_decision!Q659/Q$5</f>
        <v>0.0133893885620924</v>
      </c>
    </row>
    <row r="661" customFormat="false" ht="15" hidden="false" customHeight="false" outlineLevel="0" collapsed="false">
      <c r="A661" s="15" t="n">
        <f aca="false">2_Matriz_decision!A660</f>
        <v>656</v>
      </c>
      <c r="B661" s="16" t="n">
        <f aca="false">2_Matriz_decision!B660</f>
        <v>66.419</v>
      </c>
      <c r="C661" s="21" t="n">
        <f aca="false">2_Matriz_decision!C660/C$5</f>
        <v>0.0175878980615769</v>
      </c>
      <c r="D661" s="21" t="n">
        <f aca="false">2_Matriz_decision!D660/D$5</f>
        <v>0.0418648306977948</v>
      </c>
      <c r="E661" s="21" t="n">
        <f aca="false">2_Matriz_decision!E660/E$5</f>
        <v>0.0300541462387823</v>
      </c>
      <c r="F661" s="21" t="n">
        <f aca="false">2_Matriz_decision!F660/F$5</f>
        <v>0.0395246111152501</v>
      </c>
      <c r="G661" s="21" t="n">
        <f aca="false">2_Matriz_decision!G660/G$5</f>
        <v>0.0308362065165227</v>
      </c>
      <c r="H661" s="21" t="n">
        <f aca="false">2_Matriz_decision!H660/H$5</f>
        <v>0.0128089386344754</v>
      </c>
      <c r="I661" s="21" t="n">
        <f aca="false">2_Matriz_decision!I660/I$5</f>
        <v>0.0296369482982925</v>
      </c>
      <c r="J661" s="21" t="n">
        <f aca="false">2_Matriz_decision!J660/J$5</f>
        <v>0.0351992440847949</v>
      </c>
      <c r="K661" s="21" t="n">
        <f aca="false">2_Matriz_decision!K660/K$5</f>
        <v>0.039014903418414</v>
      </c>
      <c r="L661" s="21" t="n">
        <f aca="false">2_Matriz_decision!L660/L$5</f>
        <v>0.0369986244095064</v>
      </c>
      <c r="M661" s="21" t="n">
        <f aca="false">2_Matriz_decision!M660/M$5</f>
        <v>0.0441878007760322</v>
      </c>
      <c r="N661" s="21" t="n">
        <f aca="false">2_Matriz_decision!N660/N$5</f>
        <v>0.0448392173876134</v>
      </c>
      <c r="O661" s="21" t="n">
        <f aca="false">2_Matriz_decision!O660/O$5</f>
        <v>0.0304431282773992</v>
      </c>
      <c r="P661" s="21" t="n">
        <f aca="false">2_Matriz_decision!P660/P$5</f>
        <v>0.0529441535179372</v>
      </c>
      <c r="Q661" s="21" t="n">
        <f aca="false">2_Matriz_decision!Q660/Q$5</f>
        <v>0.0133893885620924</v>
      </c>
    </row>
    <row r="662" customFormat="false" ht="15" hidden="false" customHeight="false" outlineLevel="0" collapsed="false">
      <c r="A662" s="15" t="n">
        <f aca="false">2_Matriz_decision!A661</f>
        <v>657</v>
      </c>
      <c r="B662" s="16" t="n">
        <f aca="false">2_Matriz_decision!B661</f>
        <v>66.517</v>
      </c>
      <c r="C662" s="21" t="n">
        <f aca="false">2_Matriz_decision!C661/C$5</f>
        <v>0.0263818470923654</v>
      </c>
      <c r="D662" s="21" t="n">
        <f aca="false">2_Matriz_decision!D661/D$5</f>
        <v>0.0418648306977948</v>
      </c>
      <c r="E662" s="21" t="n">
        <f aca="false">2_Matriz_decision!E661/E$5</f>
        <v>0.0300541462387823</v>
      </c>
      <c r="F662" s="21" t="n">
        <f aca="false">2_Matriz_decision!F661/F$5</f>
        <v>0.0395246111152501</v>
      </c>
      <c r="G662" s="21" t="n">
        <f aca="false">2_Matriz_decision!G661/G$5</f>
        <v>0.0308362065165227</v>
      </c>
      <c r="H662" s="21" t="n">
        <f aca="false">2_Matriz_decision!H661/H$5</f>
        <v>0.0128089386344754</v>
      </c>
      <c r="I662" s="21" t="n">
        <f aca="false">2_Matriz_decision!I661/I$5</f>
        <v>0.0148184741491462</v>
      </c>
      <c r="J662" s="21" t="n">
        <f aca="false">2_Matriz_decision!J661/J$5</f>
        <v>0.0351992440847949</v>
      </c>
      <c r="K662" s="21" t="n">
        <f aca="false">2_Matriz_decision!K661/K$5</f>
        <v>0.039014903418414</v>
      </c>
      <c r="L662" s="21" t="n">
        <f aca="false">2_Matriz_decision!L661/L$5</f>
        <v>0.0367445680799869</v>
      </c>
      <c r="M662" s="21" t="n">
        <f aca="false">2_Matriz_decision!M661/M$5</f>
        <v>0.0441878007760322</v>
      </c>
      <c r="N662" s="21" t="n">
        <f aca="false">2_Matriz_decision!N661/N$5</f>
        <v>0.0448392173876134</v>
      </c>
      <c r="O662" s="21" t="n">
        <f aca="false">2_Matriz_decision!O661/O$5</f>
        <v>0.0304431282773992</v>
      </c>
      <c r="P662" s="21" t="n">
        <f aca="false">2_Matriz_decision!P661/P$5</f>
        <v>0.0529441535179372</v>
      </c>
      <c r="Q662" s="21" t="n">
        <f aca="false">2_Matriz_decision!Q661/Q$5</f>
        <v>0.0133893885620924</v>
      </c>
    </row>
    <row r="663" customFormat="false" ht="15" hidden="false" customHeight="false" outlineLevel="0" collapsed="false">
      <c r="A663" s="15" t="n">
        <f aca="false">2_Matriz_decision!A662</f>
        <v>658</v>
      </c>
      <c r="B663" s="16" t="n">
        <f aca="false">2_Matriz_decision!B662</f>
        <v>66.615</v>
      </c>
      <c r="C663" s="21" t="n">
        <f aca="false">2_Matriz_decision!C662/C$5</f>
        <v>0.0263818470923654</v>
      </c>
      <c r="D663" s="21" t="n">
        <f aca="false">2_Matriz_decision!D662/D$5</f>
        <v>0.0418648306977948</v>
      </c>
      <c r="E663" s="21" t="n">
        <f aca="false">2_Matriz_decision!E662/E$5</f>
        <v>0.0400721949850431</v>
      </c>
      <c r="F663" s="21" t="n">
        <f aca="false">2_Matriz_decision!F662/F$5</f>
        <v>0.0395246111152501</v>
      </c>
      <c r="G663" s="21" t="n">
        <f aca="false">2_Matriz_decision!G662/G$5</f>
        <v>0.0308362065165227</v>
      </c>
      <c r="H663" s="21" t="n">
        <f aca="false">2_Matriz_decision!H662/H$5</f>
        <v>0.0128089386344754</v>
      </c>
      <c r="I663" s="21" t="n">
        <f aca="false">2_Matriz_decision!I662/I$5</f>
        <v>0.0148184741491462</v>
      </c>
      <c r="J663" s="21" t="n">
        <f aca="false">2_Matriz_decision!J662/J$5</f>
        <v>0.0351992440847949</v>
      </c>
      <c r="K663" s="21" t="n">
        <f aca="false">2_Matriz_decision!K662/K$5</f>
        <v>0.039014903418414</v>
      </c>
      <c r="L663" s="21" t="n">
        <f aca="false">2_Matriz_decision!L662/L$5</f>
        <v>0.0358620566195505</v>
      </c>
      <c r="M663" s="21" t="n">
        <f aca="false">2_Matriz_decision!M662/M$5</f>
        <v>0.0441878007760322</v>
      </c>
      <c r="N663" s="21" t="n">
        <f aca="false">2_Matriz_decision!N662/N$5</f>
        <v>0.0448392173876134</v>
      </c>
      <c r="O663" s="21" t="n">
        <f aca="false">2_Matriz_decision!O662/O$5</f>
        <v>0.0304431282773992</v>
      </c>
      <c r="P663" s="21" t="n">
        <f aca="false">2_Matriz_decision!P662/P$5</f>
        <v>0.0529441535179372</v>
      </c>
      <c r="Q663" s="21" t="n">
        <f aca="false">2_Matriz_decision!Q662/Q$5</f>
        <v>0.0133893885620924</v>
      </c>
    </row>
    <row r="664" customFormat="false" ht="15" hidden="false" customHeight="false" outlineLevel="0" collapsed="false">
      <c r="A664" s="15" t="n">
        <f aca="false">2_Matriz_decision!A663</f>
        <v>659</v>
      </c>
      <c r="B664" s="16" t="n">
        <f aca="false">2_Matriz_decision!B663</f>
        <v>66.712</v>
      </c>
      <c r="C664" s="21" t="n">
        <f aca="false">2_Matriz_decision!C663/C$5</f>
        <v>0.0263818470923654</v>
      </c>
      <c r="D664" s="21" t="n">
        <f aca="false">2_Matriz_decision!D663/D$5</f>
        <v>0.0418648306977948</v>
      </c>
      <c r="E664" s="21" t="n">
        <f aca="false">2_Matriz_decision!E663/E$5</f>
        <v>0.0400721949850431</v>
      </c>
      <c r="F664" s="21" t="n">
        <f aca="false">2_Matriz_decision!F663/F$5</f>
        <v>0.0494057638940627</v>
      </c>
      <c r="G664" s="21" t="n">
        <f aca="false">2_Matriz_decision!G663/G$5</f>
        <v>0.0308362065165227</v>
      </c>
      <c r="H664" s="21" t="n">
        <f aca="false">2_Matriz_decision!H663/H$5</f>
        <v>0.0128089386344754</v>
      </c>
      <c r="I664" s="21" t="n">
        <f aca="false">2_Matriz_decision!I663/I$5</f>
        <v>0.0296369482982925</v>
      </c>
      <c r="J664" s="21" t="n">
        <f aca="false">2_Matriz_decision!J663/J$5</f>
        <v>0.0351992440847949</v>
      </c>
      <c r="K664" s="21" t="n">
        <f aca="false">2_Matriz_decision!K663/K$5</f>
        <v>0.039014903418414</v>
      </c>
      <c r="L664" s="21" t="n">
        <f aca="false">2_Matriz_decision!L663/L$5</f>
        <v>0.0423338073294172</v>
      </c>
      <c r="M664" s="21" t="n">
        <f aca="false">2_Matriz_decision!M663/M$5</f>
        <v>0.0435360307145858</v>
      </c>
      <c r="N664" s="21" t="n">
        <f aca="false">2_Matriz_decision!N663/N$5</f>
        <v>0.0448392173876134</v>
      </c>
      <c r="O664" s="21" t="n">
        <f aca="false">2_Matriz_decision!O663/O$5</f>
        <v>0.0304431282773992</v>
      </c>
      <c r="P664" s="21" t="n">
        <f aca="false">2_Matriz_decision!P663/P$5</f>
        <v>0.0529441535179372</v>
      </c>
      <c r="Q664" s="21" t="n">
        <f aca="false">2_Matriz_decision!Q663/Q$5</f>
        <v>0.0133893885620924</v>
      </c>
    </row>
    <row r="665" customFormat="false" ht="15" hidden="false" customHeight="false" outlineLevel="0" collapsed="false">
      <c r="A665" s="15" t="n">
        <f aca="false">2_Matriz_decision!A664</f>
        <v>660</v>
      </c>
      <c r="B665" s="16" t="n">
        <f aca="false">2_Matriz_decision!B664</f>
        <v>66.809</v>
      </c>
      <c r="C665" s="21" t="n">
        <f aca="false">2_Matriz_decision!C664/C$5</f>
        <v>0.0263818470923654</v>
      </c>
      <c r="D665" s="21" t="n">
        <f aca="false">2_Matriz_decision!D664/D$5</f>
        <v>0.0418648306977948</v>
      </c>
      <c r="E665" s="21" t="n">
        <f aca="false">2_Matriz_decision!E664/E$5</f>
        <v>0.0400721949850431</v>
      </c>
      <c r="F665" s="21" t="n">
        <f aca="false">2_Matriz_decision!F664/F$5</f>
        <v>0.0494057638940627</v>
      </c>
      <c r="G665" s="21" t="n">
        <f aca="false">2_Matriz_decision!G664/G$5</f>
        <v>0.0308362065165227</v>
      </c>
      <c r="H665" s="21" t="n">
        <f aca="false">2_Matriz_decision!H664/H$5</f>
        <v>0.0128089386344754</v>
      </c>
      <c r="I665" s="21" t="n">
        <f aca="false">2_Matriz_decision!I664/I$5</f>
        <v>0.0296369482982925</v>
      </c>
      <c r="J665" s="21" t="n">
        <f aca="false">2_Matriz_decision!J664/J$5</f>
        <v>0.0351992440847949</v>
      </c>
      <c r="K665" s="21" t="n">
        <f aca="false">2_Matriz_decision!K664/K$5</f>
        <v>0.039014903418414</v>
      </c>
      <c r="L665" s="21" t="n">
        <f aca="false">2_Matriz_decision!L664/L$5</f>
        <v>0.0347923457584155</v>
      </c>
      <c r="M665" s="21" t="n">
        <f aca="false">2_Matriz_decision!M664/M$5</f>
        <v>0.0436133593659438</v>
      </c>
      <c r="N665" s="21" t="n">
        <f aca="false">2_Matriz_decision!N664/N$5</f>
        <v>0.0448392173876134</v>
      </c>
      <c r="O665" s="21" t="n">
        <f aca="false">2_Matriz_decision!O664/O$5</f>
        <v>0.0304431282773992</v>
      </c>
      <c r="P665" s="21" t="n">
        <f aca="false">2_Matriz_decision!P664/P$5</f>
        <v>0.0529441535179372</v>
      </c>
      <c r="Q665" s="21" t="n">
        <f aca="false">2_Matriz_decision!Q664/Q$5</f>
        <v>0.0133893885620924</v>
      </c>
    </row>
    <row r="666" customFormat="false" ht="15" hidden="false" customHeight="false" outlineLevel="0" collapsed="false">
      <c r="A666" s="15" t="n">
        <f aca="false">2_Matriz_decision!A665</f>
        <v>661</v>
      </c>
      <c r="B666" s="16" t="n">
        <f aca="false">2_Matriz_decision!B665</f>
        <v>66.905</v>
      </c>
      <c r="C666" s="21" t="n">
        <f aca="false">2_Matriz_decision!C665/C$5</f>
        <v>0.0263818470923654</v>
      </c>
      <c r="D666" s="21" t="n">
        <f aca="false">2_Matriz_decision!D665/D$5</f>
        <v>0.0418648306977948</v>
      </c>
      <c r="E666" s="21" t="n">
        <f aca="false">2_Matriz_decision!E665/E$5</f>
        <v>0.0400721949850431</v>
      </c>
      <c r="F666" s="21" t="n">
        <f aca="false">2_Matriz_decision!F665/F$5</f>
        <v>0.0494057638940627</v>
      </c>
      <c r="G666" s="21" t="n">
        <f aca="false">2_Matriz_decision!G665/G$5</f>
        <v>0.0308362065165227</v>
      </c>
      <c r="H666" s="21" t="n">
        <f aca="false">2_Matriz_decision!H665/H$5</f>
        <v>0.0128089386344754</v>
      </c>
      <c r="I666" s="21" t="n">
        <f aca="false">2_Matriz_decision!I665/I$5</f>
        <v>0.0148184741491462</v>
      </c>
      <c r="J666" s="21" t="n">
        <f aca="false">2_Matriz_decision!J665/J$5</f>
        <v>0.0351992440847949</v>
      </c>
      <c r="K666" s="21" t="n">
        <f aca="false">2_Matriz_decision!K665/K$5</f>
        <v>0.039014903418414</v>
      </c>
      <c r="L666" s="21" t="n">
        <f aca="false">2_Matriz_decision!L665/L$5</f>
        <v>0.0428552913742205</v>
      </c>
      <c r="M666" s="21" t="n">
        <f aca="false">2_Matriz_decision!M665/M$5</f>
        <v>0.0446296787837926</v>
      </c>
      <c r="N666" s="21" t="n">
        <f aca="false">2_Matriz_decision!N665/N$5</f>
        <v>0.0448392173876134</v>
      </c>
      <c r="O666" s="21" t="n">
        <f aca="false">2_Matriz_decision!O665/O$5</f>
        <v>0.0304431282773992</v>
      </c>
      <c r="P666" s="21" t="n">
        <f aca="false">2_Matriz_decision!P665/P$5</f>
        <v>0.0529441535179372</v>
      </c>
      <c r="Q666" s="21" t="n">
        <f aca="false">2_Matriz_decision!Q665/Q$5</f>
        <v>0.0535575542483696</v>
      </c>
    </row>
    <row r="667" customFormat="false" ht="15" hidden="false" customHeight="false" outlineLevel="0" collapsed="false">
      <c r="A667" s="15" t="n">
        <f aca="false">2_Matriz_decision!A666</f>
        <v>662</v>
      </c>
      <c r="B667" s="16" t="n">
        <f aca="false">2_Matriz_decision!B666</f>
        <v>67.003</v>
      </c>
      <c r="C667" s="21" t="n">
        <f aca="false">2_Matriz_decision!C666/C$5</f>
        <v>0.0263818470923654</v>
      </c>
      <c r="D667" s="21" t="n">
        <f aca="false">2_Matriz_decision!D666/D$5</f>
        <v>0.0418648306977948</v>
      </c>
      <c r="E667" s="21" t="n">
        <f aca="false">2_Matriz_decision!E666/E$5</f>
        <v>0.0400721949850431</v>
      </c>
      <c r="F667" s="21" t="n">
        <f aca="false">2_Matriz_decision!F666/F$5</f>
        <v>0.0395246111152501</v>
      </c>
      <c r="G667" s="21" t="n">
        <f aca="false">2_Matriz_decision!G666/G$5</f>
        <v>0.0308362065165227</v>
      </c>
      <c r="H667" s="21" t="n">
        <f aca="false">2_Matriz_decision!H666/H$5</f>
        <v>0.0128089386344754</v>
      </c>
      <c r="I667" s="21" t="n">
        <f aca="false">2_Matriz_decision!I666/I$5</f>
        <v>0.0148184741491462</v>
      </c>
      <c r="J667" s="21" t="n">
        <f aca="false">2_Matriz_decision!J666/J$5</f>
        <v>0.0351992440847949</v>
      </c>
      <c r="K667" s="21" t="n">
        <f aca="false">2_Matriz_decision!K666/K$5</f>
        <v>0.039014903418414</v>
      </c>
      <c r="L667" s="21" t="n">
        <f aca="false">2_Matriz_decision!L666/L$5</f>
        <v>0.0485515017097643</v>
      </c>
      <c r="M667" s="21" t="n">
        <f aca="false">2_Matriz_decision!M666/M$5</f>
        <v>0.0447843360865087</v>
      </c>
      <c r="N667" s="21" t="n">
        <f aca="false">2_Matriz_decision!N666/N$5</f>
        <v>0.0448392173876134</v>
      </c>
      <c r="O667" s="21" t="n">
        <f aca="false">2_Matriz_decision!O666/O$5</f>
        <v>0.0304431282773992</v>
      </c>
      <c r="P667" s="21" t="n">
        <f aca="false">2_Matriz_decision!P666/P$5</f>
        <v>0.0529441535179372</v>
      </c>
      <c r="Q667" s="21" t="n">
        <f aca="false">2_Matriz_decision!Q666/Q$5</f>
        <v>0.0535575542483696</v>
      </c>
    </row>
    <row r="668" customFormat="false" ht="15" hidden="false" customHeight="false" outlineLevel="0" collapsed="false">
      <c r="A668" s="15" t="n">
        <f aca="false">2_Matriz_decision!A667</f>
        <v>663</v>
      </c>
      <c r="B668" s="16" t="n">
        <f aca="false">2_Matriz_decision!B667</f>
        <v>67.1</v>
      </c>
      <c r="C668" s="21" t="n">
        <f aca="false">2_Matriz_decision!C667/C$5</f>
        <v>0.0263818470923654</v>
      </c>
      <c r="D668" s="21" t="n">
        <f aca="false">2_Matriz_decision!D667/D$5</f>
        <v>0.0418648306977948</v>
      </c>
      <c r="E668" s="21" t="n">
        <f aca="false">2_Matriz_decision!E667/E$5</f>
        <v>0.0400721949850431</v>
      </c>
      <c r="F668" s="21" t="n">
        <f aca="false">2_Matriz_decision!F667/F$5</f>
        <v>0.0395246111152501</v>
      </c>
      <c r="G668" s="21" t="n">
        <f aca="false">2_Matriz_decision!G667/G$5</f>
        <v>0.0308362065165227</v>
      </c>
      <c r="H668" s="21" t="n">
        <f aca="false">2_Matriz_decision!H667/H$5</f>
        <v>0.0128089386344754</v>
      </c>
      <c r="I668" s="21" t="n">
        <f aca="false">2_Matriz_decision!I667/I$5</f>
        <v>0.0148184741491462</v>
      </c>
      <c r="J668" s="21" t="n">
        <f aca="false">2_Matriz_decision!J667/J$5</f>
        <v>0.0351992440847949</v>
      </c>
      <c r="K668" s="21" t="n">
        <f aca="false">2_Matriz_decision!K667/K$5</f>
        <v>0.039014903418414</v>
      </c>
      <c r="L668" s="21" t="n">
        <f aca="false">2_Matriz_decision!L667/L$5</f>
        <v>0.0510385794619032</v>
      </c>
      <c r="M668" s="21" t="n">
        <f aca="false">2_Matriz_decision!M667/M$5</f>
        <v>0.0450936506919409</v>
      </c>
      <c r="N668" s="21" t="n">
        <f aca="false">2_Matriz_decision!N667/N$5</f>
        <v>0.0448392173876134</v>
      </c>
      <c r="O668" s="21" t="n">
        <f aca="false">2_Matriz_decision!O667/O$5</f>
        <v>0.0608862565547983</v>
      </c>
      <c r="P668" s="21" t="n">
        <f aca="false">2_Matriz_decision!P667/P$5</f>
        <v>0.0529441535179372</v>
      </c>
      <c r="Q668" s="21" t="n">
        <f aca="false">2_Matriz_decision!Q667/Q$5</f>
        <v>0.0535575542483696</v>
      </c>
    </row>
    <row r="669" customFormat="false" ht="15" hidden="false" customHeight="false" outlineLevel="0" collapsed="false">
      <c r="A669" s="15" t="n">
        <f aca="false">2_Matriz_decision!A668</f>
        <v>664</v>
      </c>
      <c r="B669" s="16" t="n">
        <f aca="false">2_Matriz_decision!B668</f>
        <v>67.198</v>
      </c>
      <c r="C669" s="21" t="n">
        <f aca="false">2_Matriz_decision!C668/C$5</f>
        <v>0.0263818470923654</v>
      </c>
      <c r="D669" s="21" t="n">
        <f aca="false">2_Matriz_decision!D668/D$5</f>
        <v>0.0418648306977948</v>
      </c>
      <c r="E669" s="21" t="n">
        <f aca="false">2_Matriz_decision!E668/E$5</f>
        <v>0.0400721949850431</v>
      </c>
      <c r="F669" s="21" t="n">
        <f aca="false">2_Matriz_decision!F668/F$5</f>
        <v>0.0296434583364376</v>
      </c>
      <c r="G669" s="21" t="n">
        <f aca="false">2_Matriz_decision!G668/G$5</f>
        <v>0.0308362065165227</v>
      </c>
      <c r="H669" s="21" t="n">
        <f aca="false">2_Matriz_decision!H668/H$5</f>
        <v>0.0128089386344754</v>
      </c>
      <c r="I669" s="21" t="n">
        <f aca="false">2_Matriz_decision!I668/I$5</f>
        <v>0.0148184741491462</v>
      </c>
      <c r="J669" s="21" t="n">
        <f aca="false">2_Matriz_decision!J668/J$5</f>
        <v>0.0351992440847949</v>
      </c>
      <c r="K669" s="21" t="n">
        <f aca="false">2_Matriz_decision!K668/K$5</f>
        <v>0.039014903418414</v>
      </c>
      <c r="L669" s="21" t="n">
        <f aca="false">2_Matriz_decision!L668/L$5</f>
        <v>0.0509182369900255</v>
      </c>
      <c r="M669" s="21" t="n">
        <f aca="false">2_Matriz_decision!M668/M$5</f>
        <v>0.0453145896958211</v>
      </c>
      <c r="N669" s="21" t="n">
        <f aca="false">2_Matriz_decision!N668/N$5</f>
        <v>0.0448392173876134</v>
      </c>
      <c r="O669" s="21" t="n">
        <f aca="false">2_Matriz_decision!O668/O$5</f>
        <v>0.0608862565547983</v>
      </c>
      <c r="P669" s="21" t="n">
        <f aca="false">2_Matriz_decision!P668/P$5</f>
        <v>0.0529441535179372</v>
      </c>
      <c r="Q669" s="21" t="n">
        <f aca="false">2_Matriz_decision!Q668/Q$5</f>
        <v>0.0535575542483696</v>
      </c>
    </row>
    <row r="670" customFormat="false" ht="15" hidden="false" customHeight="false" outlineLevel="0" collapsed="false">
      <c r="A670" s="15" t="n">
        <f aca="false">2_Matriz_decision!A669</f>
        <v>665</v>
      </c>
      <c r="B670" s="16" t="n">
        <f aca="false">2_Matriz_decision!B669</f>
        <v>67.296</v>
      </c>
      <c r="C670" s="21" t="n">
        <f aca="false">2_Matriz_decision!C669/C$5</f>
        <v>0.0263818470923654</v>
      </c>
      <c r="D670" s="21" t="n">
        <f aca="false">2_Matriz_decision!D669/D$5</f>
        <v>0.0418648306977948</v>
      </c>
      <c r="E670" s="21" t="n">
        <f aca="false">2_Matriz_decision!E669/E$5</f>
        <v>0.0300541462387823</v>
      </c>
      <c r="F670" s="21" t="n">
        <f aca="false">2_Matriz_decision!F669/F$5</f>
        <v>0.0395246111152501</v>
      </c>
      <c r="G670" s="21" t="n">
        <f aca="false">2_Matriz_decision!G669/G$5</f>
        <v>0.0308362065165227</v>
      </c>
      <c r="H670" s="21" t="n">
        <f aca="false">2_Matriz_decision!H669/H$5</f>
        <v>0.0128089386344754</v>
      </c>
      <c r="I670" s="21" t="n">
        <f aca="false">2_Matriz_decision!I669/I$5</f>
        <v>0.0148184741491462</v>
      </c>
      <c r="J670" s="21" t="n">
        <f aca="false">2_Matriz_decision!J669/J$5</f>
        <v>0.0351992440847949</v>
      </c>
      <c r="K670" s="21" t="n">
        <f aca="false">2_Matriz_decision!K669/K$5</f>
        <v>0.039014903418414</v>
      </c>
      <c r="L670" s="21" t="n">
        <f aca="false">2_Matriz_decision!L669/L$5</f>
        <v>0.0517205201358767</v>
      </c>
      <c r="M670" s="21" t="n">
        <f aca="false">2_Matriz_decision!M669/M$5</f>
        <v>0.0473472285315185</v>
      </c>
      <c r="N670" s="21" t="n">
        <f aca="false">2_Matriz_decision!N669/N$5</f>
        <v>0.0448392173876134</v>
      </c>
      <c r="O670" s="21" t="n">
        <f aca="false">2_Matriz_decision!O669/O$5</f>
        <v>0.0608862565547983</v>
      </c>
      <c r="P670" s="21" t="n">
        <f aca="false">2_Matriz_decision!P669/P$5</f>
        <v>0.0529441535179372</v>
      </c>
      <c r="Q670" s="21" t="n">
        <f aca="false">2_Matriz_decision!Q669/Q$5</f>
        <v>0.0535575542483696</v>
      </c>
    </row>
    <row r="671" customFormat="false" ht="15" hidden="false" customHeight="false" outlineLevel="0" collapsed="false">
      <c r="A671" s="15" t="n">
        <f aca="false">2_Matriz_decision!A670</f>
        <v>666</v>
      </c>
      <c r="B671" s="16" t="n">
        <f aca="false">2_Matriz_decision!B670</f>
        <v>67.393</v>
      </c>
      <c r="C671" s="21" t="n">
        <f aca="false">2_Matriz_decision!C670/C$5</f>
        <v>0.0263818470923654</v>
      </c>
      <c r="D671" s="21" t="n">
        <f aca="false">2_Matriz_decision!D670/D$5</f>
        <v>0.0418648306977948</v>
      </c>
      <c r="E671" s="21" t="n">
        <f aca="false">2_Matriz_decision!E670/E$5</f>
        <v>0.0300541462387823</v>
      </c>
      <c r="F671" s="21" t="n">
        <f aca="false">2_Matriz_decision!F670/F$5</f>
        <v>0.0395246111152501</v>
      </c>
      <c r="G671" s="21" t="n">
        <f aca="false">2_Matriz_decision!G670/G$5</f>
        <v>0.0308362065165227</v>
      </c>
      <c r="H671" s="21" t="n">
        <f aca="false">2_Matriz_decision!H670/H$5</f>
        <v>0.0128089386344754</v>
      </c>
      <c r="I671" s="21" t="n">
        <f aca="false">2_Matriz_decision!I670/I$5</f>
        <v>0.0148184741491462</v>
      </c>
      <c r="J671" s="21" t="n">
        <f aca="false">2_Matriz_decision!J670/J$5</f>
        <v>0.0351992440847949</v>
      </c>
      <c r="K671" s="21" t="n">
        <f aca="false">2_Matriz_decision!K670/K$5</f>
        <v>0.039014903418414</v>
      </c>
      <c r="L671" s="21" t="n">
        <f aca="false">2_Matriz_decision!L670/L$5</f>
        <v>0.0580050714450448</v>
      </c>
      <c r="M671" s="21" t="n">
        <f aca="false">2_Matriz_decision!M670/M$5</f>
        <v>0.0517991494597038</v>
      </c>
      <c r="N671" s="21" t="n">
        <f aca="false">2_Matriz_decision!N670/N$5</f>
        <v>0.0448392173876134</v>
      </c>
      <c r="O671" s="21" t="n">
        <f aca="false">2_Matriz_decision!O670/O$5</f>
        <v>0.0608862565547983</v>
      </c>
      <c r="P671" s="21" t="n">
        <f aca="false">2_Matriz_decision!P670/P$5</f>
        <v>0.0529441535179372</v>
      </c>
      <c r="Q671" s="21" t="n">
        <f aca="false">2_Matriz_decision!Q670/Q$5</f>
        <v>0.0133893885620924</v>
      </c>
    </row>
    <row r="672" customFormat="false" ht="15" hidden="false" customHeight="false" outlineLevel="0" collapsed="false">
      <c r="A672" s="15" t="n">
        <f aca="false">2_Matriz_decision!A671</f>
        <v>667</v>
      </c>
      <c r="B672" s="16" t="n">
        <f aca="false">2_Matriz_decision!B671</f>
        <v>67.489</v>
      </c>
      <c r="C672" s="21" t="n">
        <f aca="false">2_Matriz_decision!C671/C$5</f>
        <v>0.0263818470923654</v>
      </c>
      <c r="D672" s="21" t="n">
        <f aca="false">2_Matriz_decision!D671/D$5</f>
        <v>0.0418648306977948</v>
      </c>
      <c r="E672" s="21" t="n">
        <f aca="false">2_Matriz_decision!E671/E$5</f>
        <v>0.0300541462387823</v>
      </c>
      <c r="F672" s="21" t="n">
        <f aca="false">2_Matriz_decision!F671/F$5</f>
        <v>0.0395246111152501</v>
      </c>
      <c r="G672" s="21" t="n">
        <f aca="false">2_Matriz_decision!G671/G$5</f>
        <v>0.0308362065165227</v>
      </c>
      <c r="H672" s="21" t="n">
        <f aca="false">2_Matriz_decision!H671/H$5</f>
        <v>0.0128089386344754</v>
      </c>
      <c r="I672" s="21" t="n">
        <f aca="false">2_Matriz_decision!I671/I$5</f>
        <v>0.0148184741491462</v>
      </c>
      <c r="J672" s="21" t="n">
        <f aca="false">2_Matriz_decision!J671/J$5</f>
        <v>0.0351992440847949</v>
      </c>
      <c r="K672" s="21" t="n">
        <f aca="false">2_Matriz_decision!K671/K$5</f>
        <v>0.039014903418414</v>
      </c>
      <c r="L672" s="21" t="n">
        <f aca="false">2_Matriz_decision!L671/L$5</f>
        <v>0.0613211751145632</v>
      </c>
      <c r="M672" s="21" t="n">
        <f aca="false">2_Matriz_decision!M671/M$5</f>
        <v>0.0524398725709563</v>
      </c>
      <c r="N672" s="21" t="n">
        <f aca="false">2_Matriz_decision!N671/N$5</f>
        <v>0.0448392173876134</v>
      </c>
      <c r="O672" s="21" t="n">
        <f aca="false">2_Matriz_decision!O671/O$5</f>
        <v>0.0913293848321975</v>
      </c>
      <c r="P672" s="21" t="n">
        <f aca="false">2_Matriz_decision!P671/P$5</f>
        <v>0.0529441535179372</v>
      </c>
      <c r="Q672" s="21" t="n">
        <f aca="false">2_Matriz_decision!Q671/Q$5</f>
        <v>0.0133893885620924</v>
      </c>
    </row>
    <row r="673" customFormat="false" ht="15" hidden="false" customHeight="false" outlineLevel="0" collapsed="false">
      <c r="A673" s="15" t="n">
        <f aca="false">2_Matriz_decision!A672</f>
        <v>668</v>
      </c>
      <c r="B673" s="16" t="n">
        <f aca="false">2_Matriz_decision!B672</f>
        <v>67.585</v>
      </c>
      <c r="C673" s="21" t="n">
        <f aca="false">2_Matriz_decision!C672/C$5</f>
        <v>0.0263818470923654</v>
      </c>
      <c r="D673" s="21" t="n">
        <f aca="false">2_Matriz_decision!D672/D$5</f>
        <v>0.0418648306977948</v>
      </c>
      <c r="E673" s="21" t="n">
        <f aca="false">2_Matriz_decision!E672/E$5</f>
        <v>0.0400721949850431</v>
      </c>
      <c r="F673" s="21" t="n">
        <f aca="false">2_Matriz_decision!F672/F$5</f>
        <v>0.0296434583364376</v>
      </c>
      <c r="G673" s="21" t="n">
        <f aca="false">2_Matriz_decision!G672/G$5</f>
        <v>0.0411149420220302</v>
      </c>
      <c r="H673" s="21" t="n">
        <f aca="false">2_Matriz_decision!H672/H$5</f>
        <v>0.0128089386344754</v>
      </c>
      <c r="I673" s="21" t="n">
        <f aca="false">2_Matriz_decision!I672/I$5</f>
        <v>0.0148184741491462</v>
      </c>
      <c r="J673" s="21" t="n">
        <f aca="false">2_Matriz_decision!J672/J$5</f>
        <v>0.0351992440847949</v>
      </c>
      <c r="K673" s="21" t="n">
        <f aca="false">2_Matriz_decision!K672/K$5</f>
        <v>0.039014903418414</v>
      </c>
      <c r="L673" s="21" t="n">
        <f aca="false">2_Matriz_decision!L672/L$5</f>
        <v>0.0600508934669654</v>
      </c>
      <c r="M673" s="21" t="n">
        <f aca="false">2_Matriz_decision!M672/M$5</f>
        <v>0.0486618156046055</v>
      </c>
      <c r="N673" s="21" t="n">
        <f aca="false">2_Matriz_decision!N672/N$5</f>
        <v>0.0448392173876134</v>
      </c>
      <c r="O673" s="21" t="n">
        <f aca="false">2_Matriz_decision!O672/O$5</f>
        <v>0.0913293848321975</v>
      </c>
      <c r="P673" s="21" t="n">
        <f aca="false">2_Matriz_decision!P672/P$5</f>
        <v>0.0529441535179372</v>
      </c>
      <c r="Q673" s="21" t="n">
        <f aca="false">2_Matriz_decision!Q672/Q$5</f>
        <v>0.0133893885620924</v>
      </c>
    </row>
    <row r="674" customFormat="false" ht="15" hidden="false" customHeight="false" outlineLevel="0" collapsed="false">
      <c r="A674" s="15" t="n">
        <f aca="false">2_Matriz_decision!A673</f>
        <v>669</v>
      </c>
      <c r="B674" s="16" t="n">
        <f aca="false">2_Matriz_decision!B673</f>
        <v>67.68</v>
      </c>
      <c r="C674" s="21" t="n">
        <f aca="false">2_Matriz_decision!C673/C$5</f>
        <v>0.0263818470923654</v>
      </c>
      <c r="D674" s="21" t="n">
        <f aca="false">2_Matriz_decision!D673/D$5</f>
        <v>0.0418648306977948</v>
      </c>
      <c r="E674" s="21" t="n">
        <f aca="false">2_Matriz_decision!E673/E$5</f>
        <v>0.0300541462387823</v>
      </c>
      <c r="F674" s="21" t="n">
        <f aca="false">2_Matriz_decision!F673/F$5</f>
        <v>0.0296434583364376</v>
      </c>
      <c r="G674" s="21" t="n">
        <f aca="false">2_Matriz_decision!G673/G$5</f>
        <v>0.0411149420220302</v>
      </c>
      <c r="H674" s="21" t="n">
        <f aca="false">2_Matriz_decision!H673/H$5</f>
        <v>0.0128089386344754</v>
      </c>
      <c r="I674" s="21" t="n">
        <f aca="false">2_Matriz_decision!I673/I$5</f>
        <v>0.0148184741491462</v>
      </c>
      <c r="J674" s="21" t="n">
        <f aca="false">2_Matriz_decision!J673/J$5</f>
        <v>0.0351992440847949</v>
      </c>
      <c r="K674" s="21" t="n">
        <f aca="false">2_Matriz_decision!K673/K$5</f>
        <v>0.039014903418414</v>
      </c>
      <c r="L674" s="21" t="n">
        <f aca="false">2_Matriz_decision!L673/L$5</f>
        <v>0.0599974079239087</v>
      </c>
      <c r="M674" s="21" t="n">
        <f aca="false">2_Matriz_decision!M673/M$5</f>
        <v>0.0468832566233702</v>
      </c>
      <c r="N674" s="21" t="n">
        <f aca="false">2_Matriz_decision!N673/N$5</f>
        <v>0.0448392173876134</v>
      </c>
      <c r="O674" s="21" t="n">
        <f aca="false">2_Matriz_decision!O673/O$5</f>
        <v>0.0913293848321975</v>
      </c>
      <c r="P674" s="21" t="n">
        <f aca="false">2_Matriz_decision!P673/P$5</f>
        <v>0.0794162302769058</v>
      </c>
      <c r="Q674" s="21" t="n">
        <f aca="false">2_Matriz_decision!Q673/Q$5</f>
        <v>0.0133893885620924</v>
      </c>
    </row>
    <row r="675" customFormat="false" ht="15" hidden="false" customHeight="false" outlineLevel="0" collapsed="false">
      <c r="A675" s="15" t="n">
        <f aca="false">2_Matriz_decision!A674</f>
        <v>670</v>
      </c>
      <c r="B675" s="16" t="n">
        <f aca="false">2_Matriz_decision!B674</f>
        <v>67.778</v>
      </c>
      <c r="C675" s="21" t="n">
        <f aca="false">2_Matriz_decision!C674/C$5</f>
        <v>0.0263818470923654</v>
      </c>
      <c r="D675" s="21" t="n">
        <f aca="false">2_Matriz_decision!D674/D$5</f>
        <v>0.0418648306977948</v>
      </c>
      <c r="E675" s="21" t="n">
        <f aca="false">2_Matriz_decision!E674/E$5</f>
        <v>0.0300541462387823</v>
      </c>
      <c r="F675" s="21" t="n">
        <f aca="false">2_Matriz_decision!F674/F$5</f>
        <v>0.0296434583364376</v>
      </c>
      <c r="G675" s="21" t="n">
        <f aca="false">2_Matriz_decision!G674/G$5</f>
        <v>0.0411149420220302</v>
      </c>
      <c r="H675" s="21" t="n">
        <f aca="false">2_Matriz_decision!H674/H$5</f>
        <v>0.0128089386344754</v>
      </c>
      <c r="I675" s="21" t="n">
        <f aca="false">2_Matriz_decision!I674/I$5</f>
        <v>0.0148184741491462</v>
      </c>
      <c r="J675" s="21" t="n">
        <f aca="false">2_Matriz_decision!J674/J$5</f>
        <v>0.0351992440847949</v>
      </c>
      <c r="K675" s="21" t="n">
        <f aca="false">2_Matriz_decision!K674/K$5</f>
        <v>0.039014903418414</v>
      </c>
      <c r="L675" s="21" t="n">
        <f aca="false">2_Matriz_decision!L674/L$5</f>
        <v>0.0603985494968343</v>
      </c>
      <c r="M675" s="21" t="n">
        <f aca="false">2_Matriz_decision!M674/M$5</f>
        <v>0.0468390688225942</v>
      </c>
      <c r="N675" s="21" t="n">
        <f aca="false">2_Matriz_decision!N674/N$5</f>
        <v>0.0336294130407101</v>
      </c>
      <c r="O675" s="21" t="n">
        <f aca="false">2_Matriz_decision!O674/O$5</f>
        <v>0.0913293848321975</v>
      </c>
      <c r="P675" s="21" t="n">
        <f aca="false">2_Matriz_decision!P674/P$5</f>
        <v>0.0794162302769058</v>
      </c>
      <c r="Q675" s="21" t="n">
        <f aca="false">2_Matriz_decision!Q674/Q$5</f>
        <v>0.0133893885620924</v>
      </c>
    </row>
    <row r="676" customFormat="false" ht="15" hidden="false" customHeight="false" outlineLevel="0" collapsed="false">
      <c r="A676" s="17" t="n">
        <f aca="false">2_Matriz_decision!A675</f>
        <v>671</v>
      </c>
      <c r="B676" s="18" t="n">
        <f aca="false">2_Matriz_decision!B675</f>
        <v>67.875</v>
      </c>
      <c r="C676" s="27" t="n">
        <f aca="false">2_Matriz_decision!C675/C$5</f>
        <v>0.0263818470923654</v>
      </c>
      <c r="D676" s="27" t="n">
        <f aca="false">2_Matriz_decision!D675/D$5</f>
        <v>0.0418648306977948</v>
      </c>
      <c r="E676" s="27" t="n">
        <f aca="false">2_Matriz_decision!E675/E$5</f>
        <v>0.0400721949850431</v>
      </c>
      <c r="F676" s="27" t="n">
        <f aca="false">2_Matriz_decision!F675/F$5</f>
        <v>0.0197623055576251</v>
      </c>
      <c r="G676" s="27" t="n">
        <f aca="false">2_Matriz_decision!G675/G$5</f>
        <v>0.0411149420220302</v>
      </c>
      <c r="H676" s="27" t="n">
        <f aca="false">2_Matriz_decision!H675/H$5</f>
        <v>0.0128089386344754</v>
      </c>
      <c r="I676" s="27" t="n">
        <f aca="false">2_Matriz_decision!I675/I$5</f>
        <v>0.0148184741491462</v>
      </c>
      <c r="J676" s="27" t="n">
        <f aca="false">2_Matriz_decision!J675/J$5</f>
        <v>0.0351992440847949</v>
      </c>
      <c r="K676" s="27" t="n">
        <f aca="false">2_Matriz_decision!K675/K$5</f>
        <v>0.039014903418414</v>
      </c>
      <c r="L676" s="27" t="n">
        <f aca="false">2_Matriz_decision!L675/L$5</f>
        <v>0.0618560305451307</v>
      </c>
      <c r="M676" s="27" t="n">
        <f aca="false">2_Matriz_decision!M675/M$5</f>
        <v>0.04660708286852</v>
      </c>
      <c r="N676" s="27" t="n">
        <f aca="false">2_Matriz_decision!N675/N$5</f>
        <v>0.0336294130407101</v>
      </c>
      <c r="O676" s="27" t="n">
        <f aca="false">2_Matriz_decision!O675/O$5</f>
        <v>0.0913293848321975</v>
      </c>
      <c r="P676" s="27" t="n">
        <f aca="false">2_Matriz_decision!P675/P$5</f>
        <v>0.0794162302769058</v>
      </c>
      <c r="Q676" s="27" t="n">
        <f aca="false">2_Matriz_decision!Q675/Q$5</f>
        <v>0.0133893885620924</v>
      </c>
    </row>
    <row r="677" customFormat="false" ht="30" hidden="false" customHeight="true" outlineLevel="0" collapsed="false">
      <c r="A677" s="6" t="s">
        <v>135</v>
      </c>
      <c r="B677" s="6"/>
      <c r="C677" s="6"/>
      <c r="D677" s="6"/>
      <c r="E677" s="6"/>
      <c r="F677" s="6"/>
      <c r="G677" s="6"/>
      <c r="H677" s="6"/>
      <c r="I677" s="6"/>
      <c r="J677" s="6"/>
      <c r="K677" s="6"/>
      <c r="L677" s="6"/>
      <c r="M677" s="6"/>
      <c r="N677" s="6"/>
      <c r="O677" s="6"/>
      <c r="P677" s="6"/>
      <c r="Q677" s="6"/>
    </row>
  </sheetData>
  <mergeCells count="1">
    <mergeCell ref="A677:Q67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6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3"/>
    <col collapsed="false" customWidth="true" hidden="false" outlineLevel="0" max="17" min="3" style="0" width="12"/>
  </cols>
  <sheetData>
    <row r="1" customFormat="false" ht="15" hidden="false" customHeight="false" outlineLevel="0" collapsed="false">
      <c r="A1" s="7" t="s">
        <v>17</v>
      </c>
    </row>
    <row r="2" customFormat="false" ht="15" hidden="false" customHeight="false" outlineLevel="0" collapsed="false">
      <c r="A2" s="8" t="s">
        <v>18</v>
      </c>
    </row>
    <row r="4" customFormat="false" ht="30" hidden="false" customHeight="true" outlineLevel="0" collapsed="false">
      <c r="A4" s="2" t="s">
        <v>77</v>
      </c>
      <c r="B4" s="3" t="s">
        <v>78</v>
      </c>
      <c r="C4" s="3" t="s">
        <v>136</v>
      </c>
      <c r="D4" s="3" t="s">
        <v>137</v>
      </c>
      <c r="E4" s="3" t="s">
        <v>138</v>
      </c>
      <c r="F4" s="3" t="s">
        <v>139</v>
      </c>
      <c r="G4" s="3" t="s">
        <v>140</v>
      </c>
      <c r="H4" s="3" t="s">
        <v>141</v>
      </c>
      <c r="I4" s="3" t="s">
        <v>142</v>
      </c>
      <c r="J4" s="3" t="s">
        <v>143</v>
      </c>
      <c r="K4" s="3" t="s">
        <v>144</v>
      </c>
      <c r="L4" s="3" t="s">
        <v>145</v>
      </c>
      <c r="M4" s="3" t="s">
        <v>146</v>
      </c>
      <c r="N4" s="3" t="s">
        <v>147</v>
      </c>
      <c r="O4" s="3" t="s">
        <v>148</v>
      </c>
      <c r="P4" s="3" t="s">
        <v>149</v>
      </c>
      <c r="Q4" s="3" t="s">
        <v>150</v>
      </c>
    </row>
    <row r="5" customFormat="false" ht="15" hidden="false" customHeight="false" outlineLevel="0" collapsed="false">
      <c r="A5" s="7" t="s">
        <v>151</v>
      </c>
      <c r="C5" s="26" t="n">
        <f aca="false">3_Pesos!$F$5</f>
        <v>0.0480992114015421</v>
      </c>
      <c r="D5" s="26" t="n">
        <f aca="false">3_Pesos!$F$6</f>
        <v>0.0049070120182445</v>
      </c>
      <c r="E5" s="26" t="n">
        <f aca="false">3_Pesos!$F$7</f>
        <v>0.0463398387420846</v>
      </c>
      <c r="F5" s="26" t="n">
        <f aca="false">3_Pesos!$F$8</f>
        <v>0.0408362624840673</v>
      </c>
      <c r="G5" s="26" t="n">
        <f aca="false">3_Pesos!$F$9</f>
        <v>0.0068184283090322</v>
      </c>
      <c r="H5" s="26" t="n">
        <f aca="false">3_Pesos!$F$10</f>
        <v>0.132528224412115</v>
      </c>
      <c r="I5" s="26" t="n">
        <f aca="false">3_Pesos!$F$11</f>
        <v>0.189686753569254</v>
      </c>
      <c r="J5" s="26" t="n">
        <f aca="false">3_Pesos!$F$12</f>
        <v>0.0072605832326279</v>
      </c>
      <c r="K5" s="26" t="n">
        <f aca="false">3_Pesos!$F$13</f>
        <v>0.0009999598619625</v>
      </c>
      <c r="L5" s="26" t="n">
        <f aca="false">3_Pesos!$F$14</f>
        <v>0.037496842882217</v>
      </c>
      <c r="M5" s="26" t="n">
        <f aca="false">3_Pesos!$F$15</f>
        <v>0.0186982574697103</v>
      </c>
      <c r="N5" s="26" t="n">
        <f aca="false">3_Pesos!$F$16</f>
        <v>0.135577394415291</v>
      </c>
      <c r="O5" s="26" t="n">
        <f aca="false">3_Pesos!$F$17</f>
        <v>0.0658891763117097</v>
      </c>
      <c r="P5" s="26" t="n">
        <f aca="false">3_Pesos!$F$18</f>
        <v>0.0513149086011732</v>
      </c>
      <c r="Q5" s="26" t="n">
        <f aca="false">3_Pesos!$F$19</f>
        <v>0.213547146288968</v>
      </c>
    </row>
    <row r="6" customFormat="false" ht="15" hidden="false" customHeight="false" outlineLevel="0" collapsed="false">
      <c r="A6" s="7" t="s">
        <v>152</v>
      </c>
      <c r="C6" s="26" t="n">
        <f aca="false">C$5*5/4_Normalizacion!C$5</f>
        <v>0.00211491006743141</v>
      </c>
      <c r="D6" s="26" t="n">
        <f aca="false">D$5*5/4_Normalizacion!D$5</f>
        <v>0.00020543122737585</v>
      </c>
      <c r="E6" s="26" t="n">
        <f aca="false">E$5*5/4_Normalizacion!E$5</f>
        <v>0.00232117381706033</v>
      </c>
      <c r="F6" s="26" t="n">
        <f aca="false">F$5*5/4_Normalizacion!F$5</f>
        <v>0.0020175467426038</v>
      </c>
      <c r="G6" s="26" t="n">
        <f aca="false">G$5*5/4_Normalizacion!G$5</f>
        <v>0.000350424105759036</v>
      </c>
      <c r="H6" s="26" t="n">
        <f aca="false">H$5*5/4_Normalizacion!H$5</f>
        <v>0.00848772946915379</v>
      </c>
      <c r="I6" s="26" t="n">
        <f aca="false">I$5*5/4_Normalizacion!I$5</f>
        <v>0.0140543412710073</v>
      </c>
      <c r="J6" s="26" t="n">
        <f aca="false">J$5*5/4_Normalizacion!J$5</f>
        <v>0.000425945069005398</v>
      </c>
      <c r="K6" s="26" t="n">
        <f aca="false">K$5*5/4_Normalizacion!K$5</f>
        <v>3.90133374367575E-005</v>
      </c>
      <c r="L6" s="26" t="n">
        <f aca="false">L$5*5/4_Normalizacion!L$5</f>
        <v>0.00250692375558623</v>
      </c>
      <c r="M6" s="26" t="n">
        <f aca="false">M$5*5/4_Normalizacion!M$5</f>
        <v>0.00103279359491314</v>
      </c>
      <c r="N6" s="26" t="n">
        <f aca="false">N$5*5/4_Normalizacion!N$5</f>
        <v>0.0075989803262918</v>
      </c>
      <c r="O6" s="26" t="n">
        <f aca="false">O$5*5/4_Normalizacion!O$5</f>
        <v>0.0100293632327477</v>
      </c>
      <c r="P6" s="26" t="n">
        <f aca="false">P$5*5/4_Normalizacion!P$5</f>
        <v>0.00679206099684858</v>
      </c>
      <c r="Q6" s="26" t="n">
        <f aca="false">Q$5*5/4_Normalizacion!Q$5</f>
        <v>0.0142963285899449</v>
      </c>
    </row>
    <row r="7" customFormat="false" ht="15" hidden="false" customHeight="false" outlineLevel="0" collapsed="false">
      <c r="A7" s="22" t="s">
        <v>153</v>
      </c>
      <c r="B7" s="23"/>
      <c r="C7" s="25" t="n">
        <f aca="false">C$5*1/4_Normalizacion!C$5</f>
        <v>0.000422982013486281</v>
      </c>
      <c r="D7" s="25" t="n">
        <f aca="false">D$5*1/4_Normalizacion!D$5</f>
        <v>4.10862454751701E-005</v>
      </c>
      <c r="E7" s="25" t="n">
        <f aca="false">E$5*1/4_Normalizacion!E$5</f>
        <v>0.000464234763412067</v>
      </c>
      <c r="F7" s="25" t="n">
        <f aca="false">F$5*1/4_Normalizacion!F$5</f>
        <v>0.00040350934852076</v>
      </c>
      <c r="G7" s="25" t="n">
        <f aca="false">G$5*1/4_Normalizacion!G$5</f>
        <v>7.00848211518071E-005</v>
      </c>
      <c r="H7" s="25" t="n">
        <f aca="false">H$5*1/4_Normalizacion!H$5</f>
        <v>0.00169754589383076</v>
      </c>
      <c r="I7" s="25" t="n">
        <f aca="false">I$5*1/4_Normalizacion!I$5</f>
        <v>0.00281086825420146</v>
      </c>
      <c r="J7" s="25" t="n">
        <f aca="false">J$5*1/4_Normalizacion!J$5</f>
        <v>8.51890138010796E-005</v>
      </c>
      <c r="K7" s="25" t="n">
        <f aca="false">K$5*1/4_Normalizacion!K$5</f>
        <v>7.80266748735151E-006</v>
      </c>
      <c r="L7" s="25" t="n">
        <f aca="false">L$5*1/4_Normalizacion!L$5</f>
        <v>0.000501384751117247</v>
      </c>
      <c r="M7" s="25" t="n">
        <f aca="false">M$5*1/4_Normalizacion!M$5</f>
        <v>0.000206558718982629</v>
      </c>
      <c r="N7" s="25" t="n">
        <f aca="false">N$5*1/4_Normalizacion!N$5</f>
        <v>0.00151979606525836</v>
      </c>
      <c r="O7" s="25" t="n">
        <f aca="false">O$5*1/4_Normalizacion!O$5</f>
        <v>0.00200587264654955</v>
      </c>
      <c r="P7" s="25" t="n">
        <f aca="false">P$5*1/4_Normalizacion!P$5</f>
        <v>0.00135841219936972</v>
      </c>
      <c r="Q7" s="25" t="n">
        <f aca="false">Q$5*1/4_Normalizacion!Q$5</f>
        <v>0.00285926571798898</v>
      </c>
    </row>
    <row r="8" customFormat="false" ht="15" hidden="false" customHeight="false" outlineLevel="0" collapsed="false">
      <c r="A8" s="15" t="n">
        <f aca="false">4_Normalizacion!A6</f>
        <v>1</v>
      </c>
      <c r="B8" s="16" t="n">
        <f aca="false">4_Normalizacion!B6</f>
        <v>0</v>
      </c>
      <c r="C8" s="21" t="n">
        <f aca="false">C$5*4_Normalizacion!C6</f>
        <v>0.000422982013486281</v>
      </c>
      <c r="D8" s="21" t="n">
        <f aca="false">D$5*4_Normalizacion!D6</f>
        <v>0.00016434498190068</v>
      </c>
      <c r="E8" s="21" t="n">
        <f aca="false">E$5*4_Normalizacion!E6</f>
        <v>0.000928469526824133</v>
      </c>
      <c r="F8" s="21" t="n">
        <f aca="false">F$5*4_Normalizacion!F6</f>
        <v>0.00161403739408304</v>
      </c>
      <c r="G8" s="21" t="n">
        <f aca="false">G$5*4_Normalizacion!G6</f>
        <v>0.000210254463455421</v>
      </c>
      <c r="H8" s="21" t="n">
        <f aca="false">H$5*4_Normalizacion!H6</f>
        <v>0.00848772946915379</v>
      </c>
      <c r="I8" s="21" t="n">
        <f aca="false">I$5*4_Normalizacion!I6</f>
        <v>0.00281086825420146</v>
      </c>
      <c r="J8" s="21" t="n">
        <f aca="false">J$5*4_Normalizacion!J6</f>
        <v>0.000340756055204318</v>
      </c>
      <c r="K8" s="21" t="n">
        <f aca="false">K$5*4_Normalizacion!K6</f>
        <v>3.90133374367575E-005</v>
      </c>
      <c r="L8" s="21" t="n">
        <f aca="false">L$5*4_Normalizacion!L6</f>
        <v>0.0012675006508244</v>
      </c>
      <c r="M8" s="21" t="n">
        <f aca="false">M$5*4_Normalizacion!M6</f>
        <v>0.000826234875930515</v>
      </c>
      <c r="N8" s="21" t="n">
        <f aca="false">N$5*4_Normalizacion!N6</f>
        <v>0.00151979606525836</v>
      </c>
      <c r="O8" s="21" t="n">
        <f aca="false">O$5*4_Normalizacion!O6</f>
        <v>0.00200587264654955</v>
      </c>
      <c r="P8" s="21" t="n">
        <f aca="false">P$5*4_Normalizacion!P6</f>
        <v>0.00135841219936972</v>
      </c>
      <c r="Q8" s="21" t="n">
        <f aca="false">Q$5*4_Normalizacion!Q6</f>
        <v>0.00285926571798898</v>
      </c>
    </row>
    <row r="9" customFormat="false" ht="15" hidden="false" customHeight="false" outlineLevel="0" collapsed="false">
      <c r="A9" s="15" t="n">
        <f aca="false">4_Normalizacion!A7</f>
        <v>2</v>
      </c>
      <c r="B9" s="16" t="n">
        <f aca="false">4_Normalizacion!B7</f>
        <v>0.057</v>
      </c>
      <c r="C9" s="21" t="n">
        <f aca="false">C$5*4_Normalizacion!C7</f>
        <v>0.000422982013486281</v>
      </c>
      <c r="D9" s="21" t="n">
        <f aca="false">D$5*4_Normalizacion!D7</f>
        <v>0.00016434498190068</v>
      </c>
      <c r="E9" s="21" t="n">
        <f aca="false">E$5*4_Normalizacion!E7</f>
        <v>0.000928469526824133</v>
      </c>
      <c r="F9" s="21" t="n">
        <f aca="false">F$5*4_Normalizacion!F7</f>
        <v>0.00161403739408304</v>
      </c>
      <c r="G9" s="21" t="n">
        <f aca="false">G$5*4_Normalizacion!G7</f>
        <v>0.000210254463455421</v>
      </c>
      <c r="H9" s="21" t="n">
        <f aca="false">H$5*4_Normalizacion!H7</f>
        <v>0.00848772946915379</v>
      </c>
      <c r="I9" s="21" t="n">
        <f aca="false">I$5*4_Normalizacion!I7</f>
        <v>0.00281086825420146</v>
      </c>
      <c r="J9" s="21" t="n">
        <f aca="false">J$5*4_Normalizacion!J7</f>
        <v>0.000340756055204318</v>
      </c>
      <c r="K9" s="21" t="n">
        <f aca="false">K$5*4_Normalizacion!K7</f>
        <v>3.90133374367575E-005</v>
      </c>
      <c r="L9" s="21" t="n">
        <f aca="false">L$5*4_Normalizacion!L7</f>
        <v>0.0012093400196948</v>
      </c>
      <c r="M9" s="21" t="n">
        <f aca="false">M$5*4_Normalizacion!M7</f>
        <v>0.000826234875930515</v>
      </c>
      <c r="N9" s="21" t="n">
        <f aca="false">N$5*4_Normalizacion!N7</f>
        <v>0.00151979606525836</v>
      </c>
      <c r="O9" s="21" t="n">
        <f aca="false">O$5*4_Normalizacion!O7</f>
        <v>0.00200587264654955</v>
      </c>
      <c r="P9" s="21" t="n">
        <f aca="false">P$5*4_Normalizacion!P7</f>
        <v>0.00135841219936972</v>
      </c>
      <c r="Q9" s="21" t="n">
        <f aca="false">Q$5*4_Normalizacion!Q7</f>
        <v>0.00285926571798898</v>
      </c>
    </row>
    <row r="10" customFormat="false" ht="15" hidden="false" customHeight="false" outlineLevel="0" collapsed="false">
      <c r="A10" s="15" t="n">
        <f aca="false">4_Normalizacion!A8</f>
        <v>3</v>
      </c>
      <c r="B10" s="16" t="n">
        <f aca="false">4_Normalizacion!B8</f>
        <v>0.182</v>
      </c>
      <c r="C10" s="21" t="n">
        <f aca="false">C$5*4_Normalizacion!C8</f>
        <v>0.000422982013486281</v>
      </c>
      <c r="D10" s="21" t="n">
        <f aca="false">D$5*4_Normalizacion!D8</f>
        <v>0.00016434498190068</v>
      </c>
      <c r="E10" s="21" t="n">
        <f aca="false">E$5*4_Normalizacion!E8</f>
        <v>0.00185693905364827</v>
      </c>
      <c r="F10" s="21" t="n">
        <f aca="false">F$5*4_Normalizacion!F8</f>
        <v>0.00161403739408304</v>
      </c>
      <c r="G10" s="21" t="n">
        <f aca="false">G$5*4_Normalizacion!G8</f>
        <v>0.000210254463455421</v>
      </c>
      <c r="H10" s="21" t="n">
        <f aca="false">H$5*4_Normalizacion!H8</f>
        <v>0.00848772946915379</v>
      </c>
      <c r="I10" s="21" t="n">
        <f aca="false">I$5*4_Normalizacion!I8</f>
        <v>0.00281086825420146</v>
      </c>
      <c r="J10" s="21" t="n">
        <f aca="false">J$5*4_Normalizacion!J8</f>
        <v>0.000340756055204318</v>
      </c>
      <c r="K10" s="21" t="n">
        <f aca="false">K$5*4_Normalizacion!K8</f>
        <v>3.90133374367575E-005</v>
      </c>
      <c r="L10" s="21" t="n">
        <f aca="false">L$5*4_Normalizacion!L8</f>
        <v>0.00110053952870236</v>
      </c>
      <c r="M10" s="21" t="n">
        <f aca="false">M$5*4_Normalizacion!M8</f>
        <v>0.000826234875930515</v>
      </c>
      <c r="N10" s="21" t="n">
        <f aca="false">N$5*4_Normalizacion!N8</f>
        <v>0.00151979606525836</v>
      </c>
      <c r="O10" s="21" t="n">
        <f aca="false">O$5*4_Normalizacion!O8</f>
        <v>0.00200587264654955</v>
      </c>
      <c r="P10" s="21" t="n">
        <f aca="false">P$5*4_Normalizacion!P8</f>
        <v>0.00135841219936972</v>
      </c>
      <c r="Q10" s="21" t="n">
        <f aca="false">Q$5*4_Normalizacion!Q8</f>
        <v>0.00285926571798898</v>
      </c>
    </row>
    <row r="11" customFormat="false" ht="15" hidden="false" customHeight="false" outlineLevel="0" collapsed="false">
      <c r="A11" s="15" t="n">
        <f aca="false">4_Normalizacion!A9</f>
        <v>4</v>
      </c>
      <c r="B11" s="16" t="n">
        <f aca="false">4_Normalizacion!B9</f>
        <v>0.323</v>
      </c>
      <c r="C11" s="21" t="n">
        <f aca="false">C$5*4_Normalizacion!C9</f>
        <v>0.000422982013486281</v>
      </c>
      <c r="D11" s="21" t="n">
        <f aca="false">D$5*4_Normalizacion!D9</f>
        <v>0.00016434498190068</v>
      </c>
      <c r="E11" s="21" t="n">
        <f aca="false">E$5*4_Normalizacion!E9</f>
        <v>0.00185693905364827</v>
      </c>
      <c r="F11" s="21" t="n">
        <f aca="false">F$5*4_Normalizacion!F9</f>
        <v>0.00161403739408304</v>
      </c>
      <c r="G11" s="21" t="n">
        <f aca="false">G$5*4_Normalizacion!G9</f>
        <v>0.000210254463455421</v>
      </c>
      <c r="H11" s="21" t="n">
        <f aca="false">H$5*4_Normalizacion!H9</f>
        <v>0.00848772946915379</v>
      </c>
      <c r="I11" s="21" t="n">
        <f aca="false">I$5*4_Normalizacion!I9</f>
        <v>0.00281086825420146</v>
      </c>
      <c r="J11" s="21" t="n">
        <f aca="false">J$5*4_Normalizacion!J9</f>
        <v>0.000340756055204318</v>
      </c>
      <c r="K11" s="21" t="n">
        <f aca="false">K$5*4_Normalizacion!K9</f>
        <v>3.90133374367575E-005</v>
      </c>
      <c r="L11" s="21" t="n">
        <f aca="false">L$5*4_Normalizacion!L9</f>
        <v>0.00109652845069342</v>
      </c>
      <c r="M11" s="21" t="n">
        <f aca="false">M$5*4_Normalizacion!M9</f>
        <v>0.000826234875930515</v>
      </c>
      <c r="N11" s="21" t="n">
        <f aca="false">N$5*4_Normalizacion!N9</f>
        <v>0.00151979606525836</v>
      </c>
      <c r="O11" s="21" t="n">
        <f aca="false">O$5*4_Normalizacion!O9</f>
        <v>0.00200587264654955</v>
      </c>
      <c r="P11" s="21" t="n">
        <f aca="false">P$5*4_Normalizacion!P9</f>
        <v>0.00135841219936972</v>
      </c>
      <c r="Q11" s="21" t="n">
        <f aca="false">Q$5*4_Normalizacion!Q9</f>
        <v>0.00285926571798898</v>
      </c>
    </row>
    <row r="12" customFormat="false" ht="15" hidden="false" customHeight="false" outlineLevel="0" collapsed="false">
      <c r="A12" s="15" t="n">
        <f aca="false">4_Normalizacion!A10</f>
        <v>5</v>
      </c>
      <c r="B12" s="16" t="n">
        <f aca="false">4_Normalizacion!B10</f>
        <v>0.529</v>
      </c>
      <c r="C12" s="21" t="n">
        <f aca="false">C$5*4_Normalizacion!C10</f>
        <v>0.000422982013486281</v>
      </c>
      <c r="D12" s="21" t="n">
        <f aca="false">D$5*4_Normalizacion!D10</f>
        <v>0.00016434498190068</v>
      </c>
      <c r="E12" s="21" t="n">
        <f aca="false">E$5*4_Normalizacion!E10</f>
        <v>0.00185693905364827</v>
      </c>
      <c r="F12" s="21" t="n">
        <f aca="false">F$5*4_Normalizacion!F10</f>
        <v>0.00161403739408304</v>
      </c>
      <c r="G12" s="21" t="n">
        <f aca="false">G$5*4_Normalizacion!G10</f>
        <v>0.000210254463455421</v>
      </c>
      <c r="H12" s="21" t="n">
        <f aca="false">H$5*4_Normalizacion!H10</f>
        <v>0.00848772946915379</v>
      </c>
      <c r="I12" s="21" t="n">
        <f aca="false">I$5*4_Normalizacion!I10</f>
        <v>0.00281086825420146</v>
      </c>
      <c r="J12" s="21" t="n">
        <f aca="false">J$5*4_Normalizacion!J10</f>
        <v>0.000340756055204318</v>
      </c>
      <c r="K12" s="21" t="n">
        <f aca="false">K$5*4_Normalizacion!K10</f>
        <v>3.90133374367575E-005</v>
      </c>
      <c r="L12" s="21" t="n">
        <f aca="false">L$5*4_Normalizacion!L10</f>
        <v>0.0011832680126367</v>
      </c>
      <c r="M12" s="21" t="n">
        <f aca="false">M$5*4_Normalizacion!M10</f>
        <v>0.000826234875930515</v>
      </c>
      <c r="N12" s="21" t="n">
        <f aca="false">N$5*4_Normalizacion!N10</f>
        <v>0.00151979606525836</v>
      </c>
      <c r="O12" s="21" t="n">
        <f aca="false">O$5*4_Normalizacion!O10</f>
        <v>0.00200587264654955</v>
      </c>
      <c r="P12" s="21" t="n">
        <f aca="false">P$5*4_Normalizacion!P10</f>
        <v>0.00135841219936972</v>
      </c>
      <c r="Q12" s="21" t="n">
        <f aca="false">Q$5*4_Normalizacion!Q10</f>
        <v>0.00285926571798898</v>
      </c>
    </row>
    <row r="13" customFormat="false" ht="15" hidden="false" customHeight="false" outlineLevel="0" collapsed="false">
      <c r="A13" s="15" t="n">
        <f aca="false">4_Normalizacion!A11</f>
        <v>6</v>
      </c>
      <c r="B13" s="16" t="n">
        <f aca="false">4_Normalizacion!B11</f>
        <v>0.714</v>
      </c>
      <c r="C13" s="21" t="n">
        <f aca="false">C$5*4_Normalizacion!C11</f>
        <v>0.000422982013486281</v>
      </c>
      <c r="D13" s="21" t="n">
        <f aca="false">D$5*4_Normalizacion!D11</f>
        <v>0.00016434498190068</v>
      </c>
      <c r="E13" s="21" t="n">
        <f aca="false">E$5*4_Normalizacion!E11</f>
        <v>0.00185693905364827</v>
      </c>
      <c r="F13" s="21" t="n">
        <f aca="false">F$5*4_Normalizacion!F11</f>
        <v>0.00161403739408304</v>
      </c>
      <c r="G13" s="21" t="n">
        <f aca="false">G$5*4_Normalizacion!G11</f>
        <v>0.000210254463455421</v>
      </c>
      <c r="H13" s="21" t="n">
        <f aca="false">H$5*4_Normalizacion!H11</f>
        <v>0.00848772946915379</v>
      </c>
      <c r="I13" s="21" t="n">
        <f aca="false">I$5*4_Normalizacion!I11</f>
        <v>0.00281086825420146</v>
      </c>
      <c r="J13" s="21" t="n">
        <f aca="false">J$5*4_Normalizacion!J11</f>
        <v>0.000340756055204318</v>
      </c>
      <c r="K13" s="21" t="n">
        <f aca="false">K$5*4_Normalizacion!K11</f>
        <v>3.90133374367575E-005</v>
      </c>
      <c r="L13" s="21" t="n">
        <f aca="false">L$5*4_Normalizacion!L11</f>
        <v>0.00126399095756658</v>
      </c>
      <c r="M13" s="21" t="n">
        <f aca="false">M$5*4_Normalizacion!M11</f>
        <v>0.000826234875930515</v>
      </c>
      <c r="N13" s="21" t="n">
        <f aca="false">N$5*4_Normalizacion!N11</f>
        <v>0.00151979606525836</v>
      </c>
      <c r="O13" s="21" t="n">
        <f aca="false">O$5*4_Normalizacion!O11</f>
        <v>0.00200587264654955</v>
      </c>
      <c r="P13" s="21" t="n">
        <f aca="false">P$5*4_Normalizacion!P11</f>
        <v>0.00135841219936972</v>
      </c>
      <c r="Q13" s="21" t="n">
        <f aca="false">Q$5*4_Normalizacion!Q11</f>
        <v>0.00285926571798898</v>
      </c>
    </row>
    <row r="14" customFormat="false" ht="15" hidden="false" customHeight="false" outlineLevel="0" collapsed="false">
      <c r="A14" s="15" t="n">
        <f aca="false">4_Normalizacion!A12</f>
        <v>7</v>
      </c>
      <c r="B14" s="16" t="n">
        <f aca="false">4_Normalizacion!B12</f>
        <v>0.891</v>
      </c>
      <c r="C14" s="21" t="n">
        <f aca="false">C$5*4_Normalizacion!C12</f>
        <v>0.000422982013486281</v>
      </c>
      <c r="D14" s="21" t="n">
        <f aca="false">D$5*4_Normalizacion!D12</f>
        <v>0.00016434498190068</v>
      </c>
      <c r="E14" s="21" t="n">
        <f aca="false">E$5*4_Normalizacion!E12</f>
        <v>0.00185693905364827</v>
      </c>
      <c r="F14" s="21" t="n">
        <f aca="false">F$5*4_Normalizacion!F12</f>
        <v>0.00161403739408304</v>
      </c>
      <c r="G14" s="21" t="n">
        <f aca="false">G$5*4_Normalizacion!G12</f>
        <v>0.000210254463455421</v>
      </c>
      <c r="H14" s="21" t="n">
        <f aca="false">H$5*4_Normalizacion!H12</f>
        <v>0.00848772946915379</v>
      </c>
      <c r="I14" s="21" t="n">
        <f aca="false">I$5*4_Normalizacion!I12</f>
        <v>0.00281086825420146</v>
      </c>
      <c r="J14" s="21" t="n">
        <f aca="false">J$5*4_Normalizacion!J12</f>
        <v>0.000340756055204318</v>
      </c>
      <c r="K14" s="21" t="n">
        <f aca="false">K$5*4_Normalizacion!K12</f>
        <v>3.90133374367575E-005</v>
      </c>
      <c r="L14" s="21" t="n">
        <f aca="false">L$5*4_Normalizacion!L12</f>
        <v>0.00142794377118192</v>
      </c>
      <c r="M14" s="21" t="n">
        <f aca="false">M$5*4_Normalizacion!M12</f>
        <v>0.000826234875930515</v>
      </c>
      <c r="N14" s="21" t="n">
        <f aca="false">N$5*4_Normalizacion!N12</f>
        <v>0.00151979606525836</v>
      </c>
      <c r="O14" s="21" t="n">
        <f aca="false">O$5*4_Normalizacion!O12</f>
        <v>0.00200587264654955</v>
      </c>
      <c r="P14" s="21" t="n">
        <f aca="false">P$5*4_Normalizacion!P12</f>
        <v>0.00135841219936972</v>
      </c>
      <c r="Q14" s="21" t="n">
        <f aca="false">Q$5*4_Normalizacion!Q12</f>
        <v>0.00285926571798898</v>
      </c>
    </row>
    <row r="15" customFormat="false" ht="15" hidden="false" customHeight="false" outlineLevel="0" collapsed="false">
      <c r="A15" s="15" t="n">
        <f aca="false">4_Normalizacion!A13</f>
        <v>8</v>
      </c>
      <c r="B15" s="16" t="n">
        <f aca="false">4_Normalizacion!B13</f>
        <v>1.036</v>
      </c>
      <c r="C15" s="21" t="n">
        <f aca="false">C$5*4_Normalizacion!C13</f>
        <v>0.000422982013486281</v>
      </c>
      <c r="D15" s="21" t="n">
        <f aca="false">D$5*4_Normalizacion!D13</f>
        <v>0.00016434498190068</v>
      </c>
      <c r="E15" s="21" t="n">
        <f aca="false">E$5*4_Normalizacion!E13</f>
        <v>0.00185693905364827</v>
      </c>
      <c r="F15" s="21" t="n">
        <f aca="false">F$5*4_Normalizacion!F13</f>
        <v>0.00161403739408304</v>
      </c>
      <c r="G15" s="21" t="n">
        <f aca="false">G$5*4_Normalizacion!G13</f>
        <v>0.000210254463455421</v>
      </c>
      <c r="H15" s="21" t="n">
        <f aca="false">H$5*4_Normalizacion!H13</f>
        <v>0.00848772946915379</v>
      </c>
      <c r="I15" s="21" t="n">
        <f aca="false">I$5*4_Normalizacion!I13</f>
        <v>0.00281086825420146</v>
      </c>
      <c r="J15" s="21" t="n">
        <f aca="false">J$5*4_Normalizacion!J13</f>
        <v>0.000340756055204318</v>
      </c>
      <c r="K15" s="21" t="n">
        <f aca="false">K$5*4_Normalizacion!K13</f>
        <v>3.90133374367575E-005</v>
      </c>
      <c r="L15" s="21" t="n">
        <f aca="false">L$5*4_Normalizacion!L13</f>
        <v>0.00148911271081822</v>
      </c>
      <c r="M15" s="21" t="n">
        <f aca="false">M$5*4_Normalizacion!M13</f>
        <v>0.000826234875930515</v>
      </c>
      <c r="N15" s="21" t="n">
        <f aca="false">N$5*4_Normalizacion!N13</f>
        <v>0.00151979606525836</v>
      </c>
      <c r="O15" s="21" t="n">
        <f aca="false">O$5*4_Normalizacion!O13</f>
        <v>0.00200587264654955</v>
      </c>
      <c r="P15" s="21" t="n">
        <f aca="false">P$5*4_Normalizacion!P13</f>
        <v>0.00135841219936972</v>
      </c>
      <c r="Q15" s="21" t="n">
        <f aca="false">Q$5*4_Normalizacion!Q13</f>
        <v>0.00285926571798898</v>
      </c>
    </row>
    <row r="16" customFormat="false" ht="15" hidden="false" customHeight="false" outlineLevel="0" collapsed="false">
      <c r="A16" s="15" t="n">
        <f aca="false">4_Normalizacion!A14</f>
        <v>9</v>
      </c>
      <c r="B16" s="16" t="n">
        <f aca="false">4_Normalizacion!B14</f>
        <v>1.155</v>
      </c>
      <c r="C16" s="21" t="n">
        <f aca="false">C$5*4_Normalizacion!C14</f>
        <v>0.000422982013486281</v>
      </c>
      <c r="D16" s="21" t="n">
        <f aca="false">D$5*4_Normalizacion!D14</f>
        <v>0.00020543122737585</v>
      </c>
      <c r="E16" s="21" t="n">
        <f aca="false">E$5*4_Normalizacion!E14</f>
        <v>0.00185693905364827</v>
      </c>
      <c r="F16" s="21" t="n">
        <f aca="false">F$5*4_Normalizacion!F14</f>
        <v>0.00161403739408304</v>
      </c>
      <c r="G16" s="21" t="n">
        <f aca="false">G$5*4_Normalizacion!G14</f>
        <v>0.000210254463455421</v>
      </c>
      <c r="H16" s="21" t="n">
        <f aca="false">H$5*4_Normalizacion!H14</f>
        <v>0.00848772946915379</v>
      </c>
      <c r="I16" s="21" t="n">
        <f aca="false">I$5*4_Normalizacion!I14</f>
        <v>0.00281086825420146</v>
      </c>
      <c r="J16" s="21" t="n">
        <f aca="false">J$5*4_Normalizacion!J14</f>
        <v>0.000340756055204318</v>
      </c>
      <c r="K16" s="21" t="n">
        <f aca="false">K$5*4_Normalizacion!K14</f>
        <v>3.90133374367575E-005</v>
      </c>
      <c r="L16" s="21" t="n">
        <f aca="false">L$5*4_Normalizacion!L14</f>
        <v>0.0015377470316766</v>
      </c>
      <c r="M16" s="21" t="n">
        <f aca="false">M$5*4_Normalizacion!M14</f>
        <v>0.000826234875930515</v>
      </c>
      <c r="N16" s="21" t="n">
        <f aca="false">N$5*4_Normalizacion!N14</f>
        <v>0.00151979606525836</v>
      </c>
      <c r="O16" s="21" t="n">
        <f aca="false">O$5*4_Normalizacion!O14</f>
        <v>0.00200587264654955</v>
      </c>
      <c r="P16" s="21" t="n">
        <f aca="false">P$5*4_Normalizacion!P14</f>
        <v>0.00135841219936972</v>
      </c>
      <c r="Q16" s="21" t="n">
        <f aca="false">Q$5*4_Normalizacion!Q14</f>
        <v>0.00285926571798898</v>
      </c>
    </row>
    <row r="17" customFormat="false" ht="15" hidden="false" customHeight="false" outlineLevel="0" collapsed="false">
      <c r="A17" s="15" t="n">
        <f aca="false">4_Normalizacion!A15</f>
        <v>10</v>
      </c>
      <c r="B17" s="16" t="n">
        <f aca="false">4_Normalizacion!B15</f>
        <v>1.265</v>
      </c>
      <c r="C17" s="21" t="n">
        <f aca="false">C$5*4_Normalizacion!C15</f>
        <v>0.000422982013486281</v>
      </c>
      <c r="D17" s="21" t="n">
        <f aca="false">D$5*4_Normalizacion!D15</f>
        <v>0.00020543122737585</v>
      </c>
      <c r="E17" s="21" t="n">
        <f aca="false">E$5*4_Normalizacion!E15</f>
        <v>0.00185693905364827</v>
      </c>
      <c r="F17" s="21" t="n">
        <f aca="false">F$5*4_Normalizacion!F15</f>
        <v>0.00161403739408304</v>
      </c>
      <c r="G17" s="21" t="n">
        <f aca="false">G$5*4_Normalizacion!G15</f>
        <v>0.000210254463455421</v>
      </c>
      <c r="H17" s="21" t="n">
        <f aca="false">H$5*4_Normalizacion!H15</f>
        <v>0.00848772946915379</v>
      </c>
      <c r="I17" s="21" t="n">
        <f aca="false">I$5*4_Normalizacion!I15</f>
        <v>0.00281086825420146</v>
      </c>
      <c r="J17" s="21" t="n">
        <f aca="false">J$5*4_Normalizacion!J15</f>
        <v>0.000340756055204318</v>
      </c>
      <c r="K17" s="21" t="n">
        <f aca="false">K$5*4_Normalizacion!K15</f>
        <v>3.90133374367575E-005</v>
      </c>
      <c r="L17" s="21" t="n">
        <f aca="false">L$5*4_Normalizacion!L15</f>
        <v>0.00153072764516095</v>
      </c>
      <c r="M17" s="21" t="n">
        <f aca="false">M$5*4_Normalizacion!M15</f>
        <v>0.000826234875930515</v>
      </c>
      <c r="N17" s="21" t="n">
        <f aca="false">N$5*4_Normalizacion!N15</f>
        <v>0.00151979606525836</v>
      </c>
      <c r="O17" s="21" t="n">
        <f aca="false">O$5*4_Normalizacion!O15</f>
        <v>0.00200587264654955</v>
      </c>
      <c r="P17" s="21" t="n">
        <f aca="false">P$5*4_Normalizacion!P15</f>
        <v>0.00135841219936972</v>
      </c>
      <c r="Q17" s="21" t="n">
        <f aca="false">Q$5*4_Normalizacion!Q15</f>
        <v>0.00285926571798898</v>
      </c>
    </row>
    <row r="18" customFormat="false" ht="15" hidden="false" customHeight="false" outlineLevel="0" collapsed="false">
      <c r="A18" s="15" t="n">
        <f aca="false">4_Normalizacion!A16</f>
        <v>11</v>
      </c>
      <c r="B18" s="16" t="n">
        <f aca="false">4_Normalizacion!B16</f>
        <v>1.371</v>
      </c>
      <c r="C18" s="21" t="n">
        <f aca="false">C$5*4_Normalizacion!C16</f>
        <v>0.000422982013486281</v>
      </c>
      <c r="D18" s="21" t="n">
        <f aca="false">D$5*4_Normalizacion!D16</f>
        <v>0.00020543122737585</v>
      </c>
      <c r="E18" s="21" t="n">
        <f aca="false">E$5*4_Normalizacion!E16</f>
        <v>0.00185693905364827</v>
      </c>
      <c r="F18" s="21" t="n">
        <f aca="false">F$5*4_Normalizacion!F16</f>
        <v>0.00161403739408304</v>
      </c>
      <c r="G18" s="21" t="n">
        <f aca="false">G$5*4_Normalizacion!G16</f>
        <v>0.000210254463455421</v>
      </c>
      <c r="H18" s="21" t="n">
        <f aca="false">H$5*4_Normalizacion!H16</f>
        <v>0.00848772946915379</v>
      </c>
      <c r="I18" s="21" t="n">
        <f aca="false">I$5*4_Normalizacion!I16</f>
        <v>0.00281086825420146</v>
      </c>
      <c r="J18" s="21" t="n">
        <f aca="false">J$5*4_Normalizacion!J16</f>
        <v>0.000340756055204318</v>
      </c>
      <c r="K18" s="21" t="n">
        <f aca="false">K$5*4_Normalizacion!K16</f>
        <v>3.90133374367575E-005</v>
      </c>
      <c r="L18" s="21" t="n">
        <f aca="false">L$5*4_Normalizacion!L16</f>
        <v>0.00153674426217436</v>
      </c>
      <c r="M18" s="21" t="n">
        <f aca="false">M$5*4_Normalizacion!M16</f>
        <v>0.000826234875930515</v>
      </c>
      <c r="N18" s="21" t="n">
        <f aca="false">N$5*4_Normalizacion!N16</f>
        <v>0.00151979606525836</v>
      </c>
      <c r="O18" s="21" t="n">
        <f aca="false">O$5*4_Normalizacion!O16</f>
        <v>0.00200587264654955</v>
      </c>
      <c r="P18" s="21" t="n">
        <f aca="false">P$5*4_Normalizacion!P16</f>
        <v>0.00135841219936972</v>
      </c>
      <c r="Q18" s="21" t="n">
        <f aca="false">Q$5*4_Normalizacion!Q16</f>
        <v>0.00285926571798898</v>
      </c>
    </row>
    <row r="19" customFormat="false" ht="15" hidden="false" customHeight="false" outlineLevel="0" collapsed="false">
      <c r="A19" s="15" t="n">
        <f aca="false">4_Normalizacion!A17</f>
        <v>12</v>
      </c>
      <c r="B19" s="16" t="n">
        <f aca="false">4_Normalizacion!B17</f>
        <v>1.474</v>
      </c>
      <c r="C19" s="21" t="n">
        <f aca="false">C$5*4_Normalizacion!C17</f>
        <v>0.000422982013486281</v>
      </c>
      <c r="D19" s="21" t="n">
        <f aca="false">D$5*4_Normalizacion!D17</f>
        <v>0.00020543122737585</v>
      </c>
      <c r="E19" s="21" t="n">
        <f aca="false">E$5*4_Normalizacion!E17</f>
        <v>0.00185693905364827</v>
      </c>
      <c r="F19" s="21" t="n">
        <f aca="false">F$5*4_Normalizacion!F17</f>
        <v>0.00161403739408304</v>
      </c>
      <c r="G19" s="21" t="n">
        <f aca="false">G$5*4_Normalizacion!G17</f>
        <v>0.000210254463455421</v>
      </c>
      <c r="H19" s="21" t="n">
        <f aca="false">H$5*4_Normalizacion!H17</f>
        <v>0.00848772946915379</v>
      </c>
      <c r="I19" s="21" t="n">
        <f aca="false">I$5*4_Normalizacion!I17</f>
        <v>0.00281086825420146</v>
      </c>
      <c r="J19" s="21" t="n">
        <f aca="false">J$5*4_Normalizacion!J17</f>
        <v>0.000340756055204318</v>
      </c>
      <c r="K19" s="21" t="n">
        <f aca="false">K$5*4_Normalizacion!K17</f>
        <v>3.90133374367575E-005</v>
      </c>
      <c r="L19" s="21" t="n">
        <f aca="false">L$5*4_Normalizacion!L17</f>
        <v>0.00153824841642771</v>
      </c>
      <c r="M19" s="21" t="n">
        <f aca="false">M$5*4_Normalizacion!M17</f>
        <v>0.000826234875930515</v>
      </c>
      <c r="N19" s="21" t="n">
        <f aca="false">N$5*4_Normalizacion!N17</f>
        <v>0.00151979606525836</v>
      </c>
      <c r="O19" s="21" t="n">
        <f aca="false">O$5*4_Normalizacion!O17</f>
        <v>0.00200587264654955</v>
      </c>
      <c r="P19" s="21" t="n">
        <f aca="false">P$5*4_Normalizacion!P17</f>
        <v>0.00135841219936972</v>
      </c>
      <c r="Q19" s="21" t="n">
        <f aca="false">Q$5*4_Normalizacion!Q17</f>
        <v>0.00285926571798898</v>
      </c>
    </row>
    <row r="20" customFormat="false" ht="15" hidden="false" customHeight="false" outlineLevel="0" collapsed="false">
      <c r="A20" s="15" t="n">
        <f aca="false">4_Normalizacion!A18</f>
        <v>13</v>
      </c>
      <c r="B20" s="16" t="n">
        <f aca="false">4_Normalizacion!B18</f>
        <v>1.577</v>
      </c>
      <c r="C20" s="21" t="n">
        <f aca="false">C$5*4_Normalizacion!C18</f>
        <v>0.000422982013486281</v>
      </c>
      <c r="D20" s="21" t="n">
        <f aca="false">D$5*4_Normalizacion!D18</f>
        <v>0.00020543122737585</v>
      </c>
      <c r="E20" s="21" t="n">
        <f aca="false">E$5*4_Normalizacion!E18</f>
        <v>0.00185693905364827</v>
      </c>
      <c r="F20" s="21" t="n">
        <f aca="false">F$5*4_Normalizacion!F18</f>
        <v>0.00121052804556228</v>
      </c>
      <c r="G20" s="21" t="n">
        <f aca="false">G$5*4_Normalizacion!G18</f>
        <v>0.000210254463455421</v>
      </c>
      <c r="H20" s="21" t="n">
        <f aca="false">H$5*4_Normalizacion!H18</f>
        <v>0.00848772946915379</v>
      </c>
      <c r="I20" s="21" t="n">
        <f aca="false">I$5*4_Normalizacion!I18</f>
        <v>0.00281086825420146</v>
      </c>
      <c r="J20" s="21" t="n">
        <f aca="false">J$5*4_Normalizacion!J18</f>
        <v>0.000340756055204318</v>
      </c>
      <c r="K20" s="21" t="n">
        <f aca="false">K$5*4_Normalizacion!K18</f>
        <v>3.90133374367575E-005</v>
      </c>
      <c r="L20" s="21" t="n">
        <f aca="false">L$5*4_Normalizacion!L18</f>
        <v>0.0015407553401833</v>
      </c>
      <c r="M20" s="21" t="n">
        <f aca="false">M$5*4_Normalizacion!M18</f>
        <v>0.000826234875930515</v>
      </c>
      <c r="N20" s="21" t="n">
        <f aca="false">N$5*4_Normalizacion!N18</f>
        <v>0.00151979606525836</v>
      </c>
      <c r="O20" s="21" t="n">
        <f aca="false">O$5*4_Normalizacion!O18</f>
        <v>0.00200587264654955</v>
      </c>
      <c r="P20" s="21" t="n">
        <f aca="false">P$5*4_Normalizacion!P18</f>
        <v>0.00135841219936972</v>
      </c>
      <c r="Q20" s="21" t="n">
        <f aca="false">Q$5*4_Normalizacion!Q18</f>
        <v>0.00285926571798898</v>
      </c>
    </row>
    <row r="21" customFormat="false" ht="15" hidden="false" customHeight="false" outlineLevel="0" collapsed="false">
      <c r="A21" s="15" t="n">
        <f aca="false">4_Normalizacion!A19</f>
        <v>14</v>
      </c>
      <c r="B21" s="16" t="n">
        <f aca="false">4_Normalizacion!B19</f>
        <v>1.678</v>
      </c>
      <c r="C21" s="21" t="n">
        <f aca="false">C$5*4_Normalizacion!C19</f>
        <v>0.000422982013486281</v>
      </c>
      <c r="D21" s="21" t="n">
        <f aca="false">D$5*4_Normalizacion!D19</f>
        <v>0.00020543122737585</v>
      </c>
      <c r="E21" s="21" t="n">
        <f aca="false">E$5*4_Normalizacion!E19</f>
        <v>0.00185693905364827</v>
      </c>
      <c r="F21" s="21" t="n">
        <f aca="false">F$5*4_Normalizacion!F19</f>
        <v>0.00121052804556228</v>
      </c>
      <c r="G21" s="21" t="n">
        <f aca="false">G$5*4_Normalizacion!G19</f>
        <v>0.000210254463455421</v>
      </c>
      <c r="H21" s="21" t="n">
        <f aca="false">H$5*4_Normalizacion!H19</f>
        <v>0.00848772946915379</v>
      </c>
      <c r="I21" s="21" t="n">
        <f aca="false">I$5*4_Normalizacion!I19</f>
        <v>0.00281086825420146</v>
      </c>
      <c r="J21" s="21" t="n">
        <f aca="false">J$5*4_Normalizacion!J19</f>
        <v>0.000340756055204318</v>
      </c>
      <c r="K21" s="21" t="n">
        <f aca="false">K$5*4_Normalizacion!K19</f>
        <v>3.90133374367575E-005</v>
      </c>
      <c r="L21" s="21" t="n">
        <f aca="false">L$5*4_Normalizacion!L19</f>
        <v>0.00153323456891654</v>
      </c>
      <c r="M21" s="21" t="n">
        <f aca="false">M$5*4_Normalizacion!M19</f>
        <v>0.000826234875930515</v>
      </c>
      <c r="N21" s="21" t="n">
        <f aca="false">N$5*4_Normalizacion!N19</f>
        <v>0.00151979606525836</v>
      </c>
      <c r="O21" s="21" t="n">
        <f aca="false">O$5*4_Normalizacion!O19</f>
        <v>0.00200587264654955</v>
      </c>
      <c r="P21" s="21" t="n">
        <f aca="false">P$5*4_Normalizacion!P19</f>
        <v>0.00135841219936972</v>
      </c>
      <c r="Q21" s="21" t="n">
        <f aca="false">Q$5*4_Normalizacion!Q19</f>
        <v>0.00285926571798898</v>
      </c>
    </row>
    <row r="22" customFormat="false" ht="15" hidden="false" customHeight="false" outlineLevel="0" collapsed="false">
      <c r="A22" s="15" t="n">
        <f aca="false">4_Normalizacion!A20</f>
        <v>15</v>
      </c>
      <c r="B22" s="16" t="n">
        <f aca="false">4_Normalizacion!B20</f>
        <v>1.779</v>
      </c>
      <c r="C22" s="21" t="n">
        <f aca="false">C$5*4_Normalizacion!C20</f>
        <v>0.000422982013486281</v>
      </c>
      <c r="D22" s="21" t="n">
        <f aca="false">D$5*4_Normalizacion!D20</f>
        <v>0.00020543122737585</v>
      </c>
      <c r="E22" s="21" t="n">
        <f aca="false">E$5*4_Normalizacion!E20</f>
        <v>0.00185693905364827</v>
      </c>
      <c r="F22" s="21" t="n">
        <f aca="false">F$5*4_Normalizacion!F20</f>
        <v>0.00121052804556228</v>
      </c>
      <c r="G22" s="21" t="n">
        <f aca="false">G$5*4_Normalizacion!G20</f>
        <v>0.000210254463455421</v>
      </c>
      <c r="H22" s="21" t="n">
        <f aca="false">H$5*4_Normalizacion!H20</f>
        <v>0.00848772946915379</v>
      </c>
      <c r="I22" s="21" t="n">
        <f aca="false">I$5*4_Normalizacion!I20</f>
        <v>0.00281086825420146</v>
      </c>
      <c r="J22" s="21" t="n">
        <f aca="false">J$5*4_Normalizacion!J20</f>
        <v>0.000340756055204318</v>
      </c>
      <c r="K22" s="21" t="n">
        <f aca="false">K$5*4_Normalizacion!K20</f>
        <v>3.90133374367575E-005</v>
      </c>
      <c r="L22" s="21" t="n">
        <f aca="false">L$5*4_Normalizacion!L20</f>
        <v>0.00151769164163191</v>
      </c>
      <c r="M22" s="21" t="n">
        <f aca="false">M$5*4_Normalizacion!M20</f>
        <v>0.000826234875930515</v>
      </c>
      <c r="N22" s="21" t="n">
        <f aca="false">N$5*4_Normalizacion!N20</f>
        <v>0.00151979606525836</v>
      </c>
      <c r="O22" s="21" t="n">
        <f aca="false">O$5*4_Normalizacion!O20</f>
        <v>0.00200587264654955</v>
      </c>
      <c r="P22" s="21" t="n">
        <f aca="false">P$5*4_Normalizacion!P20</f>
        <v>0.00135841219936972</v>
      </c>
      <c r="Q22" s="21" t="n">
        <f aca="false">Q$5*4_Normalizacion!Q20</f>
        <v>0.00285926571798898</v>
      </c>
    </row>
    <row r="23" customFormat="false" ht="15" hidden="false" customHeight="false" outlineLevel="0" collapsed="false">
      <c r="A23" s="15" t="n">
        <f aca="false">4_Normalizacion!A21</f>
        <v>16</v>
      </c>
      <c r="B23" s="16" t="n">
        <f aca="false">4_Normalizacion!B21</f>
        <v>1.878</v>
      </c>
      <c r="C23" s="21" t="n">
        <f aca="false">C$5*4_Normalizacion!C21</f>
        <v>0.000422982013486281</v>
      </c>
      <c r="D23" s="21" t="n">
        <f aca="false">D$5*4_Normalizacion!D21</f>
        <v>0.00020543122737585</v>
      </c>
      <c r="E23" s="21" t="n">
        <f aca="false">E$5*4_Normalizacion!E21</f>
        <v>0.00185693905364827</v>
      </c>
      <c r="F23" s="21" t="n">
        <f aca="false">F$5*4_Normalizacion!F21</f>
        <v>0.00121052804556228</v>
      </c>
      <c r="G23" s="21" t="n">
        <f aca="false">G$5*4_Normalizacion!G21</f>
        <v>0.000210254463455421</v>
      </c>
      <c r="H23" s="21" t="n">
        <f aca="false">H$5*4_Normalizacion!H21</f>
        <v>0.00848772946915379</v>
      </c>
      <c r="I23" s="21" t="n">
        <f aca="false">I$5*4_Normalizacion!I21</f>
        <v>0.00281086825420146</v>
      </c>
      <c r="J23" s="21" t="n">
        <f aca="false">J$5*4_Normalizacion!J21</f>
        <v>0.000340756055204318</v>
      </c>
      <c r="K23" s="21" t="n">
        <f aca="false">K$5*4_Normalizacion!K21</f>
        <v>3.90133374367575E-005</v>
      </c>
      <c r="L23" s="21" t="n">
        <f aca="false">L$5*4_Normalizacion!L21</f>
        <v>0.00151518471787632</v>
      </c>
      <c r="M23" s="21" t="n">
        <f aca="false">M$5*4_Normalizacion!M21</f>
        <v>0.000826234875930515</v>
      </c>
      <c r="N23" s="21" t="n">
        <f aca="false">N$5*4_Normalizacion!N21</f>
        <v>0.00151979606525836</v>
      </c>
      <c r="O23" s="21" t="n">
        <f aca="false">O$5*4_Normalizacion!O21</f>
        <v>0.00200587264654955</v>
      </c>
      <c r="P23" s="21" t="n">
        <f aca="false">P$5*4_Normalizacion!P21</f>
        <v>0.00135841219936972</v>
      </c>
      <c r="Q23" s="21" t="n">
        <f aca="false">Q$5*4_Normalizacion!Q21</f>
        <v>0.00285926571798898</v>
      </c>
    </row>
    <row r="24" customFormat="false" ht="15" hidden="false" customHeight="false" outlineLevel="0" collapsed="false">
      <c r="A24" s="15" t="n">
        <f aca="false">4_Normalizacion!A22</f>
        <v>17</v>
      </c>
      <c r="B24" s="16" t="n">
        <f aca="false">4_Normalizacion!B22</f>
        <v>1.976</v>
      </c>
      <c r="C24" s="21" t="n">
        <f aca="false">C$5*4_Normalizacion!C22</f>
        <v>0.000422982013486281</v>
      </c>
      <c r="D24" s="21" t="n">
        <f aca="false">D$5*4_Normalizacion!D22</f>
        <v>0.00020543122737585</v>
      </c>
      <c r="E24" s="21" t="n">
        <f aca="false">E$5*4_Normalizacion!E22</f>
        <v>0.00185693905364827</v>
      </c>
      <c r="F24" s="21" t="n">
        <f aca="false">F$5*4_Normalizacion!F22</f>
        <v>0.00121052804556228</v>
      </c>
      <c r="G24" s="21" t="n">
        <f aca="false">G$5*4_Normalizacion!G22</f>
        <v>0.000210254463455421</v>
      </c>
      <c r="H24" s="21" t="n">
        <f aca="false">H$5*4_Normalizacion!H22</f>
        <v>0.00848772946915379</v>
      </c>
      <c r="I24" s="21" t="n">
        <f aca="false">I$5*4_Normalizacion!I22</f>
        <v>0.00281086825420146</v>
      </c>
      <c r="J24" s="21" t="n">
        <f aca="false">J$5*4_Normalizacion!J22</f>
        <v>0.000340756055204318</v>
      </c>
      <c r="K24" s="21" t="n">
        <f aca="false">K$5*4_Normalizacion!K22</f>
        <v>3.90133374367575E-005</v>
      </c>
      <c r="L24" s="21" t="n">
        <f aca="false">L$5*4_Normalizacion!L22</f>
        <v>0.00151568610262744</v>
      </c>
      <c r="M24" s="21" t="n">
        <f aca="false">M$5*4_Normalizacion!M22</f>
        <v>0.000826234875930515</v>
      </c>
      <c r="N24" s="21" t="n">
        <f aca="false">N$5*4_Normalizacion!N22</f>
        <v>0.00151979606525836</v>
      </c>
      <c r="O24" s="21" t="n">
        <f aca="false">O$5*4_Normalizacion!O22</f>
        <v>0.00200587264654955</v>
      </c>
      <c r="P24" s="21" t="n">
        <f aca="false">P$5*4_Normalizacion!P22</f>
        <v>0.00135841219936972</v>
      </c>
      <c r="Q24" s="21" t="n">
        <f aca="false">Q$5*4_Normalizacion!Q22</f>
        <v>0.00285926571798898</v>
      </c>
    </row>
    <row r="25" customFormat="false" ht="15" hidden="false" customHeight="false" outlineLevel="0" collapsed="false">
      <c r="A25" s="15" t="n">
        <f aca="false">4_Normalizacion!A23</f>
        <v>18</v>
      </c>
      <c r="B25" s="16" t="n">
        <f aca="false">4_Normalizacion!B23</f>
        <v>2.074</v>
      </c>
      <c r="C25" s="21" t="n">
        <f aca="false">C$5*4_Normalizacion!C23</f>
        <v>0.000422982013486281</v>
      </c>
      <c r="D25" s="21" t="n">
        <f aca="false">D$5*4_Normalizacion!D23</f>
        <v>0.00020543122737585</v>
      </c>
      <c r="E25" s="21" t="n">
        <f aca="false">E$5*4_Normalizacion!E23</f>
        <v>0.00185693905364827</v>
      </c>
      <c r="F25" s="21" t="n">
        <f aca="false">F$5*4_Normalizacion!F23</f>
        <v>0.00121052804556228</v>
      </c>
      <c r="G25" s="21" t="n">
        <f aca="false">G$5*4_Normalizacion!G23</f>
        <v>0.000210254463455421</v>
      </c>
      <c r="H25" s="21" t="n">
        <f aca="false">H$5*4_Normalizacion!H23</f>
        <v>0.00848772946915379</v>
      </c>
      <c r="I25" s="21" t="n">
        <f aca="false">I$5*4_Normalizacion!I23</f>
        <v>0.00281086825420146</v>
      </c>
      <c r="J25" s="21" t="n">
        <f aca="false">J$5*4_Normalizacion!J23</f>
        <v>0.000340756055204318</v>
      </c>
      <c r="K25" s="21" t="n">
        <f aca="false">K$5*4_Normalizacion!K23</f>
        <v>3.90133374367575E-005</v>
      </c>
      <c r="L25" s="21" t="n">
        <f aca="false">L$5*4_Normalizacion!L23</f>
        <v>0.0015086667161118</v>
      </c>
      <c r="M25" s="21" t="n">
        <f aca="false">M$5*4_Normalizacion!M23</f>
        <v>0.000826234875930515</v>
      </c>
      <c r="N25" s="21" t="n">
        <f aca="false">N$5*4_Normalizacion!N23</f>
        <v>0.00151979606525836</v>
      </c>
      <c r="O25" s="21" t="n">
        <f aca="false">O$5*4_Normalizacion!O23</f>
        <v>0.00200587264654955</v>
      </c>
      <c r="P25" s="21" t="n">
        <f aca="false">P$5*4_Normalizacion!P23</f>
        <v>0.00135841219936972</v>
      </c>
      <c r="Q25" s="21" t="n">
        <f aca="false">Q$5*4_Normalizacion!Q23</f>
        <v>0.00285926571798898</v>
      </c>
    </row>
    <row r="26" customFormat="false" ht="15" hidden="false" customHeight="false" outlineLevel="0" collapsed="false">
      <c r="A26" s="15" t="n">
        <f aca="false">4_Normalizacion!A24</f>
        <v>19</v>
      </c>
      <c r="B26" s="16" t="n">
        <f aca="false">4_Normalizacion!B24</f>
        <v>2.172</v>
      </c>
      <c r="C26" s="21" t="n">
        <f aca="false">C$5*4_Normalizacion!C24</f>
        <v>0.000422982013486281</v>
      </c>
      <c r="D26" s="21" t="n">
        <f aca="false">D$5*4_Normalizacion!D24</f>
        <v>0.00020543122737585</v>
      </c>
      <c r="E26" s="21" t="n">
        <f aca="false">E$5*4_Normalizacion!E24</f>
        <v>0.00185693905364827</v>
      </c>
      <c r="F26" s="21" t="n">
        <f aca="false">F$5*4_Normalizacion!F24</f>
        <v>0.00121052804556228</v>
      </c>
      <c r="G26" s="21" t="n">
        <f aca="false">G$5*4_Normalizacion!G24</f>
        <v>0.000210254463455421</v>
      </c>
      <c r="H26" s="21" t="n">
        <f aca="false">H$5*4_Normalizacion!H24</f>
        <v>0.00848772946915379</v>
      </c>
      <c r="I26" s="21" t="n">
        <f aca="false">I$5*4_Normalizacion!I24</f>
        <v>0.00281086825420146</v>
      </c>
      <c r="J26" s="21" t="n">
        <f aca="false">J$5*4_Normalizacion!J24</f>
        <v>0.000340756055204318</v>
      </c>
      <c r="K26" s="21" t="n">
        <f aca="false">K$5*4_Normalizacion!K24</f>
        <v>3.90133374367575E-005</v>
      </c>
      <c r="L26" s="21" t="n">
        <f aca="false">L$5*4_Normalizacion!L24</f>
        <v>0.0015116750246185</v>
      </c>
      <c r="M26" s="21" t="n">
        <f aca="false">M$5*4_Normalizacion!M24</f>
        <v>0.000826234875930515</v>
      </c>
      <c r="N26" s="21" t="n">
        <f aca="false">N$5*4_Normalizacion!N24</f>
        <v>0.00151979606525836</v>
      </c>
      <c r="O26" s="21" t="n">
        <f aca="false">O$5*4_Normalizacion!O24</f>
        <v>0.00200587264654955</v>
      </c>
      <c r="P26" s="21" t="n">
        <f aca="false">P$5*4_Normalizacion!P24</f>
        <v>0.00135841219936972</v>
      </c>
      <c r="Q26" s="21" t="n">
        <f aca="false">Q$5*4_Normalizacion!Q24</f>
        <v>0.00285926571798898</v>
      </c>
    </row>
    <row r="27" customFormat="false" ht="15" hidden="false" customHeight="false" outlineLevel="0" collapsed="false">
      <c r="A27" s="15" t="n">
        <f aca="false">4_Normalizacion!A25</f>
        <v>20</v>
      </c>
      <c r="B27" s="16" t="n">
        <f aca="false">4_Normalizacion!B25</f>
        <v>2.27</v>
      </c>
      <c r="C27" s="21" t="n">
        <f aca="false">C$5*4_Normalizacion!C25</f>
        <v>0.000422982013486281</v>
      </c>
      <c r="D27" s="21" t="n">
        <f aca="false">D$5*4_Normalizacion!D25</f>
        <v>0.00020543122737585</v>
      </c>
      <c r="E27" s="21" t="n">
        <f aca="false">E$5*4_Normalizacion!E25</f>
        <v>0.00185693905364827</v>
      </c>
      <c r="F27" s="21" t="n">
        <f aca="false">F$5*4_Normalizacion!F25</f>
        <v>0.00121052804556228</v>
      </c>
      <c r="G27" s="21" t="n">
        <f aca="false">G$5*4_Normalizacion!G25</f>
        <v>0.000210254463455421</v>
      </c>
      <c r="H27" s="21" t="n">
        <f aca="false">H$5*4_Normalizacion!H25</f>
        <v>0.00848772946915379</v>
      </c>
      <c r="I27" s="21" t="n">
        <f aca="false">I$5*4_Normalizacion!I25</f>
        <v>0.00281086825420146</v>
      </c>
      <c r="J27" s="21" t="n">
        <f aca="false">J$5*4_Normalizacion!J25</f>
        <v>0.000340756055204318</v>
      </c>
      <c r="K27" s="21" t="n">
        <f aca="false">K$5*4_Normalizacion!K25</f>
        <v>3.90133374367575E-005</v>
      </c>
      <c r="L27" s="21" t="n">
        <f aca="false">L$5*4_Normalizacion!L25</f>
        <v>0.0015232068738942</v>
      </c>
      <c r="M27" s="21" t="n">
        <f aca="false">M$5*4_Normalizacion!M25</f>
        <v>0.000826234875930515</v>
      </c>
      <c r="N27" s="21" t="n">
        <f aca="false">N$5*4_Normalizacion!N25</f>
        <v>0.00151979606525836</v>
      </c>
      <c r="O27" s="21" t="n">
        <f aca="false">O$5*4_Normalizacion!O25</f>
        <v>0.00200587264654955</v>
      </c>
      <c r="P27" s="21" t="n">
        <f aca="false">P$5*4_Normalizacion!P25</f>
        <v>0.00135841219936972</v>
      </c>
      <c r="Q27" s="21" t="n">
        <f aca="false">Q$5*4_Normalizacion!Q25</f>
        <v>0.00285926571798898</v>
      </c>
    </row>
    <row r="28" customFormat="false" ht="15" hidden="false" customHeight="false" outlineLevel="0" collapsed="false">
      <c r="A28" s="15" t="n">
        <f aca="false">4_Normalizacion!A26</f>
        <v>21</v>
      </c>
      <c r="B28" s="16" t="n">
        <f aca="false">4_Normalizacion!B26</f>
        <v>2.369</v>
      </c>
      <c r="C28" s="21" t="n">
        <f aca="false">C$5*4_Normalizacion!C26</f>
        <v>0.000422982013486281</v>
      </c>
      <c r="D28" s="21" t="n">
        <f aca="false">D$5*4_Normalizacion!D26</f>
        <v>0.00020543122737585</v>
      </c>
      <c r="E28" s="21" t="n">
        <f aca="false">E$5*4_Normalizacion!E26</f>
        <v>0.00185693905364827</v>
      </c>
      <c r="F28" s="21" t="n">
        <f aca="false">F$5*4_Normalizacion!F26</f>
        <v>0.00121052804556228</v>
      </c>
      <c r="G28" s="21" t="n">
        <f aca="false">G$5*4_Normalizacion!G26</f>
        <v>0.000210254463455421</v>
      </c>
      <c r="H28" s="21" t="n">
        <f aca="false">H$5*4_Normalizacion!H26</f>
        <v>0.00848772946915379</v>
      </c>
      <c r="I28" s="21" t="n">
        <f aca="false">I$5*4_Normalizacion!I26</f>
        <v>0.00281086825420146</v>
      </c>
      <c r="J28" s="21" t="n">
        <f aca="false">J$5*4_Normalizacion!J26</f>
        <v>0.000340756055204318</v>
      </c>
      <c r="K28" s="21" t="n">
        <f aca="false">K$5*4_Normalizacion!K26</f>
        <v>3.90133374367575E-005</v>
      </c>
      <c r="L28" s="21" t="n">
        <f aca="false">L$5*4_Normalizacion!L26</f>
        <v>0.00152220410439196</v>
      </c>
      <c r="M28" s="21" t="n">
        <f aca="false">M$5*4_Normalizacion!M26</f>
        <v>0.000826234875930515</v>
      </c>
      <c r="N28" s="21" t="n">
        <f aca="false">N$5*4_Normalizacion!N26</f>
        <v>0.00151979606525836</v>
      </c>
      <c r="O28" s="21" t="n">
        <f aca="false">O$5*4_Normalizacion!O26</f>
        <v>0.00200587264654955</v>
      </c>
      <c r="P28" s="21" t="n">
        <f aca="false">P$5*4_Normalizacion!P26</f>
        <v>0.00135841219936972</v>
      </c>
      <c r="Q28" s="21" t="n">
        <f aca="false">Q$5*4_Normalizacion!Q26</f>
        <v>0.00285926571798898</v>
      </c>
    </row>
    <row r="29" customFormat="false" ht="15" hidden="false" customHeight="false" outlineLevel="0" collapsed="false">
      <c r="A29" s="15" t="n">
        <f aca="false">4_Normalizacion!A27</f>
        <v>22</v>
      </c>
      <c r="B29" s="16" t="n">
        <f aca="false">4_Normalizacion!B27</f>
        <v>2.467</v>
      </c>
      <c r="C29" s="21" t="n">
        <f aca="false">C$5*4_Normalizacion!C27</f>
        <v>0.000422982013486281</v>
      </c>
      <c r="D29" s="21" t="n">
        <f aca="false">D$5*4_Normalizacion!D27</f>
        <v>0.00020543122737585</v>
      </c>
      <c r="E29" s="21" t="n">
        <f aca="false">E$5*4_Normalizacion!E27</f>
        <v>0.00185693905364827</v>
      </c>
      <c r="F29" s="21" t="n">
        <f aca="false">F$5*4_Normalizacion!F27</f>
        <v>0.00121052804556228</v>
      </c>
      <c r="G29" s="21" t="n">
        <f aca="false">G$5*4_Normalizacion!G27</f>
        <v>0.000210254463455421</v>
      </c>
      <c r="H29" s="21" t="n">
        <f aca="false">H$5*4_Normalizacion!H27</f>
        <v>0.00848772946915379</v>
      </c>
      <c r="I29" s="21" t="n">
        <f aca="false">I$5*4_Normalizacion!I27</f>
        <v>0.00281086825420146</v>
      </c>
      <c r="J29" s="21" t="n">
        <f aca="false">J$5*4_Normalizacion!J27</f>
        <v>0.000340756055204318</v>
      </c>
      <c r="K29" s="21" t="n">
        <f aca="false">K$5*4_Normalizacion!K27</f>
        <v>3.90133374367575E-005</v>
      </c>
      <c r="L29" s="21" t="n">
        <f aca="false">L$5*4_Normalizacion!L27</f>
        <v>0.00152370825864531</v>
      </c>
      <c r="M29" s="21" t="n">
        <f aca="false">M$5*4_Normalizacion!M27</f>
        <v>0.000826234875930515</v>
      </c>
      <c r="N29" s="21" t="n">
        <f aca="false">N$5*4_Normalizacion!N27</f>
        <v>0.00151979606525836</v>
      </c>
      <c r="O29" s="21" t="n">
        <f aca="false">O$5*4_Normalizacion!O27</f>
        <v>0.00200587264654955</v>
      </c>
      <c r="P29" s="21" t="n">
        <f aca="false">P$5*4_Normalizacion!P27</f>
        <v>0.00135841219936972</v>
      </c>
      <c r="Q29" s="21" t="n">
        <f aca="false">Q$5*4_Normalizacion!Q27</f>
        <v>0.00285926571798898</v>
      </c>
    </row>
    <row r="30" customFormat="false" ht="15" hidden="false" customHeight="false" outlineLevel="0" collapsed="false">
      <c r="A30" s="15" t="n">
        <f aca="false">4_Normalizacion!A28</f>
        <v>23</v>
      </c>
      <c r="B30" s="16" t="n">
        <f aca="false">4_Normalizacion!B28</f>
        <v>2.567</v>
      </c>
      <c r="C30" s="21" t="n">
        <f aca="false">C$5*4_Normalizacion!C28</f>
        <v>0.000422982013486281</v>
      </c>
      <c r="D30" s="21" t="n">
        <f aca="false">D$5*4_Normalizacion!D28</f>
        <v>0.00020543122737585</v>
      </c>
      <c r="E30" s="21" t="n">
        <f aca="false">E$5*4_Normalizacion!E28</f>
        <v>0.00185693905364827</v>
      </c>
      <c r="F30" s="21" t="n">
        <f aca="false">F$5*4_Normalizacion!F28</f>
        <v>0.00121052804556228</v>
      </c>
      <c r="G30" s="21" t="n">
        <f aca="false">G$5*4_Normalizacion!G28</f>
        <v>0.000210254463455421</v>
      </c>
      <c r="H30" s="21" t="n">
        <f aca="false">H$5*4_Normalizacion!H28</f>
        <v>0.00848772946915379</v>
      </c>
      <c r="I30" s="21" t="n">
        <f aca="false">I$5*4_Normalizacion!I28</f>
        <v>0.00281086825420146</v>
      </c>
      <c r="J30" s="21" t="n">
        <f aca="false">J$5*4_Normalizacion!J28</f>
        <v>0.000340756055204318</v>
      </c>
      <c r="K30" s="21" t="n">
        <f aca="false">K$5*4_Normalizacion!K28</f>
        <v>3.90133374367575E-005</v>
      </c>
      <c r="L30" s="21" t="n">
        <f aca="false">L$5*4_Normalizacion!L28</f>
        <v>0.00151869441113414</v>
      </c>
      <c r="M30" s="21" t="n">
        <f aca="false">M$5*4_Normalizacion!M28</f>
        <v>0.000826234875930515</v>
      </c>
      <c r="N30" s="21" t="n">
        <f aca="false">N$5*4_Normalizacion!N28</f>
        <v>0.00151979606525836</v>
      </c>
      <c r="O30" s="21" t="n">
        <f aca="false">O$5*4_Normalizacion!O28</f>
        <v>0.00200587264654955</v>
      </c>
      <c r="P30" s="21" t="n">
        <f aca="false">P$5*4_Normalizacion!P28</f>
        <v>0.00135841219936972</v>
      </c>
      <c r="Q30" s="21" t="n">
        <f aca="false">Q$5*4_Normalizacion!Q28</f>
        <v>0.00571853143597797</v>
      </c>
    </row>
    <row r="31" customFormat="false" ht="15" hidden="false" customHeight="false" outlineLevel="0" collapsed="false">
      <c r="A31" s="15" t="n">
        <f aca="false">4_Normalizacion!A29</f>
        <v>24</v>
      </c>
      <c r="B31" s="16" t="n">
        <f aca="false">4_Normalizacion!B29</f>
        <v>2.666</v>
      </c>
      <c r="C31" s="21" t="n">
        <f aca="false">C$5*4_Normalizacion!C29</f>
        <v>0.000422982013486281</v>
      </c>
      <c r="D31" s="21" t="n">
        <f aca="false">D$5*4_Normalizacion!D29</f>
        <v>0.00020543122737585</v>
      </c>
      <c r="E31" s="21" t="n">
        <f aca="false">E$5*4_Normalizacion!E29</f>
        <v>0.00185693905364827</v>
      </c>
      <c r="F31" s="21" t="n">
        <f aca="false">F$5*4_Normalizacion!F29</f>
        <v>0.00121052804556228</v>
      </c>
      <c r="G31" s="21" t="n">
        <f aca="false">G$5*4_Normalizacion!G29</f>
        <v>0.000210254463455421</v>
      </c>
      <c r="H31" s="21" t="n">
        <f aca="false">H$5*4_Normalizacion!H29</f>
        <v>0.00848772946915379</v>
      </c>
      <c r="I31" s="21" t="n">
        <f aca="false">I$5*4_Normalizacion!I29</f>
        <v>0.00281086825420146</v>
      </c>
      <c r="J31" s="21" t="n">
        <f aca="false">J$5*4_Normalizacion!J29</f>
        <v>0.000340756055204318</v>
      </c>
      <c r="K31" s="21" t="n">
        <f aca="false">K$5*4_Normalizacion!K29</f>
        <v>3.90133374367575E-005</v>
      </c>
      <c r="L31" s="21" t="n">
        <f aca="false">L$5*4_Normalizacion!L29</f>
        <v>0.00151418194837408</v>
      </c>
      <c r="M31" s="21" t="n">
        <f aca="false">M$5*4_Normalizacion!M29</f>
        <v>0.000826234875930515</v>
      </c>
      <c r="N31" s="21" t="n">
        <f aca="false">N$5*4_Normalizacion!N29</f>
        <v>0.00151979606525836</v>
      </c>
      <c r="O31" s="21" t="n">
        <f aca="false">O$5*4_Normalizacion!O29</f>
        <v>0.00200587264654955</v>
      </c>
      <c r="P31" s="21" t="n">
        <f aca="false">P$5*4_Normalizacion!P29</f>
        <v>0.00135841219936972</v>
      </c>
      <c r="Q31" s="21" t="n">
        <f aca="false">Q$5*4_Normalizacion!Q29</f>
        <v>0.00285926571798898</v>
      </c>
    </row>
    <row r="32" customFormat="false" ht="15" hidden="false" customHeight="false" outlineLevel="0" collapsed="false">
      <c r="A32" s="15" t="n">
        <f aca="false">4_Normalizacion!A30</f>
        <v>25</v>
      </c>
      <c r="B32" s="16" t="n">
        <f aca="false">4_Normalizacion!B30</f>
        <v>2.766</v>
      </c>
      <c r="C32" s="21" t="n">
        <f aca="false">C$5*4_Normalizacion!C30</f>
        <v>0.000422982013486281</v>
      </c>
      <c r="D32" s="21" t="n">
        <f aca="false">D$5*4_Normalizacion!D30</f>
        <v>0.00020543122737585</v>
      </c>
      <c r="E32" s="21" t="n">
        <f aca="false">E$5*4_Normalizacion!E30</f>
        <v>0.00185693905364827</v>
      </c>
      <c r="F32" s="21" t="n">
        <f aca="false">F$5*4_Normalizacion!F30</f>
        <v>0.00121052804556228</v>
      </c>
      <c r="G32" s="21" t="n">
        <f aca="false">G$5*4_Normalizacion!G30</f>
        <v>0.000210254463455421</v>
      </c>
      <c r="H32" s="21" t="n">
        <f aca="false">H$5*4_Normalizacion!H30</f>
        <v>0.00848772946915379</v>
      </c>
      <c r="I32" s="21" t="n">
        <f aca="false">I$5*4_Normalizacion!I30</f>
        <v>0.00281086825420146</v>
      </c>
      <c r="J32" s="21" t="n">
        <f aca="false">J$5*4_Normalizacion!J30</f>
        <v>0.000340756055204318</v>
      </c>
      <c r="K32" s="21" t="n">
        <f aca="false">K$5*4_Normalizacion!K30</f>
        <v>3.90133374367575E-005</v>
      </c>
      <c r="L32" s="21" t="n">
        <f aca="false">L$5*4_Normalizacion!L30</f>
        <v>0.00152270548914308</v>
      </c>
      <c r="M32" s="21" t="n">
        <f aca="false">M$5*4_Normalizacion!M30</f>
        <v>0.000826234875930515</v>
      </c>
      <c r="N32" s="21" t="n">
        <f aca="false">N$5*4_Normalizacion!N30</f>
        <v>0.00151979606525836</v>
      </c>
      <c r="O32" s="21" t="n">
        <f aca="false">O$5*4_Normalizacion!O30</f>
        <v>0.00200587264654955</v>
      </c>
      <c r="P32" s="21" t="n">
        <f aca="false">P$5*4_Normalizacion!P30</f>
        <v>0.00135841219936972</v>
      </c>
      <c r="Q32" s="21" t="n">
        <f aca="false">Q$5*4_Normalizacion!Q30</f>
        <v>0.00285926571798898</v>
      </c>
    </row>
    <row r="33" customFormat="false" ht="15" hidden="false" customHeight="false" outlineLevel="0" collapsed="false">
      <c r="A33" s="15" t="n">
        <f aca="false">4_Normalizacion!A31</f>
        <v>26</v>
      </c>
      <c r="B33" s="16" t="n">
        <f aca="false">4_Normalizacion!B31</f>
        <v>2.865</v>
      </c>
      <c r="C33" s="21" t="n">
        <f aca="false">C$5*4_Normalizacion!C31</f>
        <v>0.000422982013486281</v>
      </c>
      <c r="D33" s="21" t="n">
        <f aca="false">D$5*4_Normalizacion!D31</f>
        <v>0.00020543122737585</v>
      </c>
      <c r="E33" s="21" t="n">
        <f aca="false">E$5*4_Normalizacion!E31</f>
        <v>0.0013927042902362</v>
      </c>
      <c r="F33" s="21" t="n">
        <f aca="false">F$5*4_Normalizacion!F31</f>
        <v>0.00121052804556228</v>
      </c>
      <c r="G33" s="21" t="n">
        <f aca="false">G$5*4_Normalizacion!G31</f>
        <v>0.000210254463455421</v>
      </c>
      <c r="H33" s="21" t="n">
        <f aca="false">H$5*4_Normalizacion!H31</f>
        <v>0.00848772946915379</v>
      </c>
      <c r="I33" s="21" t="n">
        <f aca="false">I$5*4_Normalizacion!I31</f>
        <v>0.00281086825420146</v>
      </c>
      <c r="J33" s="21" t="n">
        <f aca="false">J$5*4_Normalizacion!J31</f>
        <v>0.000340756055204318</v>
      </c>
      <c r="K33" s="21" t="n">
        <f aca="false">K$5*4_Normalizacion!K31</f>
        <v>3.90133374367575E-005</v>
      </c>
      <c r="L33" s="21" t="n">
        <f aca="false">L$5*4_Normalizacion!L31</f>
        <v>0.0015146833331252</v>
      </c>
      <c r="M33" s="21" t="n">
        <f aca="false">M$5*4_Normalizacion!M31</f>
        <v>0.000826234875930515</v>
      </c>
      <c r="N33" s="21" t="n">
        <f aca="false">N$5*4_Normalizacion!N31</f>
        <v>0.00151979606525836</v>
      </c>
      <c r="O33" s="21" t="n">
        <f aca="false">O$5*4_Normalizacion!O31</f>
        <v>0.00200587264654955</v>
      </c>
      <c r="P33" s="21" t="n">
        <f aca="false">P$5*4_Normalizacion!P31</f>
        <v>0.00135841219936972</v>
      </c>
      <c r="Q33" s="21" t="n">
        <f aca="false">Q$5*4_Normalizacion!Q31</f>
        <v>0.00285926571798898</v>
      </c>
    </row>
    <row r="34" customFormat="false" ht="15" hidden="false" customHeight="false" outlineLevel="0" collapsed="false">
      <c r="A34" s="15" t="n">
        <f aca="false">4_Normalizacion!A32</f>
        <v>27</v>
      </c>
      <c r="B34" s="16" t="n">
        <f aca="false">4_Normalizacion!B32</f>
        <v>2.964</v>
      </c>
      <c r="C34" s="21" t="n">
        <f aca="false">C$5*4_Normalizacion!C32</f>
        <v>0.000422982013486281</v>
      </c>
      <c r="D34" s="21" t="n">
        <f aca="false">D$5*4_Normalizacion!D32</f>
        <v>0.00020543122737585</v>
      </c>
      <c r="E34" s="21" t="n">
        <f aca="false">E$5*4_Normalizacion!E32</f>
        <v>0.0013927042902362</v>
      </c>
      <c r="F34" s="21" t="n">
        <f aca="false">F$5*4_Normalizacion!F32</f>
        <v>0.00121052804556228</v>
      </c>
      <c r="G34" s="21" t="n">
        <f aca="false">G$5*4_Normalizacion!G32</f>
        <v>0.000210254463455421</v>
      </c>
      <c r="H34" s="21" t="n">
        <f aca="false">H$5*4_Normalizacion!H32</f>
        <v>0.00848772946915379</v>
      </c>
      <c r="I34" s="21" t="n">
        <f aca="false">I$5*4_Normalizacion!I32</f>
        <v>0.00281086825420146</v>
      </c>
      <c r="J34" s="21" t="n">
        <f aca="false">J$5*4_Normalizacion!J32</f>
        <v>0.000340756055204318</v>
      </c>
      <c r="K34" s="21" t="n">
        <f aca="false">K$5*4_Normalizacion!K32</f>
        <v>3.90133374367575E-005</v>
      </c>
      <c r="L34" s="21" t="n">
        <f aca="false">L$5*4_Normalizacion!L32</f>
        <v>0.0015146833331252</v>
      </c>
      <c r="M34" s="21" t="n">
        <f aca="false">M$5*4_Normalizacion!M32</f>
        <v>0.000826234875930515</v>
      </c>
      <c r="N34" s="21" t="n">
        <f aca="false">N$5*4_Normalizacion!N32</f>
        <v>0.00151979606525836</v>
      </c>
      <c r="O34" s="21" t="n">
        <f aca="false">O$5*4_Normalizacion!O32</f>
        <v>0.00200587264654955</v>
      </c>
      <c r="P34" s="21" t="n">
        <f aca="false">P$5*4_Normalizacion!P32</f>
        <v>0.00135841219936972</v>
      </c>
      <c r="Q34" s="21" t="n">
        <f aca="false">Q$5*4_Normalizacion!Q32</f>
        <v>0.00285926571798898</v>
      </c>
    </row>
    <row r="35" customFormat="false" ht="15" hidden="false" customHeight="false" outlineLevel="0" collapsed="false">
      <c r="A35" s="15" t="n">
        <f aca="false">4_Normalizacion!A33</f>
        <v>28</v>
      </c>
      <c r="B35" s="16" t="n">
        <f aca="false">4_Normalizacion!B33</f>
        <v>3.062</v>
      </c>
      <c r="C35" s="21" t="n">
        <f aca="false">C$5*4_Normalizacion!C33</f>
        <v>0.000422982013486281</v>
      </c>
      <c r="D35" s="21" t="n">
        <f aca="false">D$5*4_Normalizacion!D33</f>
        <v>0.00020543122737585</v>
      </c>
      <c r="E35" s="21" t="n">
        <f aca="false">E$5*4_Normalizacion!E33</f>
        <v>0.0013927042902362</v>
      </c>
      <c r="F35" s="21" t="n">
        <f aca="false">F$5*4_Normalizacion!F33</f>
        <v>0.00121052804556228</v>
      </c>
      <c r="G35" s="21" t="n">
        <f aca="false">G$5*4_Normalizacion!G33</f>
        <v>0.000210254463455421</v>
      </c>
      <c r="H35" s="21" t="n">
        <f aca="false">H$5*4_Normalizacion!H33</f>
        <v>0.00848772946915379</v>
      </c>
      <c r="I35" s="21" t="n">
        <f aca="false">I$5*4_Normalizacion!I33</f>
        <v>0.00281086825420146</v>
      </c>
      <c r="J35" s="21" t="n">
        <f aca="false">J$5*4_Normalizacion!J33</f>
        <v>0.000340756055204318</v>
      </c>
      <c r="K35" s="21" t="n">
        <f aca="false">K$5*4_Normalizacion!K33</f>
        <v>3.90133374367575E-005</v>
      </c>
      <c r="L35" s="21" t="n">
        <f aca="false">L$5*4_Normalizacion!L33</f>
        <v>0.0015232068738942</v>
      </c>
      <c r="M35" s="21" t="n">
        <f aca="false">M$5*4_Normalizacion!M33</f>
        <v>0.000826234875930515</v>
      </c>
      <c r="N35" s="21" t="n">
        <f aca="false">N$5*4_Normalizacion!N33</f>
        <v>0.00151979606525836</v>
      </c>
      <c r="O35" s="21" t="n">
        <f aca="false">O$5*4_Normalizacion!O33</f>
        <v>0.00200587264654955</v>
      </c>
      <c r="P35" s="21" t="n">
        <f aca="false">P$5*4_Normalizacion!P33</f>
        <v>0.00135841219936972</v>
      </c>
      <c r="Q35" s="21" t="n">
        <f aca="false">Q$5*4_Normalizacion!Q33</f>
        <v>0.00285926571798898</v>
      </c>
    </row>
    <row r="36" customFormat="false" ht="15" hidden="false" customHeight="false" outlineLevel="0" collapsed="false">
      <c r="A36" s="15" t="n">
        <f aca="false">4_Normalizacion!A34</f>
        <v>29</v>
      </c>
      <c r="B36" s="16" t="n">
        <f aca="false">4_Normalizacion!B34</f>
        <v>3.159</v>
      </c>
      <c r="C36" s="21" t="n">
        <f aca="false">C$5*4_Normalizacion!C34</f>
        <v>0.000422982013486281</v>
      </c>
      <c r="D36" s="21" t="n">
        <f aca="false">D$5*4_Normalizacion!D34</f>
        <v>0.00020543122737585</v>
      </c>
      <c r="E36" s="21" t="n">
        <f aca="false">E$5*4_Normalizacion!E34</f>
        <v>0.0013927042902362</v>
      </c>
      <c r="F36" s="21" t="n">
        <f aca="false">F$5*4_Normalizacion!F34</f>
        <v>0.0020175467426038</v>
      </c>
      <c r="G36" s="21" t="n">
        <f aca="false">G$5*4_Normalizacion!G34</f>
        <v>0.000210254463455421</v>
      </c>
      <c r="H36" s="21" t="n">
        <f aca="false">H$5*4_Normalizacion!H34</f>
        <v>0.00848772946915379</v>
      </c>
      <c r="I36" s="21" t="n">
        <f aca="false">I$5*4_Normalizacion!I34</f>
        <v>0.00281086825420146</v>
      </c>
      <c r="J36" s="21" t="n">
        <f aca="false">J$5*4_Normalizacion!J34</f>
        <v>0.000340756055204318</v>
      </c>
      <c r="K36" s="21" t="n">
        <f aca="false">K$5*4_Normalizacion!K34</f>
        <v>3.90133374367575E-005</v>
      </c>
      <c r="L36" s="21" t="n">
        <f aca="false">L$5*4_Normalizacion!L34</f>
        <v>0.00152471102814755</v>
      </c>
      <c r="M36" s="21" t="n">
        <f aca="false">M$5*4_Normalizacion!M34</f>
        <v>0.000826234875930515</v>
      </c>
      <c r="N36" s="21" t="n">
        <f aca="false">N$5*4_Normalizacion!N34</f>
        <v>0.00151979606525836</v>
      </c>
      <c r="O36" s="21" t="n">
        <f aca="false">O$5*4_Normalizacion!O34</f>
        <v>0.00200587264654955</v>
      </c>
      <c r="P36" s="21" t="n">
        <f aca="false">P$5*4_Normalizacion!P34</f>
        <v>0.00135841219936972</v>
      </c>
      <c r="Q36" s="21" t="n">
        <f aca="false">Q$5*4_Normalizacion!Q34</f>
        <v>0.00285926571798898</v>
      </c>
    </row>
    <row r="37" customFormat="false" ht="15" hidden="false" customHeight="false" outlineLevel="0" collapsed="false">
      <c r="A37" s="15" t="n">
        <f aca="false">4_Normalizacion!A35</f>
        <v>30</v>
      </c>
      <c r="B37" s="16" t="n">
        <f aca="false">4_Normalizacion!B35</f>
        <v>3.256</v>
      </c>
      <c r="C37" s="21" t="n">
        <f aca="false">C$5*4_Normalizacion!C35</f>
        <v>0.000422982013486281</v>
      </c>
      <c r="D37" s="21" t="n">
        <f aca="false">D$5*4_Normalizacion!D35</f>
        <v>0.00020543122737585</v>
      </c>
      <c r="E37" s="21" t="n">
        <f aca="false">E$5*4_Normalizacion!E35</f>
        <v>0.0013927042902362</v>
      </c>
      <c r="F37" s="21" t="n">
        <f aca="false">F$5*4_Normalizacion!F35</f>
        <v>0.00161403739408304</v>
      </c>
      <c r="G37" s="21" t="n">
        <f aca="false">G$5*4_Normalizacion!G35</f>
        <v>0.000210254463455421</v>
      </c>
      <c r="H37" s="21" t="n">
        <f aca="false">H$5*4_Normalizacion!H35</f>
        <v>0.00848772946915379</v>
      </c>
      <c r="I37" s="21" t="n">
        <f aca="false">I$5*4_Normalizacion!I35</f>
        <v>0.00281086825420146</v>
      </c>
      <c r="J37" s="21" t="n">
        <f aca="false">J$5*4_Normalizacion!J35</f>
        <v>0.000340756055204318</v>
      </c>
      <c r="K37" s="21" t="n">
        <f aca="false">K$5*4_Normalizacion!K35</f>
        <v>3.90133374367575E-005</v>
      </c>
      <c r="L37" s="21" t="n">
        <f aca="false">L$5*4_Normalizacion!L35</f>
        <v>0.00151719025688079</v>
      </c>
      <c r="M37" s="21" t="n">
        <f aca="false">M$5*4_Normalizacion!M35</f>
        <v>0.000826234875930515</v>
      </c>
      <c r="N37" s="21" t="n">
        <f aca="false">N$5*4_Normalizacion!N35</f>
        <v>0.00151979606525836</v>
      </c>
      <c r="O37" s="21" t="n">
        <f aca="false">O$5*4_Normalizacion!O35</f>
        <v>0.00200587264654955</v>
      </c>
      <c r="P37" s="21" t="n">
        <f aca="false">P$5*4_Normalizacion!P35</f>
        <v>0.00135841219936972</v>
      </c>
      <c r="Q37" s="21" t="n">
        <f aca="false">Q$5*4_Normalizacion!Q35</f>
        <v>0.00285926571798898</v>
      </c>
    </row>
    <row r="38" customFormat="false" ht="15" hidden="false" customHeight="false" outlineLevel="0" collapsed="false">
      <c r="A38" s="15" t="n">
        <f aca="false">4_Normalizacion!A36</f>
        <v>31</v>
      </c>
      <c r="B38" s="16" t="n">
        <f aca="false">4_Normalizacion!B36</f>
        <v>3.353</v>
      </c>
      <c r="C38" s="21" t="n">
        <f aca="false">C$5*4_Normalizacion!C36</f>
        <v>0.000422982013486281</v>
      </c>
      <c r="D38" s="21" t="n">
        <f aca="false">D$5*4_Normalizacion!D36</f>
        <v>0.00020543122737585</v>
      </c>
      <c r="E38" s="21" t="n">
        <f aca="false">E$5*4_Normalizacion!E36</f>
        <v>0.0013927042902362</v>
      </c>
      <c r="F38" s="21" t="n">
        <f aca="false">F$5*4_Normalizacion!F36</f>
        <v>0.00161403739408304</v>
      </c>
      <c r="G38" s="21" t="n">
        <f aca="false">G$5*4_Normalizacion!G36</f>
        <v>0.000210254463455421</v>
      </c>
      <c r="H38" s="21" t="n">
        <f aca="false">H$5*4_Normalizacion!H36</f>
        <v>0.00848772946915379</v>
      </c>
      <c r="I38" s="21" t="n">
        <f aca="false">I$5*4_Normalizacion!I36</f>
        <v>0.00281086825420146</v>
      </c>
      <c r="J38" s="21" t="n">
        <f aca="false">J$5*4_Normalizacion!J36</f>
        <v>0.000340756055204318</v>
      </c>
      <c r="K38" s="21" t="n">
        <f aca="false">K$5*4_Normalizacion!K36</f>
        <v>3.90133374367575E-005</v>
      </c>
      <c r="L38" s="21" t="n">
        <f aca="false">L$5*4_Normalizacion!L36</f>
        <v>0.00151117363986738</v>
      </c>
      <c r="M38" s="21" t="n">
        <f aca="false">M$5*4_Normalizacion!M36</f>
        <v>0.000826234875930515</v>
      </c>
      <c r="N38" s="21" t="n">
        <f aca="false">N$5*4_Normalizacion!N36</f>
        <v>0.00151979606525836</v>
      </c>
      <c r="O38" s="21" t="n">
        <f aca="false">O$5*4_Normalizacion!O36</f>
        <v>0.00200587264654955</v>
      </c>
      <c r="P38" s="21" t="n">
        <f aca="false">P$5*4_Normalizacion!P36</f>
        <v>0.00135841219936972</v>
      </c>
      <c r="Q38" s="21" t="n">
        <f aca="false">Q$5*4_Normalizacion!Q36</f>
        <v>0.00285926571798898</v>
      </c>
    </row>
    <row r="39" customFormat="false" ht="15" hidden="false" customHeight="false" outlineLevel="0" collapsed="false">
      <c r="A39" s="15" t="n">
        <f aca="false">4_Normalizacion!A37</f>
        <v>32</v>
      </c>
      <c r="B39" s="16" t="n">
        <f aca="false">4_Normalizacion!B37</f>
        <v>3.45</v>
      </c>
      <c r="C39" s="21" t="n">
        <f aca="false">C$5*4_Normalizacion!C37</f>
        <v>0.000422982013486281</v>
      </c>
      <c r="D39" s="21" t="n">
        <f aca="false">D$5*4_Normalizacion!D37</f>
        <v>0.00020543122737585</v>
      </c>
      <c r="E39" s="21" t="n">
        <f aca="false">E$5*4_Normalizacion!E37</f>
        <v>0.0013927042902362</v>
      </c>
      <c r="F39" s="21" t="n">
        <f aca="false">F$5*4_Normalizacion!F37</f>
        <v>0.00121052804556228</v>
      </c>
      <c r="G39" s="21" t="n">
        <f aca="false">G$5*4_Normalizacion!G37</f>
        <v>0.000210254463455421</v>
      </c>
      <c r="H39" s="21" t="n">
        <f aca="false">H$5*4_Normalizacion!H37</f>
        <v>0.00848772946915379</v>
      </c>
      <c r="I39" s="21" t="n">
        <f aca="false">I$5*4_Normalizacion!I37</f>
        <v>0.00281086825420146</v>
      </c>
      <c r="J39" s="21" t="n">
        <f aca="false">J$5*4_Normalizacion!J37</f>
        <v>0.000340756055204318</v>
      </c>
      <c r="K39" s="21" t="n">
        <f aca="false">K$5*4_Normalizacion!K37</f>
        <v>3.90133374367575E-005</v>
      </c>
      <c r="L39" s="21" t="n">
        <f aca="false">L$5*4_Normalizacion!L37</f>
        <v>0.00151719025688079</v>
      </c>
      <c r="M39" s="21" t="n">
        <f aca="false">M$5*4_Normalizacion!M37</f>
        <v>0.000826234875930515</v>
      </c>
      <c r="N39" s="21" t="n">
        <f aca="false">N$5*4_Normalizacion!N37</f>
        <v>0.00151979606525836</v>
      </c>
      <c r="O39" s="21" t="n">
        <f aca="false">O$5*4_Normalizacion!O37</f>
        <v>0.00200587264654955</v>
      </c>
      <c r="P39" s="21" t="n">
        <f aca="false">P$5*4_Normalizacion!P37</f>
        <v>0.00135841219936972</v>
      </c>
      <c r="Q39" s="21" t="n">
        <f aca="false">Q$5*4_Normalizacion!Q37</f>
        <v>0.00285926571798898</v>
      </c>
    </row>
    <row r="40" customFormat="false" ht="15" hidden="false" customHeight="false" outlineLevel="0" collapsed="false">
      <c r="A40" s="15" t="n">
        <f aca="false">4_Normalizacion!A38</f>
        <v>33</v>
      </c>
      <c r="B40" s="16" t="n">
        <f aca="false">4_Normalizacion!B38</f>
        <v>3.547</v>
      </c>
      <c r="C40" s="21" t="n">
        <f aca="false">C$5*4_Normalizacion!C38</f>
        <v>0.000845964026972562</v>
      </c>
      <c r="D40" s="21" t="n">
        <f aca="false">D$5*4_Normalizacion!D38</f>
        <v>0.00020543122737585</v>
      </c>
      <c r="E40" s="21" t="n">
        <f aca="false">E$5*4_Normalizacion!E38</f>
        <v>0.0013927042902362</v>
      </c>
      <c r="F40" s="21" t="n">
        <f aca="false">F$5*4_Normalizacion!F38</f>
        <v>0.00161403739408304</v>
      </c>
      <c r="G40" s="21" t="n">
        <f aca="false">G$5*4_Normalizacion!G38</f>
        <v>0.000210254463455421</v>
      </c>
      <c r="H40" s="21" t="n">
        <f aca="false">H$5*4_Normalizacion!H38</f>
        <v>0.00848772946915379</v>
      </c>
      <c r="I40" s="21" t="n">
        <f aca="false">I$5*4_Normalizacion!I38</f>
        <v>0.00281086825420146</v>
      </c>
      <c r="J40" s="21" t="n">
        <f aca="false">J$5*4_Normalizacion!J38</f>
        <v>0.000340756055204318</v>
      </c>
      <c r="K40" s="21" t="n">
        <f aca="false">K$5*4_Normalizacion!K38</f>
        <v>3.90133374367575E-005</v>
      </c>
      <c r="L40" s="21" t="n">
        <f aca="false">L$5*4_Normalizacion!L38</f>
        <v>0.0015232068738942</v>
      </c>
      <c r="M40" s="21" t="n">
        <f aca="false">M$5*4_Normalizacion!M38</f>
        <v>0.000826234875930515</v>
      </c>
      <c r="N40" s="21" t="n">
        <f aca="false">N$5*4_Normalizacion!N38</f>
        <v>0.00151979606525836</v>
      </c>
      <c r="O40" s="21" t="n">
        <f aca="false">O$5*4_Normalizacion!O38</f>
        <v>0.00200587264654955</v>
      </c>
      <c r="P40" s="21" t="n">
        <f aca="false">P$5*4_Normalizacion!P38</f>
        <v>0.00135841219936972</v>
      </c>
      <c r="Q40" s="21" t="n">
        <f aca="false">Q$5*4_Normalizacion!Q38</f>
        <v>0.00285926571798898</v>
      </c>
    </row>
    <row r="41" customFormat="false" ht="15" hidden="false" customHeight="false" outlineLevel="0" collapsed="false">
      <c r="A41" s="15" t="n">
        <f aca="false">4_Normalizacion!A39</f>
        <v>34</v>
      </c>
      <c r="B41" s="16" t="n">
        <f aca="false">4_Normalizacion!B39</f>
        <v>3.645</v>
      </c>
      <c r="C41" s="21" t="n">
        <f aca="false">C$5*4_Normalizacion!C39</f>
        <v>0.000845964026972562</v>
      </c>
      <c r="D41" s="21" t="n">
        <f aca="false">D$5*4_Normalizacion!D39</f>
        <v>0.00020543122737585</v>
      </c>
      <c r="E41" s="21" t="n">
        <f aca="false">E$5*4_Normalizacion!E39</f>
        <v>0.000928469526824133</v>
      </c>
      <c r="F41" s="21" t="n">
        <f aca="false">F$5*4_Normalizacion!F39</f>
        <v>0.00161403739408304</v>
      </c>
      <c r="G41" s="21" t="n">
        <f aca="false">G$5*4_Normalizacion!G39</f>
        <v>0.000210254463455421</v>
      </c>
      <c r="H41" s="21" t="n">
        <f aca="false">H$5*4_Normalizacion!H39</f>
        <v>0.00848772946915379</v>
      </c>
      <c r="I41" s="21" t="n">
        <f aca="false">I$5*4_Normalizacion!I39</f>
        <v>0.00281086825420146</v>
      </c>
      <c r="J41" s="21" t="n">
        <f aca="false">J$5*4_Normalizacion!J39</f>
        <v>0.000340756055204318</v>
      </c>
      <c r="K41" s="21" t="n">
        <f aca="false">K$5*4_Normalizacion!K39</f>
        <v>3.90133374367575E-005</v>
      </c>
      <c r="L41" s="21" t="n">
        <f aca="false">L$5*4_Normalizacion!L39</f>
        <v>0.00152822072140537</v>
      </c>
      <c r="M41" s="21" t="n">
        <f aca="false">M$5*4_Normalizacion!M39</f>
        <v>0.000826234875930515</v>
      </c>
      <c r="N41" s="21" t="n">
        <f aca="false">N$5*4_Normalizacion!N39</f>
        <v>0.00151979606525836</v>
      </c>
      <c r="O41" s="21" t="n">
        <f aca="false">O$5*4_Normalizacion!O39</f>
        <v>0.00200587264654955</v>
      </c>
      <c r="P41" s="21" t="n">
        <f aca="false">P$5*4_Normalizacion!P39</f>
        <v>0.00135841219936972</v>
      </c>
      <c r="Q41" s="21" t="n">
        <f aca="false">Q$5*4_Normalizacion!Q39</f>
        <v>0.00285926571798898</v>
      </c>
    </row>
    <row r="42" customFormat="false" ht="15" hidden="false" customHeight="false" outlineLevel="0" collapsed="false">
      <c r="A42" s="15" t="n">
        <f aca="false">4_Normalizacion!A40</f>
        <v>35</v>
      </c>
      <c r="B42" s="16" t="n">
        <f aca="false">4_Normalizacion!B40</f>
        <v>3.742</v>
      </c>
      <c r="C42" s="21" t="n">
        <f aca="false">C$5*4_Normalizacion!C40</f>
        <v>0.000422982013486281</v>
      </c>
      <c r="D42" s="21" t="n">
        <f aca="false">D$5*4_Normalizacion!D40</f>
        <v>0.00020543122737585</v>
      </c>
      <c r="E42" s="21" t="n">
        <f aca="false">E$5*4_Normalizacion!E40</f>
        <v>0.0013927042902362</v>
      </c>
      <c r="F42" s="21" t="n">
        <f aca="false">F$5*4_Normalizacion!F40</f>
        <v>0.0020175467426038</v>
      </c>
      <c r="G42" s="21" t="n">
        <f aca="false">G$5*4_Normalizacion!G40</f>
        <v>0.000210254463455421</v>
      </c>
      <c r="H42" s="21" t="n">
        <f aca="false">H$5*4_Normalizacion!H40</f>
        <v>0.00848772946915379</v>
      </c>
      <c r="I42" s="21" t="n">
        <f aca="false">I$5*4_Normalizacion!I40</f>
        <v>0.00281086825420146</v>
      </c>
      <c r="J42" s="21" t="n">
        <f aca="false">J$5*4_Normalizacion!J40</f>
        <v>0.000340756055204318</v>
      </c>
      <c r="K42" s="21" t="n">
        <f aca="false">K$5*4_Normalizacion!K40</f>
        <v>3.90133374367575E-005</v>
      </c>
      <c r="L42" s="21" t="n">
        <f aca="false">L$5*4_Normalizacion!L40</f>
        <v>0.0015292234909076</v>
      </c>
      <c r="M42" s="21" t="n">
        <f aca="false">M$5*4_Normalizacion!M40</f>
        <v>0.000826234875930515</v>
      </c>
      <c r="N42" s="21" t="n">
        <f aca="false">N$5*4_Normalizacion!N40</f>
        <v>0.00151979606525836</v>
      </c>
      <c r="O42" s="21" t="n">
        <f aca="false">O$5*4_Normalizacion!O40</f>
        <v>0.00200587264654955</v>
      </c>
      <c r="P42" s="21" t="n">
        <f aca="false">P$5*4_Normalizacion!P40</f>
        <v>0.00135841219936972</v>
      </c>
      <c r="Q42" s="21" t="n">
        <f aca="false">Q$5*4_Normalizacion!Q40</f>
        <v>0.00285926571798898</v>
      </c>
    </row>
    <row r="43" customFormat="false" ht="15" hidden="false" customHeight="false" outlineLevel="0" collapsed="false">
      <c r="A43" s="15" t="n">
        <f aca="false">4_Normalizacion!A41</f>
        <v>36</v>
      </c>
      <c r="B43" s="16" t="n">
        <f aca="false">4_Normalizacion!B41</f>
        <v>3.84</v>
      </c>
      <c r="C43" s="21" t="n">
        <f aca="false">C$5*4_Normalizacion!C41</f>
        <v>0.000422982013486281</v>
      </c>
      <c r="D43" s="21" t="n">
        <f aca="false">D$5*4_Normalizacion!D41</f>
        <v>0.00020543122737585</v>
      </c>
      <c r="E43" s="21" t="n">
        <f aca="false">E$5*4_Normalizacion!E41</f>
        <v>0.0013927042902362</v>
      </c>
      <c r="F43" s="21" t="n">
        <f aca="false">F$5*4_Normalizacion!F41</f>
        <v>0.0020175467426038</v>
      </c>
      <c r="G43" s="21" t="n">
        <f aca="false">G$5*4_Normalizacion!G41</f>
        <v>0.000210254463455421</v>
      </c>
      <c r="H43" s="21" t="n">
        <f aca="false">H$5*4_Normalizacion!H41</f>
        <v>0.00848772946915379</v>
      </c>
      <c r="I43" s="21" t="n">
        <f aca="false">I$5*4_Normalizacion!I41</f>
        <v>0.00281086825420146</v>
      </c>
      <c r="J43" s="21" t="n">
        <f aca="false">J$5*4_Normalizacion!J41</f>
        <v>0.000340756055204318</v>
      </c>
      <c r="K43" s="21" t="n">
        <f aca="false">K$5*4_Normalizacion!K41</f>
        <v>3.90133374367575E-005</v>
      </c>
      <c r="L43" s="21" t="n">
        <f aca="false">L$5*4_Normalizacion!L41</f>
        <v>0.00152120133488973</v>
      </c>
      <c r="M43" s="21" t="n">
        <f aca="false">M$5*4_Normalizacion!M41</f>
        <v>0.000826234875930515</v>
      </c>
      <c r="N43" s="21" t="n">
        <f aca="false">N$5*4_Normalizacion!N41</f>
        <v>0.00151979606525836</v>
      </c>
      <c r="O43" s="21" t="n">
        <f aca="false">O$5*4_Normalizacion!O41</f>
        <v>0.00200587264654955</v>
      </c>
      <c r="P43" s="21" t="n">
        <f aca="false">P$5*4_Normalizacion!P41</f>
        <v>0.00135841219936972</v>
      </c>
      <c r="Q43" s="21" t="n">
        <f aca="false">Q$5*4_Normalizacion!Q41</f>
        <v>0.00285926571798898</v>
      </c>
    </row>
    <row r="44" customFormat="false" ht="15" hidden="false" customHeight="false" outlineLevel="0" collapsed="false">
      <c r="A44" s="15" t="n">
        <f aca="false">4_Normalizacion!A42</f>
        <v>37</v>
      </c>
      <c r="B44" s="16" t="n">
        <f aca="false">4_Normalizacion!B42</f>
        <v>3.937</v>
      </c>
      <c r="C44" s="21" t="n">
        <f aca="false">C$5*4_Normalizacion!C42</f>
        <v>0.000422982013486281</v>
      </c>
      <c r="D44" s="21" t="n">
        <f aca="false">D$5*4_Normalizacion!D42</f>
        <v>0.00020543122737585</v>
      </c>
      <c r="E44" s="21" t="n">
        <f aca="false">E$5*4_Normalizacion!E42</f>
        <v>0.0013927042902362</v>
      </c>
      <c r="F44" s="21" t="n">
        <f aca="false">F$5*4_Normalizacion!F42</f>
        <v>0.00161403739408304</v>
      </c>
      <c r="G44" s="21" t="n">
        <f aca="false">G$5*4_Normalizacion!G42</f>
        <v>0.000210254463455421</v>
      </c>
      <c r="H44" s="21" t="n">
        <f aca="false">H$5*4_Normalizacion!H42</f>
        <v>0.00848772946915379</v>
      </c>
      <c r="I44" s="21" t="n">
        <f aca="false">I$5*4_Normalizacion!I42</f>
        <v>0.00281086825420146</v>
      </c>
      <c r="J44" s="21" t="n">
        <f aca="false">J$5*4_Normalizacion!J42</f>
        <v>0.000340756055204318</v>
      </c>
      <c r="K44" s="21" t="n">
        <f aca="false">K$5*4_Normalizacion!K42</f>
        <v>3.90133374367575E-005</v>
      </c>
      <c r="L44" s="21" t="n">
        <f aca="false">L$5*4_Normalizacion!L42</f>
        <v>0.00151869441113414</v>
      </c>
      <c r="M44" s="21" t="n">
        <f aca="false">M$5*4_Normalizacion!M42</f>
        <v>0.000826234875930515</v>
      </c>
      <c r="N44" s="21" t="n">
        <f aca="false">N$5*4_Normalizacion!N42</f>
        <v>0.00151979606525836</v>
      </c>
      <c r="O44" s="21" t="n">
        <f aca="false">O$5*4_Normalizacion!O42</f>
        <v>0.00200587264654955</v>
      </c>
      <c r="P44" s="21" t="n">
        <f aca="false">P$5*4_Normalizacion!P42</f>
        <v>0.00135841219936972</v>
      </c>
      <c r="Q44" s="21" t="n">
        <f aca="false">Q$5*4_Normalizacion!Q42</f>
        <v>0.00285926571798898</v>
      </c>
    </row>
    <row r="45" customFormat="false" ht="15" hidden="false" customHeight="false" outlineLevel="0" collapsed="false">
      <c r="A45" s="15" t="n">
        <f aca="false">4_Normalizacion!A43</f>
        <v>38</v>
      </c>
      <c r="B45" s="16" t="n">
        <f aca="false">4_Normalizacion!B43</f>
        <v>4.034</v>
      </c>
      <c r="C45" s="21" t="n">
        <f aca="false">C$5*4_Normalizacion!C43</f>
        <v>0.000422982013486281</v>
      </c>
      <c r="D45" s="21" t="n">
        <f aca="false">D$5*4_Normalizacion!D43</f>
        <v>0.00020543122737585</v>
      </c>
      <c r="E45" s="21" t="n">
        <f aca="false">E$5*4_Normalizacion!E43</f>
        <v>0.0013927042902362</v>
      </c>
      <c r="F45" s="21" t="n">
        <f aca="false">F$5*4_Normalizacion!F43</f>
        <v>0.00161403739408304</v>
      </c>
      <c r="G45" s="21" t="n">
        <f aca="false">G$5*4_Normalizacion!G43</f>
        <v>0.000210254463455421</v>
      </c>
      <c r="H45" s="21" t="n">
        <f aca="false">H$5*4_Normalizacion!H43</f>
        <v>0.00848772946915379</v>
      </c>
      <c r="I45" s="21" t="n">
        <f aca="false">I$5*4_Normalizacion!I43</f>
        <v>0.00281086825420146</v>
      </c>
      <c r="J45" s="21" t="n">
        <f aca="false">J$5*4_Normalizacion!J43</f>
        <v>0.000340756055204318</v>
      </c>
      <c r="K45" s="21" t="n">
        <f aca="false">K$5*4_Normalizacion!K43</f>
        <v>3.90133374367575E-005</v>
      </c>
      <c r="L45" s="21" t="n">
        <f aca="false">L$5*4_Normalizacion!L43</f>
        <v>0.00151668887212967</v>
      </c>
      <c r="M45" s="21" t="n">
        <f aca="false">M$5*4_Normalizacion!M43</f>
        <v>0.000826234875930515</v>
      </c>
      <c r="N45" s="21" t="n">
        <f aca="false">N$5*4_Normalizacion!N43</f>
        <v>0.00151979606525836</v>
      </c>
      <c r="O45" s="21" t="n">
        <f aca="false">O$5*4_Normalizacion!O43</f>
        <v>0.00200587264654955</v>
      </c>
      <c r="P45" s="21" t="n">
        <f aca="false">P$5*4_Normalizacion!P43</f>
        <v>0.00135841219936972</v>
      </c>
      <c r="Q45" s="21" t="n">
        <f aca="false">Q$5*4_Normalizacion!Q43</f>
        <v>0.00285926571798898</v>
      </c>
    </row>
    <row r="46" customFormat="false" ht="15" hidden="false" customHeight="false" outlineLevel="0" collapsed="false">
      <c r="A46" s="15" t="n">
        <f aca="false">4_Normalizacion!A44</f>
        <v>39</v>
      </c>
      <c r="B46" s="16" t="n">
        <f aca="false">4_Normalizacion!B44</f>
        <v>4.132</v>
      </c>
      <c r="C46" s="21" t="n">
        <f aca="false">C$5*4_Normalizacion!C44</f>
        <v>0.000422982013486281</v>
      </c>
      <c r="D46" s="21" t="n">
        <f aca="false">D$5*4_Normalizacion!D44</f>
        <v>0.00020543122737585</v>
      </c>
      <c r="E46" s="21" t="n">
        <f aca="false">E$5*4_Normalizacion!E44</f>
        <v>0.0013927042902362</v>
      </c>
      <c r="F46" s="21" t="n">
        <f aca="false">F$5*4_Normalizacion!F44</f>
        <v>0.0020175467426038</v>
      </c>
      <c r="G46" s="21" t="n">
        <f aca="false">G$5*4_Normalizacion!G44</f>
        <v>0.000210254463455421</v>
      </c>
      <c r="H46" s="21" t="n">
        <f aca="false">H$5*4_Normalizacion!H44</f>
        <v>0.00848772946915379</v>
      </c>
      <c r="I46" s="21" t="n">
        <f aca="false">I$5*4_Normalizacion!I44</f>
        <v>0.00281086825420146</v>
      </c>
      <c r="J46" s="21" t="n">
        <f aca="false">J$5*4_Normalizacion!J44</f>
        <v>0.000340756055204318</v>
      </c>
      <c r="K46" s="21" t="n">
        <f aca="false">K$5*4_Normalizacion!K44</f>
        <v>3.90133374367575E-005</v>
      </c>
      <c r="L46" s="21" t="n">
        <f aca="false">L$5*4_Normalizacion!L44</f>
        <v>0.00151969718063637</v>
      </c>
      <c r="M46" s="21" t="n">
        <f aca="false">M$5*4_Normalizacion!M44</f>
        <v>0.000826234875930515</v>
      </c>
      <c r="N46" s="21" t="n">
        <f aca="false">N$5*4_Normalizacion!N44</f>
        <v>0.00151979606525836</v>
      </c>
      <c r="O46" s="21" t="n">
        <f aca="false">O$5*4_Normalizacion!O44</f>
        <v>0.00200587264654955</v>
      </c>
      <c r="P46" s="21" t="n">
        <f aca="false">P$5*4_Normalizacion!P44</f>
        <v>0.00135841219936972</v>
      </c>
      <c r="Q46" s="21" t="n">
        <f aca="false">Q$5*4_Normalizacion!Q44</f>
        <v>0.00285926571798898</v>
      </c>
    </row>
    <row r="47" customFormat="false" ht="15" hidden="false" customHeight="false" outlineLevel="0" collapsed="false">
      <c r="A47" s="15" t="n">
        <f aca="false">4_Normalizacion!A45</f>
        <v>40</v>
      </c>
      <c r="B47" s="16" t="n">
        <f aca="false">4_Normalizacion!B45</f>
        <v>4.23</v>
      </c>
      <c r="C47" s="21" t="n">
        <f aca="false">C$5*4_Normalizacion!C45</f>
        <v>0.000422982013486281</v>
      </c>
      <c r="D47" s="21" t="n">
        <f aca="false">D$5*4_Normalizacion!D45</f>
        <v>0.00020543122737585</v>
      </c>
      <c r="E47" s="21" t="n">
        <f aca="false">E$5*4_Normalizacion!E45</f>
        <v>0.0013927042902362</v>
      </c>
      <c r="F47" s="21" t="n">
        <f aca="false">F$5*4_Normalizacion!F45</f>
        <v>0.0020175467426038</v>
      </c>
      <c r="G47" s="21" t="n">
        <f aca="false">G$5*4_Normalizacion!G45</f>
        <v>0.000210254463455421</v>
      </c>
      <c r="H47" s="21" t="n">
        <f aca="false">H$5*4_Normalizacion!H45</f>
        <v>0.00848772946915379</v>
      </c>
      <c r="I47" s="21" t="n">
        <f aca="false">I$5*4_Normalizacion!I45</f>
        <v>0.00281086825420146</v>
      </c>
      <c r="J47" s="21" t="n">
        <f aca="false">J$5*4_Normalizacion!J45</f>
        <v>0.000340756055204318</v>
      </c>
      <c r="K47" s="21" t="n">
        <f aca="false">K$5*4_Normalizacion!K45</f>
        <v>3.90133374367575E-005</v>
      </c>
      <c r="L47" s="21" t="n">
        <f aca="false">L$5*4_Normalizacion!L45</f>
        <v>0.0015146833331252</v>
      </c>
      <c r="M47" s="21" t="n">
        <f aca="false">M$5*4_Normalizacion!M45</f>
        <v>0.000826234875930515</v>
      </c>
      <c r="N47" s="21" t="n">
        <f aca="false">N$5*4_Normalizacion!N45</f>
        <v>0.00151979606525836</v>
      </c>
      <c r="O47" s="21" t="n">
        <f aca="false">O$5*4_Normalizacion!O45</f>
        <v>0.00200587264654955</v>
      </c>
      <c r="P47" s="21" t="n">
        <f aca="false">P$5*4_Normalizacion!P45</f>
        <v>0.00135841219936972</v>
      </c>
      <c r="Q47" s="21" t="n">
        <f aca="false">Q$5*4_Normalizacion!Q45</f>
        <v>0.00285926571798898</v>
      </c>
    </row>
    <row r="48" customFormat="false" ht="15" hidden="false" customHeight="false" outlineLevel="0" collapsed="false">
      <c r="A48" s="15" t="n">
        <f aca="false">4_Normalizacion!A46</f>
        <v>41</v>
      </c>
      <c r="B48" s="16" t="n">
        <f aca="false">4_Normalizacion!B46</f>
        <v>4.328</v>
      </c>
      <c r="C48" s="21" t="n">
        <f aca="false">C$5*4_Normalizacion!C46</f>
        <v>0.000422982013486281</v>
      </c>
      <c r="D48" s="21" t="n">
        <f aca="false">D$5*4_Normalizacion!D46</f>
        <v>0.00020543122737585</v>
      </c>
      <c r="E48" s="21" t="n">
        <f aca="false">E$5*4_Normalizacion!E46</f>
        <v>0.0013927042902362</v>
      </c>
      <c r="F48" s="21" t="n">
        <f aca="false">F$5*4_Normalizacion!F46</f>
        <v>0.0020175467426038</v>
      </c>
      <c r="G48" s="21" t="n">
        <f aca="false">G$5*4_Normalizacion!G46</f>
        <v>0.000210254463455421</v>
      </c>
      <c r="H48" s="21" t="n">
        <f aca="false">H$5*4_Normalizacion!H46</f>
        <v>0.00848772946915379</v>
      </c>
      <c r="I48" s="21" t="n">
        <f aca="false">I$5*4_Normalizacion!I46</f>
        <v>0.00281086825420146</v>
      </c>
      <c r="J48" s="21" t="n">
        <f aca="false">J$5*4_Normalizacion!J46</f>
        <v>0.000340756055204318</v>
      </c>
      <c r="K48" s="21" t="n">
        <f aca="false">K$5*4_Normalizacion!K46</f>
        <v>3.90133374367575E-005</v>
      </c>
      <c r="L48" s="21" t="n">
        <f aca="false">L$5*4_Normalizacion!L46</f>
        <v>0.00148911271081822</v>
      </c>
      <c r="M48" s="21" t="n">
        <f aca="false">M$5*4_Normalizacion!M46</f>
        <v>0.000826234875930515</v>
      </c>
      <c r="N48" s="21" t="n">
        <f aca="false">N$5*4_Normalizacion!N46</f>
        <v>0.00151979606525836</v>
      </c>
      <c r="O48" s="21" t="n">
        <f aca="false">O$5*4_Normalizacion!O46</f>
        <v>0.00200587264654955</v>
      </c>
      <c r="P48" s="21" t="n">
        <f aca="false">P$5*4_Normalizacion!P46</f>
        <v>0.00135841219936972</v>
      </c>
      <c r="Q48" s="21" t="n">
        <f aca="false">Q$5*4_Normalizacion!Q46</f>
        <v>0.00285926571798898</v>
      </c>
    </row>
    <row r="49" customFormat="false" ht="15" hidden="false" customHeight="false" outlineLevel="0" collapsed="false">
      <c r="A49" s="15" t="n">
        <f aca="false">4_Normalizacion!A47</f>
        <v>42</v>
      </c>
      <c r="B49" s="16" t="n">
        <f aca="false">4_Normalizacion!B47</f>
        <v>4.426</v>
      </c>
      <c r="C49" s="21" t="n">
        <f aca="false">C$5*4_Normalizacion!C47</f>
        <v>0.000422982013486281</v>
      </c>
      <c r="D49" s="21" t="n">
        <f aca="false">D$5*4_Normalizacion!D47</f>
        <v>0.00020543122737585</v>
      </c>
      <c r="E49" s="21" t="n">
        <f aca="false">E$5*4_Normalizacion!E47</f>
        <v>0.0013927042902362</v>
      </c>
      <c r="F49" s="21" t="n">
        <f aca="false">F$5*4_Normalizacion!F47</f>
        <v>0.00161403739408304</v>
      </c>
      <c r="G49" s="21" t="n">
        <f aca="false">G$5*4_Normalizacion!G47</f>
        <v>0.000210254463455421</v>
      </c>
      <c r="H49" s="21" t="n">
        <f aca="false">H$5*4_Normalizacion!H47</f>
        <v>0.00848772946915379</v>
      </c>
      <c r="I49" s="21" t="n">
        <f aca="false">I$5*4_Normalizacion!I47</f>
        <v>0.00281086825420146</v>
      </c>
      <c r="J49" s="21" t="n">
        <f aca="false">J$5*4_Normalizacion!J47</f>
        <v>0.000340756055204318</v>
      </c>
      <c r="K49" s="21" t="n">
        <f aca="false">K$5*4_Normalizacion!K47</f>
        <v>3.90133374367575E-005</v>
      </c>
      <c r="L49" s="21" t="n">
        <f aca="false">L$5*4_Normalizacion!L47</f>
        <v>0.00143396038819533</v>
      </c>
      <c r="M49" s="21" t="n">
        <f aca="false">M$5*4_Normalizacion!M47</f>
        <v>0.000826234875930515</v>
      </c>
      <c r="N49" s="21" t="n">
        <f aca="false">N$5*4_Normalizacion!N47</f>
        <v>0.00151979606525836</v>
      </c>
      <c r="O49" s="21" t="n">
        <f aca="false">O$5*4_Normalizacion!O47</f>
        <v>0.00200587264654955</v>
      </c>
      <c r="P49" s="21" t="n">
        <f aca="false">P$5*4_Normalizacion!P47</f>
        <v>0.00135841219936972</v>
      </c>
      <c r="Q49" s="21" t="n">
        <f aca="false">Q$5*4_Normalizacion!Q47</f>
        <v>0.00285926571798898</v>
      </c>
    </row>
    <row r="50" customFormat="false" ht="15" hidden="false" customHeight="false" outlineLevel="0" collapsed="false">
      <c r="A50" s="15" t="n">
        <f aca="false">4_Normalizacion!A48</f>
        <v>43</v>
      </c>
      <c r="B50" s="16" t="n">
        <f aca="false">4_Normalizacion!B48</f>
        <v>4.526</v>
      </c>
      <c r="C50" s="21" t="n">
        <f aca="false">C$5*4_Normalizacion!C48</f>
        <v>0.000422982013486281</v>
      </c>
      <c r="D50" s="21" t="n">
        <f aca="false">D$5*4_Normalizacion!D48</f>
        <v>0.00020543122737585</v>
      </c>
      <c r="E50" s="21" t="n">
        <f aca="false">E$5*4_Normalizacion!E48</f>
        <v>0.0013927042902362</v>
      </c>
      <c r="F50" s="21" t="n">
        <f aca="false">F$5*4_Normalizacion!F48</f>
        <v>0.00161403739408304</v>
      </c>
      <c r="G50" s="21" t="n">
        <f aca="false">G$5*4_Normalizacion!G48</f>
        <v>0.000210254463455421</v>
      </c>
      <c r="H50" s="21" t="n">
        <f aca="false">H$5*4_Normalizacion!H48</f>
        <v>0.00848772946915379</v>
      </c>
      <c r="I50" s="21" t="n">
        <f aca="false">I$5*4_Normalizacion!I48</f>
        <v>0.00281086825420146</v>
      </c>
      <c r="J50" s="21" t="n">
        <f aca="false">J$5*4_Normalizacion!J48</f>
        <v>0.000340756055204318</v>
      </c>
      <c r="K50" s="21" t="n">
        <f aca="false">K$5*4_Normalizacion!K48</f>
        <v>3.90133374367575E-005</v>
      </c>
      <c r="L50" s="21" t="n">
        <f aca="false">L$5*4_Normalizacion!L48</f>
        <v>0.00143797146620426</v>
      </c>
      <c r="M50" s="21" t="n">
        <f aca="false">M$5*4_Normalizacion!M48</f>
        <v>0.000826234875930515</v>
      </c>
      <c r="N50" s="21" t="n">
        <f aca="false">N$5*4_Normalizacion!N48</f>
        <v>0.00151979606525836</v>
      </c>
      <c r="O50" s="21" t="n">
        <f aca="false">O$5*4_Normalizacion!O48</f>
        <v>0.00200587264654955</v>
      </c>
      <c r="P50" s="21" t="n">
        <f aca="false">P$5*4_Normalizacion!P48</f>
        <v>0.00135841219936972</v>
      </c>
      <c r="Q50" s="21" t="n">
        <f aca="false">Q$5*4_Normalizacion!Q48</f>
        <v>0.00285926571798898</v>
      </c>
    </row>
    <row r="51" customFormat="false" ht="15" hidden="false" customHeight="false" outlineLevel="0" collapsed="false">
      <c r="A51" s="15" t="n">
        <f aca="false">4_Normalizacion!A49</f>
        <v>44</v>
      </c>
      <c r="B51" s="16" t="n">
        <f aca="false">4_Normalizacion!B49</f>
        <v>4.626</v>
      </c>
      <c r="C51" s="21" t="n">
        <f aca="false">C$5*4_Normalizacion!C49</f>
        <v>0.000422982013486281</v>
      </c>
      <c r="D51" s="21" t="n">
        <f aca="false">D$5*4_Normalizacion!D49</f>
        <v>0.00020543122737585</v>
      </c>
      <c r="E51" s="21" t="n">
        <f aca="false">E$5*4_Normalizacion!E49</f>
        <v>0.0013927042902362</v>
      </c>
      <c r="F51" s="21" t="n">
        <f aca="false">F$5*4_Normalizacion!F49</f>
        <v>0.00161403739408304</v>
      </c>
      <c r="G51" s="21" t="n">
        <f aca="false">G$5*4_Normalizacion!G49</f>
        <v>0.000210254463455421</v>
      </c>
      <c r="H51" s="21" t="n">
        <f aca="false">H$5*4_Normalizacion!H49</f>
        <v>0.00848772946915379</v>
      </c>
      <c r="I51" s="21" t="n">
        <f aca="false">I$5*4_Normalizacion!I49</f>
        <v>0.00281086825420146</v>
      </c>
      <c r="J51" s="21" t="n">
        <f aca="false">J$5*4_Normalizacion!J49</f>
        <v>0.000340756055204318</v>
      </c>
      <c r="K51" s="21" t="n">
        <f aca="false">K$5*4_Normalizacion!K49</f>
        <v>3.90133374367575E-005</v>
      </c>
      <c r="L51" s="21" t="n">
        <f aca="false">L$5*4_Normalizacion!L49</f>
        <v>0.00144850054597773</v>
      </c>
      <c r="M51" s="21" t="n">
        <f aca="false">M$5*4_Normalizacion!M49</f>
        <v>0.000826234875930515</v>
      </c>
      <c r="N51" s="21" t="n">
        <f aca="false">N$5*4_Normalizacion!N49</f>
        <v>0.00151979606525836</v>
      </c>
      <c r="O51" s="21" t="n">
        <f aca="false">O$5*4_Normalizacion!O49</f>
        <v>0.00200587264654955</v>
      </c>
      <c r="P51" s="21" t="n">
        <f aca="false">P$5*4_Normalizacion!P49</f>
        <v>0.00135841219936972</v>
      </c>
      <c r="Q51" s="21" t="n">
        <f aca="false">Q$5*4_Normalizacion!Q49</f>
        <v>0.00285926571798898</v>
      </c>
    </row>
    <row r="52" customFormat="false" ht="15" hidden="false" customHeight="false" outlineLevel="0" collapsed="false">
      <c r="A52" s="15" t="n">
        <f aca="false">4_Normalizacion!A50</f>
        <v>45</v>
      </c>
      <c r="B52" s="16" t="n">
        <f aca="false">4_Normalizacion!B50</f>
        <v>4.726</v>
      </c>
      <c r="C52" s="21" t="n">
        <f aca="false">C$5*4_Normalizacion!C50</f>
        <v>0.000845964026972562</v>
      </c>
      <c r="D52" s="21" t="n">
        <f aca="false">D$5*4_Normalizacion!D50</f>
        <v>0.00020543122737585</v>
      </c>
      <c r="E52" s="21" t="n">
        <f aca="false">E$5*4_Normalizacion!E50</f>
        <v>0.0013927042902362</v>
      </c>
      <c r="F52" s="21" t="n">
        <f aca="false">F$5*4_Normalizacion!F50</f>
        <v>0.00161403739408304</v>
      </c>
      <c r="G52" s="21" t="n">
        <f aca="false">G$5*4_Normalizacion!G50</f>
        <v>0.000210254463455421</v>
      </c>
      <c r="H52" s="21" t="n">
        <f aca="false">H$5*4_Normalizacion!H50</f>
        <v>0.00848772946915379</v>
      </c>
      <c r="I52" s="21" t="n">
        <f aca="false">I$5*4_Normalizacion!I50</f>
        <v>0.00281086825420146</v>
      </c>
      <c r="J52" s="21" t="n">
        <f aca="false">J$5*4_Normalizacion!J50</f>
        <v>0.000340756055204318</v>
      </c>
      <c r="K52" s="21" t="n">
        <f aca="false">K$5*4_Normalizacion!K50</f>
        <v>3.90133374367575E-005</v>
      </c>
      <c r="L52" s="21" t="n">
        <f aca="false">L$5*4_Normalizacion!L50</f>
        <v>0.0015232068738942</v>
      </c>
      <c r="M52" s="21" t="n">
        <f aca="false">M$5*4_Normalizacion!M50</f>
        <v>0.000826234875930515</v>
      </c>
      <c r="N52" s="21" t="n">
        <f aca="false">N$5*4_Normalizacion!N50</f>
        <v>0.00151979606525836</v>
      </c>
      <c r="O52" s="21" t="n">
        <f aca="false">O$5*4_Normalizacion!O50</f>
        <v>0.00200587264654955</v>
      </c>
      <c r="P52" s="21" t="n">
        <f aca="false">P$5*4_Normalizacion!P50</f>
        <v>0.00135841219936972</v>
      </c>
      <c r="Q52" s="21" t="n">
        <f aca="false">Q$5*4_Normalizacion!Q50</f>
        <v>0.00285926571798898</v>
      </c>
    </row>
    <row r="53" customFormat="false" ht="15" hidden="false" customHeight="false" outlineLevel="0" collapsed="false">
      <c r="A53" s="15" t="n">
        <f aca="false">4_Normalizacion!A51</f>
        <v>46</v>
      </c>
      <c r="B53" s="16" t="n">
        <f aca="false">4_Normalizacion!B51</f>
        <v>4.826</v>
      </c>
      <c r="C53" s="21" t="n">
        <f aca="false">C$5*4_Normalizacion!C51</f>
        <v>0.00126894604045884</v>
      </c>
      <c r="D53" s="21" t="n">
        <f aca="false">D$5*4_Normalizacion!D51</f>
        <v>0.00020543122737585</v>
      </c>
      <c r="E53" s="21" t="n">
        <f aca="false">E$5*4_Normalizacion!E51</f>
        <v>0.0013927042902362</v>
      </c>
      <c r="F53" s="21" t="n">
        <f aca="false">F$5*4_Normalizacion!F51</f>
        <v>0.0020175467426038</v>
      </c>
      <c r="G53" s="21" t="n">
        <f aca="false">G$5*4_Normalizacion!G51</f>
        <v>0.000210254463455421</v>
      </c>
      <c r="H53" s="21" t="n">
        <f aca="false">H$5*4_Normalizacion!H51</f>
        <v>0.00848772946915379</v>
      </c>
      <c r="I53" s="21" t="n">
        <f aca="false">I$5*4_Normalizacion!I51</f>
        <v>0.00281086825420146</v>
      </c>
      <c r="J53" s="21" t="n">
        <f aca="false">J$5*4_Normalizacion!J51</f>
        <v>0.000340756055204318</v>
      </c>
      <c r="K53" s="21" t="n">
        <f aca="false">K$5*4_Normalizacion!K51</f>
        <v>3.90133374367575E-005</v>
      </c>
      <c r="L53" s="21" t="n">
        <f aca="false">L$5*4_Normalizacion!L51</f>
        <v>0.00153173041466319</v>
      </c>
      <c r="M53" s="21" t="n">
        <f aca="false">M$5*4_Normalizacion!M51</f>
        <v>0.000826234875930515</v>
      </c>
      <c r="N53" s="21" t="n">
        <f aca="false">N$5*4_Normalizacion!N51</f>
        <v>0.00151979606525836</v>
      </c>
      <c r="O53" s="21" t="n">
        <f aca="false">O$5*4_Normalizacion!O51</f>
        <v>0.00200587264654955</v>
      </c>
      <c r="P53" s="21" t="n">
        <f aca="false">P$5*4_Normalizacion!P51</f>
        <v>0.00135841219936972</v>
      </c>
      <c r="Q53" s="21" t="n">
        <f aca="false">Q$5*4_Normalizacion!Q51</f>
        <v>0.00285926571798898</v>
      </c>
    </row>
    <row r="54" customFormat="false" ht="15" hidden="false" customHeight="false" outlineLevel="0" collapsed="false">
      <c r="A54" s="15" t="n">
        <f aca="false">4_Normalizacion!A52</f>
        <v>47</v>
      </c>
      <c r="B54" s="16" t="n">
        <f aca="false">4_Normalizacion!B52</f>
        <v>4.925</v>
      </c>
      <c r="C54" s="21" t="n">
        <f aca="false">C$5*4_Normalizacion!C52</f>
        <v>0.00126894604045884</v>
      </c>
      <c r="D54" s="21" t="n">
        <f aca="false">D$5*4_Normalizacion!D52</f>
        <v>0.00020543122737585</v>
      </c>
      <c r="E54" s="21" t="n">
        <f aca="false">E$5*4_Normalizacion!E52</f>
        <v>0.00185693905364827</v>
      </c>
      <c r="F54" s="21" t="n">
        <f aca="false">F$5*4_Normalizacion!F52</f>
        <v>0.00161403739408304</v>
      </c>
      <c r="G54" s="21" t="n">
        <f aca="false">G$5*4_Normalizacion!G52</f>
        <v>0.000210254463455421</v>
      </c>
      <c r="H54" s="21" t="n">
        <f aca="false">H$5*4_Normalizacion!H52</f>
        <v>0.00848772946915379</v>
      </c>
      <c r="I54" s="21" t="n">
        <f aca="false">I$5*4_Normalizacion!I52</f>
        <v>0.00281086825420146</v>
      </c>
      <c r="J54" s="21" t="n">
        <f aca="false">J$5*4_Normalizacion!J52</f>
        <v>0.000340756055204318</v>
      </c>
      <c r="K54" s="21" t="n">
        <f aca="false">K$5*4_Normalizacion!K52</f>
        <v>3.90133374367575E-005</v>
      </c>
      <c r="L54" s="21" t="n">
        <f aca="false">L$5*4_Normalizacion!L52</f>
        <v>0.00142092438466628</v>
      </c>
      <c r="M54" s="21" t="n">
        <f aca="false">M$5*4_Normalizacion!M52</f>
        <v>0.000826234875930515</v>
      </c>
      <c r="N54" s="21" t="n">
        <f aca="false">N$5*4_Normalizacion!N52</f>
        <v>0.00151979606525836</v>
      </c>
      <c r="O54" s="21" t="n">
        <f aca="false">O$5*4_Normalizacion!O52</f>
        <v>0.00200587264654955</v>
      </c>
      <c r="P54" s="21" t="n">
        <f aca="false">P$5*4_Normalizacion!P52</f>
        <v>0.00135841219936972</v>
      </c>
      <c r="Q54" s="21" t="n">
        <f aca="false">Q$5*4_Normalizacion!Q52</f>
        <v>0.00285926571798898</v>
      </c>
    </row>
    <row r="55" customFormat="false" ht="15" hidden="false" customHeight="false" outlineLevel="0" collapsed="false">
      <c r="A55" s="15" t="n">
        <f aca="false">4_Normalizacion!A53</f>
        <v>48</v>
      </c>
      <c r="B55" s="16" t="n">
        <f aca="false">4_Normalizacion!B53</f>
        <v>5.023</v>
      </c>
      <c r="C55" s="21" t="n">
        <f aca="false">C$5*4_Normalizacion!C53</f>
        <v>0.00126894604045884</v>
      </c>
      <c r="D55" s="21" t="n">
        <f aca="false">D$5*4_Normalizacion!D53</f>
        <v>0.00020543122737585</v>
      </c>
      <c r="E55" s="21" t="n">
        <f aca="false">E$5*4_Normalizacion!E53</f>
        <v>0.0013927042902362</v>
      </c>
      <c r="F55" s="21" t="n">
        <f aca="false">F$5*4_Normalizacion!F53</f>
        <v>0.00161403739408304</v>
      </c>
      <c r="G55" s="21" t="n">
        <f aca="false">G$5*4_Normalizacion!G53</f>
        <v>0.000210254463455421</v>
      </c>
      <c r="H55" s="21" t="n">
        <f aca="false">H$5*4_Normalizacion!H53</f>
        <v>0.00848772946915379</v>
      </c>
      <c r="I55" s="21" t="n">
        <f aca="false">I$5*4_Normalizacion!I53</f>
        <v>0.00281086825420146</v>
      </c>
      <c r="J55" s="21" t="n">
        <f aca="false">J$5*4_Normalizacion!J53</f>
        <v>0.000340756055204318</v>
      </c>
      <c r="K55" s="21" t="n">
        <f aca="false">K$5*4_Normalizacion!K53</f>
        <v>3.90133374367575E-005</v>
      </c>
      <c r="L55" s="21" t="n">
        <f aca="false">L$5*4_Normalizacion!L53</f>
        <v>0.00123741756575736</v>
      </c>
      <c r="M55" s="21" t="n">
        <f aca="false">M$5*4_Normalizacion!M53</f>
        <v>0.000826234875930515</v>
      </c>
      <c r="N55" s="21" t="n">
        <f aca="false">N$5*4_Normalizacion!N53</f>
        <v>0.00151979606525836</v>
      </c>
      <c r="O55" s="21" t="n">
        <f aca="false">O$5*4_Normalizacion!O53</f>
        <v>0.00200587264654955</v>
      </c>
      <c r="P55" s="21" t="n">
        <f aca="false">P$5*4_Normalizacion!P53</f>
        <v>0.00135841219936972</v>
      </c>
      <c r="Q55" s="21" t="n">
        <f aca="false">Q$5*4_Normalizacion!Q53</f>
        <v>0.00285926571798898</v>
      </c>
    </row>
    <row r="56" customFormat="false" ht="15" hidden="false" customHeight="false" outlineLevel="0" collapsed="false">
      <c r="A56" s="15" t="n">
        <f aca="false">4_Normalizacion!A54</f>
        <v>49</v>
      </c>
      <c r="B56" s="16" t="n">
        <f aca="false">4_Normalizacion!B54</f>
        <v>5.12</v>
      </c>
      <c r="C56" s="21" t="n">
        <f aca="false">C$5*4_Normalizacion!C54</f>
        <v>0.00126894604045884</v>
      </c>
      <c r="D56" s="21" t="n">
        <f aca="false">D$5*4_Normalizacion!D54</f>
        <v>0.00020543122737585</v>
      </c>
      <c r="E56" s="21" t="n">
        <f aca="false">E$5*4_Normalizacion!E54</f>
        <v>0.0013927042902362</v>
      </c>
      <c r="F56" s="21" t="n">
        <f aca="false">F$5*4_Normalizacion!F54</f>
        <v>0.0020175467426038</v>
      </c>
      <c r="G56" s="21" t="n">
        <f aca="false">G$5*4_Normalizacion!G54</f>
        <v>0.000210254463455421</v>
      </c>
      <c r="H56" s="21" t="n">
        <f aca="false">H$5*4_Normalizacion!H54</f>
        <v>0.00848772946915379</v>
      </c>
      <c r="I56" s="21" t="n">
        <f aca="false">I$5*4_Normalizacion!I54</f>
        <v>0.00281086825420146</v>
      </c>
      <c r="J56" s="21" t="n">
        <f aca="false">J$5*4_Normalizacion!J54</f>
        <v>0.000340756055204318</v>
      </c>
      <c r="K56" s="21" t="n">
        <f aca="false">K$5*4_Normalizacion!K54</f>
        <v>3.90133374367575E-005</v>
      </c>
      <c r="L56" s="21" t="n">
        <f aca="false">L$5*4_Normalizacion!L54</f>
        <v>0.00124443695227301</v>
      </c>
      <c r="M56" s="21" t="n">
        <f aca="false">M$5*4_Normalizacion!M54</f>
        <v>0.000797729772710913</v>
      </c>
      <c r="N56" s="21" t="n">
        <f aca="false">N$5*4_Normalizacion!N54</f>
        <v>0.00151979606525836</v>
      </c>
      <c r="O56" s="21" t="n">
        <f aca="false">O$5*4_Normalizacion!O54</f>
        <v>0.00200587264654955</v>
      </c>
      <c r="P56" s="21" t="n">
        <f aca="false">P$5*4_Normalizacion!P54</f>
        <v>0.00135841219936972</v>
      </c>
      <c r="Q56" s="21" t="n">
        <f aca="false">Q$5*4_Normalizacion!Q54</f>
        <v>0.00285926571798898</v>
      </c>
    </row>
    <row r="57" customFormat="false" ht="15" hidden="false" customHeight="false" outlineLevel="0" collapsed="false">
      <c r="A57" s="15" t="n">
        <f aca="false">4_Normalizacion!A55</f>
        <v>50</v>
      </c>
      <c r="B57" s="16" t="n">
        <f aca="false">4_Normalizacion!B55</f>
        <v>5.216</v>
      </c>
      <c r="C57" s="21" t="n">
        <f aca="false">C$5*4_Normalizacion!C55</f>
        <v>0.00126894604045884</v>
      </c>
      <c r="D57" s="21" t="n">
        <f aca="false">D$5*4_Normalizacion!D55</f>
        <v>0.00020543122737585</v>
      </c>
      <c r="E57" s="21" t="n">
        <f aca="false">E$5*4_Normalizacion!E55</f>
        <v>0.0013927042902362</v>
      </c>
      <c r="F57" s="21" t="n">
        <f aca="false">F$5*4_Normalizacion!F55</f>
        <v>0.00161403739408304</v>
      </c>
      <c r="G57" s="21" t="n">
        <f aca="false">G$5*4_Normalizacion!G55</f>
        <v>0.000210254463455421</v>
      </c>
      <c r="H57" s="21" t="n">
        <f aca="false">H$5*4_Normalizacion!H55</f>
        <v>0.00848772946915379</v>
      </c>
      <c r="I57" s="21" t="n">
        <f aca="false">I$5*4_Normalizacion!I55</f>
        <v>0.00281086825420146</v>
      </c>
      <c r="J57" s="21" t="n">
        <f aca="false">J$5*4_Normalizacion!J55</f>
        <v>0.000340756055204318</v>
      </c>
      <c r="K57" s="21" t="n">
        <f aca="false">K$5*4_Normalizacion!K55</f>
        <v>3.90133374367575E-005</v>
      </c>
      <c r="L57" s="21" t="n">
        <f aca="false">L$5*4_Normalizacion!L55</f>
        <v>0.00125647018629982</v>
      </c>
      <c r="M57" s="21" t="n">
        <f aca="false">M$5*4_Normalizacion!M55</f>
        <v>0.000705811142763643</v>
      </c>
      <c r="N57" s="21" t="n">
        <f aca="false">N$5*4_Normalizacion!N55</f>
        <v>0.00151979606525836</v>
      </c>
      <c r="O57" s="21" t="n">
        <f aca="false">O$5*4_Normalizacion!O55</f>
        <v>0.00200587264654955</v>
      </c>
      <c r="P57" s="21" t="n">
        <f aca="false">P$5*4_Normalizacion!P55</f>
        <v>0.00135841219936972</v>
      </c>
      <c r="Q57" s="21" t="n">
        <f aca="false">Q$5*4_Normalizacion!Q55</f>
        <v>0.00285926571798898</v>
      </c>
    </row>
    <row r="58" customFormat="false" ht="15" hidden="false" customHeight="false" outlineLevel="0" collapsed="false">
      <c r="A58" s="15" t="n">
        <f aca="false">4_Normalizacion!A56</f>
        <v>51</v>
      </c>
      <c r="B58" s="16" t="n">
        <f aca="false">4_Normalizacion!B56</f>
        <v>5.31</v>
      </c>
      <c r="C58" s="21" t="n">
        <f aca="false">C$5*4_Normalizacion!C56</f>
        <v>0.00126894604045884</v>
      </c>
      <c r="D58" s="21" t="n">
        <f aca="false">D$5*4_Normalizacion!D56</f>
        <v>0.00020543122737585</v>
      </c>
      <c r="E58" s="21" t="n">
        <f aca="false">E$5*4_Normalizacion!E56</f>
        <v>0.0013927042902362</v>
      </c>
      <c r="F58" s="21" t="n">
        <f aca="false">F$5*4_Normalizacion!F56</f>
        <v>0.00161403739408304</v>
      </c>
      <c r="G58" s="21" t="n">
        <f aca="false">G$5*4_Normalizacion!G56</f>
        <v>0.000210254463455421</v>
      </c>
      <c r="H58" s="21" t="n">
        <f aca="false">H$5*4_Normalizacion!H56</f>
        <v>0.00848772946915379</v>
      </c>
      <c r="I58" s="21" t="n">
        <f aca="false">I$5*4_Normalizacion!I56</f>
        <v>0.00281086825420146</v>
      </c>
      <c r="J58" s="21" t="n">
        <f aca="false">J$5*4_Normalizacion!J56</f>
        <v>0.000340756055204318</v>
      </c>
      <c r="K58" s="21" t="n">
        <f aca="false">K$5*4_Normalizacion!K56</f>
        <v>3.90133374367575E-005</v>
      </c>
      <c r="L58" s="21" t="n">
        <f aca="false">L$5*4_Normalizacion!L56</f>
        <v>0.00146855593602242</v>
      </c>
      <c r="M58" s="21" t="n">
        <f aca="false">M$5*4_Normalizacion!M56</f>
        <v>0.000674620776197266</v>
      </c>
      <c r="N58" s="21" t="n">
        <f aca="false">N$5*4_Normalizacion!N56</f>
        <v>0.00151979606525836</v>
      </c>
      <c r="O58" s="21" t="n">
        <f aca="false">O$5*4_Normalizacion!O56</f>
        <v>0.00200587264654955</v>
      </c>
      <c r="P58" s="21" t="n">
        <f aca="false">P$5*4_Normalizacion!P56</f>
        <v>0.00135841219936972</v>
      </c>
      <c r="Q58" s="21" t="n">
        <f aca="false">Q$5*4_Normalizacion!Q56</f>
        <v>0.00285926571798898</v>
      </c>
    </row>
    <row r="59" customFormat="false" ht="15" hidden="false" customHeight="false" outlineLevel="0" collapsed="false">
      <c r="A59" s="15" t="n">
        <f aca="false">4_Normalizacion!A57</f>
        <v>52</v>
      </c>
      <c r="B59" s="16" t="n">
        <f aca="false">4_Normalizacion!B57</f>
        <v>5.403</v>
      </c>
      <c r="C59" s="21" t="n">
        <f aca="false">C$5*4_Normalizacion!C57</f>
        <v>0.00126894604045884</v>
      </c>
      <c r="D59" s="21" t="n">
        <f aca="false">D$5*4_Normalizacion!D57</f>
        <v>0.00016434498190068</v>
      </c>
      <c r="E59" s="21" t="n">
        <f aca="false">E$5*4_Normalizacion!E57</f>
        <v>0.0013927042902362</v>
      </c>
      <c r="F59" s="21" t="n">
        <f aca="false">F$5*4_Normalizacion!F57</f>
        <v>0.00161403739408304</v>
      </c>
      <c r="G59" s="21" t="n">
        <f aca="false">G$5*4_Normalizacion!G57</f>
        <v>0.000210254463455421</v>
      </c>
      <c r="H59" s="21" t="n">
        <f aca="false">H$5*4_Normalizacion!H57</f>
        <v>0.00848772946915379</v>
      </c>
      <c r="I59" s="21" t="n">
        <f aca="false">I$5*4_Normalizacion!I57</f>
        <v>0.00281086825420146</v>
      </c>
      <c r="J59" s="21" t="n">
        <f aca="false">J$5*4_Normalizacion!J57</f>
        <v>0.000340756055204318</v>
      </c>
      <c r="K59" s="21" t="n">
        <f aca="false">K$5*4_Normalizacion!K57</f>
        <v>3.90133374367575E-005</v>
      </c>
      <c r="L59" s="21" t="n">
        <f aca="false">L$5*4_Normalizacion!L57</f>
        <v>0.00138582745208807</v>
      </c>
      <c r="M59" s="21" t="n">
        <f aca="false">M$5*4_Normalizacion!M57</f>
        <v>0.00066160757690136</v>
      </c>
      <c r="N59" s="21" t="n">
        <f aca="false">N$5*4_Normalizacion!N57</f>
        <v>0.00151979606525836</v>
      </c>
      <c r="O59" s="21" t="n">
        <f aca="false">O$5*4_Normalizacion!O57</f>
        <v>0.00200587264654955</v>
      </c>
      <c r="P59" s="21" t="n">
        <f aca="false">P$5*4_Normalizacion!P57</f>
        <v>0.00135841219936972</v>
      </c>
      <c r="Q59" s="21" t="n">
        <f aca="false">Q$5*4_Normalizacion!Q57</f>
        <v>0.00285926571798898</v>
      </c>
    </row>
    <row r="60" customFormat="false" ht="15" hidden="false" customHeight="false" outlineLevel="0" collapsed="false">
      <c r="A60" s="15" t="n">
        <f aca="false">4_Normalizacion!A58</f>
        <v>53</v>
      </c>
      <c r="B60" s="16" t="n">
        <f aca="false">4_Normalizacion!B58</f>
        <v>5.496</v>
      </c>
      <c r="C60" s="21" t="n">
        <f aca="false">C$5*4_Normalizacion!C58</f>
        <v>0.00126894604045884</v>
      </c>
      <c r="D60" s="21" t="n">
        <f aca="false">D$5*4_Normalizacion!D58</f>
        <v>0.00016434498190068</v>
      </c>
      <c r="E60" s="21" t="n">
        <f aca="false">E$5*4_Normalizacion!E58</f>
        <v>0.0013927042902362</v>
      </c>
      <c r="F60" s="21" t="n">
        <f aca="false">F$5*4_Normalizacion!F58</f>
        <v>0.00161403739408304</v>
      </c>
      <c r="G60" s="21" t="n">
        <f aca="false">G$5*4_Normalizacion!G58</f>
        <v>0.000210254463455421</v>
      </c>
      <c r="H60" s="21" t="n">
        <f aca="false">H$5*4_Normalizacion!H58</f>
        <v>0.00848772946915379</v>
      </c>
      <c r="I60" s="21" t="n">
        <f aca="false">I$5*4_Normalizacion!I58</f>
        <v>0.00281086825420146</v>
      </c>
      <c r="J60" s="21" t="n">
        <f aca="false">J$5*4_Normalizacion!J58</f>
        <v>0.000340756055204318</v>
      </c>
      <c r="K60" s="21" t="n">
        <f aca="false">K$5*4_Normalizacion!K58</f>
        <v>3.90133374367575E-005</v>
      </c>
      <c r="L60" s="21" t="n">
        <f aca="false">L$5*4_Normalizacion!L58</f>
        <v>0.00119680540091687</v>
      </c>
      <c r="M60" s="21" t="n">
        <f aca="false">M$5*4_Normalizacion!M58</f>
        <v>0.000707050495077539</v>
      </c>
      <c r="N60" s="21" t="n">
        <f aca="false">N$5*4_Normalizacion!N58</f>
        <v>0.00151979606525836</v>
      </c>
      <c r="O60" s="21" t="n">
        <f aca="false">O$5*4_Normalizacion!O58</f>
        <v>0.00200587264654955</v>
      </c>
      <c r="P60" s="21" t="n">
        <f aca="false">P$5*4_Normalizacion!P58</f>
        <v>0.00135841219936972</v>
      </c>
      <c r="Q60" s="21" t="n">
        <f aca="false">Q$5*4_Normalizacion!Q58</f>
        <v>0.00285926571798898</v>
      </c>
    </row>
    <row r="61" customFormat="false" ht="15" hidden="false" customHeight="false" outlineLevel="0" collapsed="false">
      <c r="A61" s="15" t="n">
        <f aca="false">4_Normalizacion!A59</f>
        <v>54</v>
      </c>
      <c r="B61" s="16" t="n">
        <f aca="false">4_Normalizacion!B59</f>
        <v>5.589</v>
      </c>
      <c r="C61" s="21" t="n">
        <f aca="false">C$5*4_Normalizacion!C59</f>
        <v>0.00126894604045884</v>
      </c>
      <c r="D61" s="21" t="n">
        <f aca="false">D$5*4_Normalizacion!D59</f>
        <v>0.00016434498190068</v>
      </c>
      <c r="E61" s="21" t="n">
        <f aca="false">E$5*4_Normalizacion!E59</f>
        <v>0.000928469526824133</v>
      </c>
      <c r="F61" s="21" t="n">
        <f aca="false">F$5*4_Normalizacion!F59</f>
        <v>0.00161403739408304</v>
      </c>
      <c r="G61" s="21" t="n">
        <f aca="false">G$5*4_Normalizacion!G59</f>
        <v>0.000210254463455421</v>
      </c>
      <c r="H61" s="21" t="n">
        <f aca="false">H$5*4_Normalizacion!H59</f>
        <v>0.00848772946915379</v>
      </c>
      <c r="I61" s="21" t="n">
        <f aca="false">I$5*4_Normalizacion!I59</f>
        <v>0.00281086825420146</v>
      </c>
      <c r="J61" s="21" t="n">
        <f aca="false">J$5*4_Normalizacion!J59</f>
        <v>0.000340756055204318</v>
      </c>
      <c r="K61" s="21" t="n">
        <f aca="false">K$5*4_Normalizacion!K59</f>
        <v>3.90133374367575E-005</v>
      </c>
      <c r="L61" s="21" t="n">
        <f aca="false">L$5*4_Normalizacion!L59</f>
        <v>0.00120883863494368</v>
      </c>
      <c r="M61" s="21" t="n">
        <f aca="false">M$5*4_Normalizacion!M59</f>
        <v>0.000774595196184858</v>
      </c>
      <c r="N61" s="21" t="n">
        <f aca="false">N$5*4_Normalizacion!N59</f>
        <v>0.00151979606525836</v>
      </c>
      <c r="O61" s="21" t="n">
        <f aca="false">O$5*4_Normalizacion!O59</f>
        <v>0.00200587264654955</v>
      </c>
      <c r="P61" s="21" t="n">
        <f aca="false">P$5*4_Normalizacion!P59</f>
        <v>0.00135841219936972</v>
      </c>
      <c r="Q61" s="21" t="n">
        <f aca="false">Q$5*4_Normalizacion!Q59</f>
        <v>0.00285926571798898</v>
      </c>
    </row>
    <row r="62" customFormat="false" ht="15" hidden="false" customHeight="false" outlineLevel="0" collapsed="false">
      <c r="A62" s="15" t="n">
        <f aca="false">4_Normalizacion!A60</f>
        <v>55</v>
      </c>
      <c r="B62" s="16" t="n">
        <f aca="false">4_Normalizacion!B60</f>
        <v>5.682</v>
      </c>
      <c r="C62" s="21" t="n">
        <f aca="false">C$5*4_Normalizacion!C60</f>
        <v>0.00126894604045884</v>
      </c>
      <c r="D62" s="21" t="n">
        <f aca="false">D$5*4_Normalizacion!D60</f>
        <v>0.00016434498190068</v>
      </c>
      <c r="E62" s="21" t="n">
        <f aca="false">E$5*4_Normalizacion!E60</f>
        <v>0.000928469526824133</v>
      </c>
      <c r="F62" s="21" t="n">
        <f aca="false">F$5*4_Normalizacion!F60</f>
        <v>0.00161403739408304</v>
      </c>
      <c r="G62" s="21" t="n">
        <f aca="false">G$5*4_Normalizacion!G60</f>
        <v>0.000210254463455421</v>
      </c>
      <c r="H62" s="21" t="n">
        <f aca="false">H$5*4_Normalizacion!H60</f>
        <v>0.00848772946915379</v>
      </c>
      <c r="I62" s="21" t="n">
        <f aca="false">I$5*4_Normalizacion!I60</f>
        <v>0.00281086825420146</v>
      </c>
      <c r="J62" s="21" t="n">
        <f aca="false">J$5*4_Normalizacion!J60</f>
        <v>0.000340756055204318</v>
      </c>
      <c r="K62" s="21" t="n">
        <f aca="false">K$5*4_Normalizacion!K60</f>
        <v>3.90133374367575E-005</v>
      </c>
      <c r="L62" s="21" t="n">
        <f aca="false">L$5*4_Normalizacion!L60</f>
        <v>0.00121435386720597</v>
      </c>
      <c r="M62" s="21" t="n">
        <f aca="false">M$5*4_Normalizacion!M60</f>
        <v>0.000802480623247513</v>
      </c>
      <c r="N62" s="21" t="n">
        <f aca="false">N$5*4_Normalizacion!N60</f>
        <v>0.00151979606525836</v>
      </c>
      <c r="O62" s="21" t="n">
        <f aca="false">O$5*4_Normalizacion!O60</f>
        <v>0.00200587264654955</v>
      </c>
      <c r="P62" s="21" t="n">
        <f aca="false">P$5*4_Normalizacion!P60</f>
        <v>0.00135841219936972</v>
      </c>
      <c r="Q62" s="21" t="n">
        <f aca="false">Q$5*4_Normalizacion!Q60</f>
        <v>0.00285926571798898</v>
      </c>
    </row>
    <row r="63" customFormat="false" ht="15" hidden="false" customHeight="false" outlineLevel="0" collapsed="false">
      <c r="A63" s="15" t="n">
        <f aca="false">4_Normalizacion!A61</f>
        <v>56</v>
      </c>
      <c r="B63" s="16" t="n">
        <f aca="false">4_Normalizacion!B61</f>
        <v>5.777</v>
      </c>
      <c r="C63" s="21" t="n">
        <f aca="false">C$5*4_Normalizacion!C61</f>
        <v>0.00126894604045884</v>
      </c>
      <c r="D63" s="21" t="n">
        <f aca="false">D$5*4_Normalizacion!D61</f>
        <v>0.00016434498190068</v>
      </c>
      <c r="E63" s="21" t="n">
        <f aca="false">E$5*4_Normalizacion!E61</f>
        <v>0.000928469526824133</v>
      </c>
      <c r="F63" s="21" t="n">
        <f aca="false">F$5*4_Normalizacion!F61</f>
        <v>0.00161403739408304</v>
      </c>
      <c r="G63" s="21" t="n">
        <f aca="false">G$5*4_Normalizacion!G61</f>
        <v>0.000210254463455421</v>
      </c>
      <c r="H63" s="21" t="n">
        <f aca="false">H$5*4_Normalizacion!H61</f>
        <v>0.00848772946915379</v>
      </c>
      <c r="I63" s="21" t="n">
        <f aca="false">I$5*4_Normalizacion!I61</f>
        <v>0.00281086825420146</v>
      </c>
      <c r="J63" s="21" t="n">
        <f aca="false">J$5*4_Normalizacion!J61</f>
        <v>0.000340756055204318</v>
      </c>
      <c r="K63" s="21" t="n">
        <f aca="false">K$5*4_Normalizacion!K61</f>
        <v>3.90133374367575E-005</v>
      </c>
      <c r="L63" s="21" t="n">
        <f aca="false">L$5*4_Normalizacion!L61</f>
        <v>0.00118226524313447</v>
      </c>
      <c r="M63" s="21" t="n">
        <f aca="false">M$5*4_Normalizacion!M61</f>
        <v>0.000787195278042799</v>
      </c>
      <c r="N63" s="21" t="n">
        <f aca="false">N$5*4_Normalizacion!N61</f>
        <v>0.00151979606525836</v>
      </c>
      <c r="O63" s="21" t="n">
        <f aca="false">O$5*4_Normalizacion!O61</f>
        <v>0.00200587264654955</v>
      </c>
      <c r="P63" s="21" t="n">
        <f aca="false">P$5*4_Normalizacion!P61</f>
        <v>0.00135841219936972</v>
      </c>
      <c r="Q63" s="21" t="n">
        <f aca="false">Q$5*4_Normalizacion!Q61</f>
        <v>0.00285926571798898</v>
      </c>
    </row>
    <row r="64" customFormat="false" ht="15" hidden="false" customHeight="false" outlineLevel="0" collapsed="false">
      <c r="A64" s="15" t="n">
        <f aca="false">4_Normalizacion!A62</f>
        <v>57</v>
      </c>
      <c r="B64" s="16" t="n">
        <f aca="false">4_Normalizacion!B62</f>
        <v>5.872</v>
      </c>
      <c r="C64" s="21" t="n">
        <f aca="false">C$5*4_Normalizacion!C62</f>
        <v>0.00126894604045884</v>
      </c>
      <c r="D64" s="21" t="n">
        <f aca="false">D$5*4_Normalizacion!D62</f>
        <v>0.00016434498190068</v>
      </c>
      <c r="E64" s="21" t="n">
        <f aca="false">E$5*4_Normalizacion!E62</f>
        <v>0.000928469526824133</v>
      </c>
      <c r="F64" s="21" t="n">
        <f aca="false">F$5*4_Normalizacion!F62</f>
        <v>0.0020175467426038</v>
      </c>
      <c r="G64" s="21" t="n">
        <f aca="false">G$5*4_Normalizacion!G62</f>
        <v>0.000210254463455421</v>
      </c>
      <c r="H64" s="21" t="n">
        <f aca="false">H$5*4_Normalizacion!H62</f>
        <v>0.00848772946915379</v>
      </c>
      <c r="I64" s="21" t="n">
        <f aca="false">I$5*4_Normalizacion!I62</f>
        <v>0.00281086825420146</v>
      </c>
      <c r="J64" s="21" t="n">
        <f aca="false">J$5*4_Normalizacion!J62</f>
        <v>0.000340756055204318</v>
      </c>
      <c r="K64" s="21" t="n">
        <f aca="false">K$5*4_Normalizacion!K62</f>
        <v>3.90133374367575E-005</v>
      </c>
      <c r="L64" s="21" t="n">
        <f aca="false">L$5*4_Normalizacion!L62</f>
        <v>0.00109452291168895</v>
      </c>
      <c r="M64" s="21" t="n">
        <f aca="false">M$5*4_Normalizacion!M62</f>
        <v>0.000806198680189201</v>
      </c>
      <c r="N64" s="21" t="n">
        <f aca="false">N$5*4_Normalizacion!N62</f>
        <v>0.00151979606525836</v>
      </c>
      <c r="O64" s="21" t="n">
        <f aca="false">O$5*4_Normalizacion!O62</f>
        <v>0.00200587264654955</v>
      </c>
      <c r="P64" s="21" t="n">
        <f aca="false">P$5*4_Normalizacion!P62</f>
        <v>0.00135841219936972</v>
      </c>
      <c r="Q64" s="21" t="n">
        <f aca="false">Q$5*4_Normalizacion!Q62</f>
        <v>0.00285926571798898</v>
      </c>
    </row>
    <row r="65" customFormat="false" ht="15" hidden="false" customHeight="false" outlineLevel="0" collapsed="false">
      <c r="A65" s="15" t="n">
        <f aca="false">4_Normalizacion!A63</f>
        <v>58</v>
      </c>
      <c r="B65" s="16" t="n">
        <f aca="false">4_Normalizacion!B63</f>
        <v>5.969</v>
      </c>
      <c r="C65" s="21" t="n">
        <f aca="false">C$5*4_Normalizacion!C63</f>
        <v>0.00169192805394512</v>
      </c>
      <c r="D65" s="21" t="n">
        <f aca="false">D$5*4_Normalizacion!D63</f>
        <v>0.00016434498190068</v>
      </c>
      <c r="E65" s="21" t="n">
        <f aca="false">E$5*4_Normalizacion!E63</f>
        <v>0.000928469526824133</v>
      </c>
      <c r="F65" s="21" t="n">
        <f aca="false">F$5*4_Normalizacion!F63</f>
        <v>0.00161403739408304</v>
      </c>
      <c r="G65" s="21" t="n">
        <f aca="false">G$5*4_Normalizacion!G63</f>
        <v>0.000210254463455421</v>
      </c>
      <c r="H65" s="21" t="n">
        <f aca="false">H$5*4_Normalizacion!H63</f>
        <v>0.00848772946915379</v>
      </c>
      <c r="I65" s="21" t="n">
        <f aca="false">I$5*4_Normalizacion!I63</f>
        <v>0.00281086825420146</v>
      </c>
      <c r="J65" s="21" t="n">
        <f aca="false">J$5*4_Normalizacion!J63</f>
        <v>0.000340756055204318</v>
      </c>
      <c r="K65" s="21" t="n">
        <f aca="false">K$5*4_Normalizacion!K63</f>
        <v>3.90133374367575E-005</v>
      </c>
      <c r="L65" s="21" t="n">
        <f aca="false">L$5*4_Normalizacion!L63</f>
        <v>0.00105090243834175</v>
      </c>
      <c r="M65" s="21" t="n">
        <f aca="false">M$5*4_Normalizacion!M63</f>
        <v>0.000760755762013022</v>
      </c>
      <c r="N65" s="21" t="n">
        <f aca="false">N$5*4_Normalizacion!N63</f>
        <v>0.00151979606525836</v>
      </c>
      <c r="O65" s="21" t="n">
        <f aca="false">O$5*4_Normalizacion!O63</f>
        <v>0.00200587264654955</v>
      </c>
      <c r="P65" s="21" t="n">
        <f aca="false">P$5*4_Normalizacion!P63</f>
        <v>0.00135841219936972</v>
      </c>
      <c r="Q65" s="21" t="n">
        <f aca="false">Q$5*4_Normalizacion!Q63</f>
        <v>0.00285926571798898</v>
      </c>
    </row>
    <row r="66" customFormat="false" ht="15" hidden="false" customHeight="false" outlineLevel="0" collapsed="false">
      <c r="A66" s="15" t="n">
        <f aca="false">4_Normalizacion!A64</f>
        <v>59</v>
      </c>
      <c r="B66" s="16" t="n">
        <f aca="false">4_Normalizacion!B64</f>
        <v>6.066</v>
      </c>
      <c r="C66" s="21" t="n">
        <f aca="false">C$5*4_Normalizacion!C64</f>
        <v>0.00169192805394512</v>
      </c>
      <c r="D66" s="21" t="n">
        <f aca="false">D$5*4_Normalizacion!D64</f>
        <v>0.00016434498190068</v>
      </c>
      <c r="E66" s="21" t="n">
        <f aca="false">E$5*4_Normalizacion!E64</f>
        <v>0.000928469526824133</v>
      </c>
      <c r="F66" s="21" t="n">
        <f aca="false">F$5*4_Normalizacion!F64</f>
        <v>0.00161403739408304</v>
      </c>
      <c r="G66" s="21" t="n">
        <f aca="false">G$5*4_Normalizacion!G64</f>
        <v>0.000210254463455421</v>
      </c>
      <c r="H66" s="21" t="n">
        <f aca="false">H$5*4_Normalizacion!H64</f>
        <v>0.00848772946915379</v>
      </c>
      <c r="I66" s="21" t="n">
        <f aca="false">I$5*4_Normalizacion!I64</f>
        <v>0.00281086825420146</v>
      </c>
      <c r="J66" s="21" t="n">
        <f aca="false">J$5*4_Normalizacion!J64</f>
        <v>0.000340756055204318</v>
      </c>
      <c r="K66" s="21" t="n">
        <f aca="false">K$5*4_Normalizacion!K64</f>
        <v>3.90133374367575E-005</v>
      </c>
      <c r="L66" s="21" t="n">
        <f aca="false">L$5*4_Normalizacion!L64</f>
        <v>0.00115468908182302</v>
      </c>
      <c r="M66" s="21" t="n">
        <f aca="false">M$5*4_Normalizacion!M64</f>
        <v>0.000732663776231385</v>
      </c>
      <c r="N66" s="21" t="n">
        <f aca="false">N$5*4_Normalizacion!N64</f>
        <v>0.00151979606525836</v>
      </c>
      <c r="O66" s="21" t="n">
        <f aca="false">O$5*4_Normalizacion!O64</f>
        <v>0.00200587264654955</v>
      </c>
      <c r="P66" s="21" t="n">
        <f aca="false">P$5*4_Normalizacion!P64</f>
        <v>0.00135841219936972</v>
      </c>
      <c r="Q66" s="21" t="n">
        <f aca="false">Q$5*4_Normalizacion!Q64</f>
        <v>0.00285926571798898</v>
      </c>
    </row>
    <row r="67" customFormat="false" ht="15" hidden="false" customHeight="false" outlineLevel="0" collapsed="false">
      <c r="A67" s="15" t="n">
        <f aca="false">4_Normalizacion!A65</f>
        <v>60</v>
      </c>
      <c r="B67" s="16" t="n">
        <f aca="false">4_Normalizacion!B65</f>
        <v>6.164</v>
      </c>
      <c r="C67" s="21" t="n">
        <f aca="false">C$5*4_Normalizacion!C65</f>
        <v>0.00169192805394512</v>
      </c>
      <c r="D67" s="21" t="n">
        <f aca="false">D$5*4_Normalizacion!D65</f>
        <v>0.00016434498190068</v>
      </c>
      <c r="E67" s="21" t="n">
        <f aca="false">E$5*4_Normalizacion!E65</f>
        <v>0.000928469526824133</v>
      </c>
      <c r="F67" s="21" t="n">
        <f aca="false">F$5*4_Normalizacion!F65</f>
        <v>0.00161403739408304</v>
      </c>
      <c r="G67" s="21" t="n">
        <f aca="false">G$5*4_Normalizacion!G65</f>
        <v>0.000210254463455421</v>
      </c>
      <c r="H67" s="21" t="n">
        <f aca="false">H$5*4_Normalizacion!H65</f>
        <v>0.00848772946915379</v>
      </c>
      <c r="I67" s="21" t="n">
        <f aca="false">I$5*4_Normalizacion!I65</f>
        <v>0.00281086825420146</v>
      </c>
      <c r="J67" s="21" t="n">
        <f aca="false">J$5*4_Normalizacion!J65</f>
        <v>0.000340756055204318</v>
      </c>
      <c r="K67" s="21" t="n">
        <f aca="false">K$5*4_Normalizacion!K65</f>
        <v>3.90133374367575E-005</v>
      </c>
      <c r="L67" s="21" t="n">
        <f aca="false">L$5*4_Normalizacion!L65</f>
        <v>0.0010669467503775</v>
      </c>
      <c r="M67" s="21" t="n">
        <f aca="false">M$5*4_Normalizacion!M65</f>
        <v>0.000742372036023568</v>
      </c>
      <c r="N67" s="21" t="n">
        <f aca="false">N$5*4_Normalizacion!N65</f>
        <v>0.00151979606525836</v>
      </c>
      <c r="O67" s="21" t="n">
        <f aca="false">O$5*4_Normalizacion!O65</f>
        <v>0.00200587264654955</v>
      </c>
      <c r="P67" s="21" t="n">
        <f aca="false">P$5*4_Normalizacion!P65</f>
        <v>0.00135841219936972</v>
      </c>
      <c r="Q67" s="21" t="n">
        <f aca="false">Q$5*4_Normalizacion!Q65</f>
        <v>0.00285926571798898</v>
      </c>
    </row>
    <row r="68" customFormat="false" ht="15" hidden="false" customHeight="false" outlineLevel="0" collapsed="false">
      <c r="A68" s="15" t="n">
        <f aca="false">4_Normalizacion!A66</f>
        <v>61</v>
      </c>
      <c r="B68" s="16" t="n">
        <f aca="false">4_Normalizacion!B66</f>
        <v>6.262</v>
      </c>
      <c r="C68" s="21" t="n">
        <f aca="false">C$5*4_Normalizacion!C66</f>
        <v>0.00169192805394512</v>
      </c>
      <c r="D68" s="21" t="n">
        <f aca="false">D$5*4_Normalizacion!D66</f>
        <v>0.00016434498190068</v>
      </c>
      <c r="E68" s="21" t="n">
        <f aca="false">E$5*4_Normalizacion!E66</f>
        <v>0.0013927042902362</v>
      </c>
      <c r="F68" s="21" t="n">
        <f aca="false">F$5*4_Normalizacion!F66</f>
        <v>0.00161403739408304</v>
      </c>
      <c r="G68" s="21" t="n">
        <f aca="false">G$5*4_Normalizacion!G66</f>
        <v>0.000210254463455421</v>
      </c>
      <c r="H68" s="21" t="n">
        <f aca="false">H$5*4_Normalizacion!H66</f>
        <v>0.00848772946915379</v>
      </c>
      <c r="I68" s="21" t="n">
        <f aca="false">I$5*4_Normalizacion!I66</f>
        <v>0.00281086825420146</v>
      </c>
      <c r="J68" s="21" t="n">
        <f aca="false">J$5*4_Normalizacion!J66</f>
        <v>0.000340756055204318</v>
      </c>
      <c r="K68" s="21" t="n">
        <f aca="false">K$5*4_Normalizacion!K66</f>
        <v>3.90133374367575E-005</v>
      </c>
      <c r="L68" s="21" t="n">
        <f aca="false">L$5*4_Normalizacion!L66</f>
        <v>0.00103937058906605</v>
      </c>
      <c r="M68" s="21" t="n">
        <f aca="false">M$5*4_Normalizacion!M66</f>
        <v>0.000723368633877166</v>
      </c>
      <c r="N68" s="21" t="n">
        <f aca="false">N$5*4_Normalizacion!N66</f>
        <v>0.00151979606525836</v>
      </c>
      <c r="O68" s="21" t="n">
        <f aca="false">O$5*4_Normalizacion!O66</f>
        <v>0.00200587264654955</v>
      </c>
      <c r="P68" s="21" t="n">
        <f aca="false">P$5*4_Normalizacion!P66</f>
        <v>0.00135841219936972</v>
      </c>
      <c r="Q68" s="21" t="n">
        <f aca="false">Q$5*4_Normalizacion!Q66</f>
        <v>0.00857779715396695</v>
      </c>
    </row>
    <row r="69" customFormat="false" ht="15" hidden="false" customHeight="false" outlineLevel="0" collapsed="false">
      <c r="A69" s="15" t="n">
        <f aca="false">4_Normalizacion!A67</f>
        <v>62</v>
      </c>
      <c r="B69" s="16" t="n">
        <f aca="false">4_Normalizacion!B67</f>
        <v>6.36</v>
      </c>
      <c r="C69" s="21" t="n">
        <f aca="false">C$5*4_Normalizacion!C67</f>
        <v>0.00169192805394512</v>
      </c>
      <c r="D69" s="21" t="n">
        <f aca="false">D$5*4_Normalizacion!D67</f>
        <v>0.00020543122737585</v>
      </c>
      <c r="E69" s="21" t="n">
        <f aca="false">E$5*4_Normalizacion!E67</f>
        <v>0.0013927042902362</v>
      </c>
      <c r="F69" s="21" t="n">
        <f aca="false">F$5*4_Normalizacion!F67</f>
        <v>0.00161403739408304</v>
      </c>
      <c r="G69" s="21" t="n">
        <f aca="false">G$5*4_Normalizacion!G67</f>
        <v>0.000210254463455421</v>
      </c>
      <c r="H69" s="21" t="n">
        <f aca="false">H$5*4_Normalizacion!H67</f>
        <v>0.00848772946915379</v>
      </c>
      <c r="I69" s="21" t="n">
        <f aca="false">I$5*4_Normalizacion!I67</f>
        <v>0.00281086825420146</v>
      </c>
      <c r="J69" s="21" t="n">
        <f aca="false">J$5*4_Normalizacion!J67</f>
        <v>0.000340756055204318</v>
      </c>
      <c r="K69" s="21" t="n">
        <f aca="false">K$5*4_Normalizacion!K67</f>
        <v>3.90133374367575E-005</v>
      </c>
      <c r="L69" s="21" t="n">
        <f aca="false">L$5*4_Normalizacion!L67</f>
        <v>0.00116371400734313</v>
      </c>
      <c r="M69" s="21" t="n">
        <f aca="false">M$5*4_Normalizacion!M67</f>
        <v>0.000691971708591807</v>
      </c>
      <c r="N69" s="21" t="n">
        <f aca="false">N$5*4_Normalizacion!N67</f>
        <v>0.00151979606525836</v>
      </c>
      <c r="O69" s="21" t="n">
        <f aca="false">O$5*4_Normalizacion!O67</f>
        <v>0.00200587264654955</v>
      </c>
      <c r="P69" s="21" t="n">
        <f aca="false">P$5*4_Normalizacion!P67</f>
        <v>0.00135841219936972</v>
      </c>
      <c r="Q69" s="21" t="n">
        <f aca="false">Q$5*4_Normalizacion!Q67</f>
        <v>0.00857779715396695</v>
      </c>
    </row>
    <row r="70" customFormat="false" ht="15" hidden="false" customHeight="false" outlineLevel="0" collapsed="false">
      <c r="A70" s="15" t="n">
        <f aca="false">4_Normalizacion!A68</f>
        <v>63</v>
      </c>
      <c r="B70" s="16" t="n">
        <f aca="false">4_Normalizacion!B68</f>
        <v>6.46</v>
      </c>
      <c r="C70" s="21" t="n">
        <f aca="false">C$5*4_Normalizacion!C68</f>
        <v>0.00169192805394512</v>
      </c>
      <c r="D70" s="21" t="n">
        <f aca="false">D$5*4_Normalizacion!D68</f>
        <v>0.00020543122737585</v>
      </c>
      <c r="E70" s="21" t="n">
        <f aca="false">E$5*4_Normalizacion!E68</f>
        <v>0.0013927042902362</v>
      </c>
      <c r="F70" s="21" t="n">
        <f aca="false">F$5*4_Normalizacion!F68</f>
        <v>0.00161403739408304</v>
      </c>
      <c r="G70" s="21" t="n">
        <f aca="false">G$5*4_Normalizacion!G68</f>
        <v>0.000210254463455421</v>
      </c>
      <c r="H70" s="21" t="n">
        <f aca="false">H$5*4_Normalizacion!H68</f>
        <v>0.00848772946915379</v>
      </c>
      <c r="I70" s="21" t="n">
        <f aca="false">I$5*4_Normalizacion!I68</f>
        <v>0.00281086825420146</v>
      </c>
      <c r="J70" s="21" t="n">
        <f aca="false">J$5*4_Normalizacion!J68</f>
        <v>0.000340756055204318</v>
      </c>
      <c r="K70" s="21" t="n">
        <f aca="false">K$5*4_Normalizacion!K68</f>
        <v>3.90133374367575E-005</v>
      </c>
      <c r="L70" s="21" t="n">
        <f aca="false">L$5*4_Normalizacion!L68</f>
        <v>0.00132917097521182</v>
      </c>
      <c r="M70" s="21" t="n">
        <f aca="false">M$5*4_Normalizacion!M68</f>
        <v>0.000687840534212154</v>
      </c>
      <c r="N70" s="21" t="n">
        <f aca="false">N$5*4_Normalizacion!N68</f>
        <v>0.00151979606525836</v>
      </c>
      <c r="O70" s="21" t="n">
        <f aca="false">O$5*4_Normalizacion!O68</f>
        <v>0.00200587264654955</v>
      </c>
      <c r="P70" s="21" t="n">
        <f aca="false">P$5*4_Normalizacion!P68</f>
        <v>0.00135841219936972</v>
      </c>
      <c r="Q70" s="21" t="n">
        <f aca="false">Q$5*4_Normalizacion!Q68</f>
        <v>0.00857779715396695</v>
      </c>
    </row>
    <row r="71" customFormat="false" ht="15" hidden="false" customHeight="false" outlineLevel="0" collapsed="false">
      <c r="A71" s="15" t="n">
        <f aca="false">4_Normalizacion!A69</f>
        <v>64</v>
      </c>
      <c r="B71" s="16" t="n">
        <f aca="false">4_Normalizacion!B69</f>
        <v>6.564</v>
      </c>
      <c r="C71" s="21" t="n">
        <f aca="false">C$5*4_Normalizacion!C69</f>
        <v>0.00169192805394512</v>
      </c>
      <c r="D71" s="21" t="n">
        <f aca="false">D$5*4_Normalizacion!D69</f>
        <v>0.00020543122737585</v>
      </c>
      <c r="E71" s="21" t="n">
        <f aca="false">E$5*4_Normalizacion!E69</f>
        <v>0.0013927042902362</v>
      </c>
      <c r="F71" s="21" t="n">
        <f aca="false">F$5*4_Normalizacion!F69</f>
        <v>0.00161403739408304</v>
      </c>
      <c r="G71" s="21" t="n">
        <f aca="false">G$5*4_Normalizacion!G69</f>
        <v>0.000210254463455421</v>
      </c>
      <c r="H71" s="21" t="n">
        <f aca="false">H$5*4_Normalizacion!H69</f>
        <v>0.00848772946915379</v>
      </c>
      <c r="I71" s="21" t="n">
        <f aca="false">I$5*4_Normalizacion!I69</f>
        <v>0.00281086825420146</v>
      </c>
      <c r="J71" s="21" t="n">
        <f aca="false">J$5*4_Normalizacion!J69</f>
        <v>0.000340756055204318</v>
      </c>
      <c r="K71" s="21" t="n">
        <f aca="false">K$5*4_Normalizacion!K69</f>
        <v>3.90133374367575E-005</v>
      </c>
      <c r="L71" s="21" t="n">
        <f aca="false">L$5*4_Normalizacion!L69</f>
        <v>0.00126599649657105</v>
      </c>
      <c r="M71" s="21" t="n">
        <f aca="false">M$5*4_Normalizacion!M69</f>
        <v>0.000708083288672452</v>
      </c>
      <c r="N71" s="21" t="n">
        <f aca="false">N$5*4_Normalizacion!N69</f>
        <v>0.00151979606525836</v>
      </c>
      <c r="O71" s="21" t="n">
        <f aca="false">O$5*4_Normalizacion!O69</f>
        <v>0.00200587264654955</v>
      </c>
      <c r="P71" s="21" t="n">
        <f aca="false">P$5*4_Normalizacion!P69</f>
        <v>0.00135841219936972</v>
      </c>
      <c r="Q71" s="21" t="n">
        <f aca="false">Q$5*4_Normalizacion!Q69</f>
        <v>0.00857779715396695</v>
      </c>
    </row>
    <row r="72" customFormat="false" ht="15" hidden="false" customHeight="false" outlineLevel="0" collapsed="false">
      <c r="A72" s="15" t="n">
        <f aca="false">4_Normalizacion!A70</f>
        <v>65</v>
      </c>
      <c r="B72" s="16" t="n">
        <f aca="false">4_Normalizacion!B70</f>
        <v>6.671</v>
      </c>
      <c r="C72" s="21" t="n">
        <f aca="false">C$5*4_Normalizacion!C70</f>
        <v>0.00169192805394512</v>
      </c>
      <c r="D72" s="21" t="n">
        <f aca="false">D$5*4_Normalizacion!D70</f>
        <v>0.00020543122737585</v>
      </c>
      <c r="E72" s="21" t="n">
        <f aca="false">E$5*4_Normalizacion!E70</f>
        <v>0.0013927042902362</v>
      </c>
      <c r="F72" s="21" t="n">
        <f aca="false">F$5*4_Normalizacion!F70</f>
        <v>0.00161403739408304</v>
      </c>
      <c r="G72" s="21" t="n">
        <f aca="false">G$5*4_Normalizacion!G70</f>
        <v>0.000210254463455421</v>
      </c>
      <c r="H72" s="21" t="n">
        <f aca="false">H$5*4_Normalizacion!H70</f>
        <v>0.00848772946915379</v>
      </c>
      <c r="I72" s="21" t="n">
        <f aca="false">I$5*4_Normalizacion!I70</f>
        <v>0.00281086825420146</v>
      </c>
      <c r="J72" s="21" t="n">
        <f aca="false">J$5*4_Normalizacion!J70</f>
        <v>0.000340756055204318</v>
      </c>
      <c r="K72" s="21" t="n">
        <f aca="false">K$5*4_Normalizacion!K70</f>
        <v>3.90133374367575E-005</v>
      </c>
      <c r="L72" s="21" t="n">
        <f aca="false">L$5*4_Normalizacion!L70</f>
        <v>0.00112410461200487</v>
      </c>
      <c r="M72" s="21" t="n">
        <f aca="false">M$5*4_Normalizacion!M70</f>
        <v>0.000694656971938581</v>
      </c>
      <c r="N72" s="21" t="n">
        <f aca="false">N$5*4_Normalizacion!N70</f>
        <v>0.00151979606525836</v>
      </c>
      <c r="O72" s="21" t="n">
        <f aca="false">O$5*4_Normalizacion!O70</f>
        <v>0.00200587264654955</v>
      </c>
      <c r="P72" s="21" t="n">
        <f aca="false">P$5*4_Normalizacion!P70</f>
        <v>0.00135841219936972</v>
      </c>
      <c r="Q72" s="21" t="n">
        <f aca="false">Q$5*4_Normalizacion!Q70</f>
        <v>0.00857779715396695</v>
      </c>
    </row>
    <row r="73" customFormat="false" ht="15" hidden="false" customHeight="false" outlineLevel="0" collapsed="false">
      <c r="A73" s="15" t="n">
        <f aca="false">4_Normalizacion!A71</f>
        <v>66</v>
      </c>
      <c r="B73" s="16" t="n">
        <f aca="false">4_Normalizacion!B71</f>
        <v>6.782</v>
      </c>
      <c r="C73" s="21" t="n">
        <f aca="false">C$5*4_Normalizacion!C71</f>
        <v>0.00126894604045884</v>
      </c>
      <c r="D73" s="21" t="n">
        <f aca="false">D$5*4_Normalizacion!D71</f>
        <v>0.00020543122737585</v>
      </c>
      <c r="E73" s="21" t="n">
        <f aca="false">E$5*4_Normalizacion!E71</f>
        <v>0.0013927042902362</v>
      </c>
      <c r="F73" s="21" t="n">
        <f aca="false">F$5*4_Normalizacion!F71</f>
        <v>0.00161403739408304</v>
      </c>
      <c r="G73" s="21" t="n">
        <f aca="false">G$5*4_Normalizacion!G71</f>
        <v>0.000210254463455421</v>
      </c>
      <c r="H73" s="21" t="n">
        <f aca="false">H$5*4_Normalizacion!H71</f>
        <v>0.00848772946915379</v>
      </c>
      <c r="I73" s="21" t="n">
        <f aca="false">I$5*4_Normalizacion!I71</f>
        <v>0.00281086825420146</v>
      </c>
      <c r="J73" s="21" t="n">
        <f aca="false">J$5*4_Normalizacion!J71</f>
        <v>0.000340756055204318</v>
      </c>
      <c r="K73" s="21" t="n">
        <f aca="false">K$5*4_Normalizacion!K71</f>
        <v>3.90133374367575E-005</v>
      </c>
      <c r="L73" s="21" t="n">
        <f aca="false">L$5*4_Normalizacion!L71</f>
        <v>0.000899484243504341</v>
      </c>
      <c r="M73" s="21" t="n">
        <f aca="false">M$5*4_Normalizacion!M71</f>
        <v>0.000791326452422451</v>
      </c>
      <c r="N73" s="21" t="n">
        <f aca="false">N$5*4_Normalizacion!N71</f>
        <v>0.00151979606525836</v>
      </c>
      <c r="O73" s="21" t="n">
        <f aca="false">O$5*4_Normalizacion!O71</f>
        <v>0.00200587264654955</v>
      </c>
      <c r="P73" s="21" t="n">
        <f aca="false">P$5*4_Normalizacion!P71</f>
        <v>0.00135841219936972</v>
      </c>
      <c r="Q73" s="21" t="n">
        <f aca="false">Q$5*4_Normalizacion!Q71</f>
        <v>0.00285926571798898</v>
      </c>
    </row>
    <row r="74" customFormat="false" ht="15" hidden="false" customHeight="false" outlineLevel="0" collapsed="false">
      <c r="A74" s="15" t="n">
        <f aca="false">4_Normalizacion!A72</f>
        <v>67</v>
      </c>
      <c r="B74" s="16" t="n">
        <f aca="false">4_Normalizacion!B72</f>
        <v>6.894</v>
      </c>
      <c r="C74" s="21" t="n">
        <f aca="false">C$5*4_Normalizacion!C72</f>
        <v>0.00169192805394512</v>
      </c>
      <c r="D74" s="21" t="n">
        <f aca="false">D$5*4_Normalizacion!D72</f>
        <v>0.00020543122737585</v>
      </c>
      <c r="E74" s="21" t="n">
        <f aca="false">E$5*4_Normalizacion!E72</f>
        <v>0.0013927042902362</v>
      </c>
      <c r="F74" s="21" t="n">
        <f aca="false">F$5*4_Normalizacion!F72</f>
        <v>0.00161403739408304</v>
      </c>
      <c r="G74" s="21" t="n">
        <f aca="false">G$5*4_Normalizacion!G72</f>
        <v>0.000210254463455421</v>
      </c>
      <c r="H74" s="21" t="n">
        <f aca="false">H$5*4_Normalizacion!H72</f>
        <v>0.00848772946915379</v>
      </c>
      <c r="I74" s="21" t="n">
        <f aca="false">I$5*4_Normalizacion!I72</f>
        <v>0.00281086825420146</v>
      </c>
      <c r="J74" s="21" t="n">
        <f aca="false">J$5*4_Normalizacion!J72</f>
        <v>0.000340756055204318</v>
      </c>
      <c r="K74" s="21" t="n">
        <f aca="false">K$5*4_Normalizacion!K72</f>
        <v>3.90133374367575E-005</v>
      </c>
      <c r="L74" s="21" t="n">
        <f aca="false">L$5*4_Normalizacion!L72</f>
        <v>0.000707955268577552</v>
      </c>
      <c r="M74" s="21" t="n">
        <f aca="false">M$5*4_Normalizacion!M72</f>
        <v>0.000826234875930515</v>
      </c>
      <c r="N74" s="21" t="n">
        <f aca="false">N$5*4_Normalizacion!N72</f>
        <v>0.00151979606525836</v>
      </c>
      <c r="O74" s="21" t="n">
        <f aca="false">O$5*4_Normalizacion!O72</f>
        <v>0.00200587264654955</v>
      </c>
      <c r="P74" s="21" t="n">
        <f aca="false">P$5*4_Normalizacion!P72</f>
        <v>0.00135841219936972</v>
      </c>
      <c r="Q74" s="21" t="n">
        <f aca="false">Q$5*4_Normalizacion!Q72</f>
        <v>0.00285926571798898</v>
      </c>
    </row>
    <row r="75" customFormat="false" ht="15" hidden="false" customHeight="false" outlineLevel="0" collapsed="false">
      <c r="A75" s="15" t="n">
        <f aca="false">4_Normalizacion!A73</f>
        <v>68</v>
      </c>
      <c r="B75" s="16" t="n">
        <f aca="false">4_Normalizacion!B73</f>
        <v>7.004</v>
      </c>
      <c r="C75" s="21" t="n">
        <f aca="false">C$5*4_Normalizacion!C73</f>
        <v>0.00169192805394512</v>
      </c>
      <c r="D75" s="21" t="n">
        <f aca="false">D$5*4_Normalizacion!D73</f>
        <v>0.00020543122737585</v>
      </c>
      <c r="E75" s="21" t="n">
        <f aca="false">E$5*4_Normalizacion!E73</f>
        <v>0.0013927042902362</v>
      </c>
      <c r="F75" s="21" t="n">
        <f aca="false">F$5*4_Normalizacion!F73</f>
        <v>0.00161403739408304</v>
      </c>
      <c r="G75" s="21" t="n">
        <f aca="false">G$5*4_Normalizacion!G73</f>
        <v>0.000210254463455421</v>
      </c>
      <c r="H75" s="21" t="n">
        <f aca="false">H$5*4_Normalizacion!H73</f>
        <v>0.00848772946915379</v>
      </c>
      <c r="I75" s="21" t="n">
        <f aca="false">I$5*4_Normalizacion!I73</f>
        <v>0.00281086825420146</v>
      </c>
      <c r="J75" s="21" t="n">
        <f aca="false">J$5*4_Normalizacion!J73</f>
        <v>0.000340756055204318</v>
      </c>
      <c r="K75" s="21" t="n">
        <f aca="false">K$5*4_Normalizacion!K73</f>
        <v>3.90133374367575E-005</v>
      </c>
      <c r="L75" s="21" t="n">
        <f aca="false">L$5*4_Normalizacion!L73</f>
        <v>0.0006773707987594</v>
      </c>
      <c r="M75" s="21" t="n">
        <f aca="false">M$5*4_Normalizacion!M73</f>
        <v>0.000826234875930515</v>
      </c>
      <c r="N75" s="21" t="n">
        <f aca="false">N$5*4_Normalizacion!N73</f>
        <v>0.00151979606525836</v>
      </c>
      <c r="O75" s="21" t="n">
        <f aca="false">O$5*4_Normalizacion!O73</f>
        <v>0.00200587264654955</v>
      </c>
      <c r="P75" s="21" t="n">
        <f aca="false">P$5*4_Normalizacion!P73</f>
        <v>0.00135841219936972</v>
      </c>
      <c r="Q75" s="21" t="n">
        <f aca="false">Q$5*4_Normalizacion!Q73</f>
        <v>0.00285926571798898</v>
      </c>
    </row>
    <row r="76" customFormat="false" ht="15" hidden="false" customHeight="false" outlineLevel="0" collapsed="false">
      <c r="A76" s="15" t="n">
        <f aca="false">4_Normalizacion!A74</f>
        <v>69</v>
      </c>
      <c r="B76" s="16" t="n">
        <f aca="false">4_Normalizacion!B74</f>
        <v>7.111</v>
      </c>
      <c r="C76" s="21" t="n">
        <f aca="false">C$5*4_Normalizacion!C74</f>
        <v>0.00211491006743141</v>
      </c>
      <c r="D76" s="21" t="n">
        <f aca="false">D$5*4_Normalizacion!D74</f>
        <v>0.00020543122737585</v>
      </c>
      <c r="E76" s="21" t="n">
        <f aca="false">E$5*4_Normalizacion!E74</f>
        <v>0.0013927042902362</v>
      </c>
      <c r="F76" s="21" t="n">
        <f aca="false">F$5*4_Normalizacion!F74</f>
        <v>0.00161403739408304</v>
      </c>
      <c r="G76" s="21" t="n">
        <f aca="false">G$5*4_Normalizacion!G74</f>
        <v>0.000210254463455421</v>
      </c>
      <c r="H76" s="21" t="n">
        <f aca="false">H$5*4_Normalizacion!H74</f>
        <v>0.00848772946915379</v>
      </c>
      <c r="I76" s="21" t="n">
        <f aca="false">I$5*4_Normalizacion!I74</f>
        <v>0.00281086825420146</v>
      </c>
      <c r="J76" s="21" t="n">
        <f aca="false">J$5*4_Normalizacion!J74</f>
        <v>0.000340756055204318</v>
      </c>
      <c r="K76" s="21" t="n">
        <f aca="false">K$5*4_Normalizacion!K74</f>
        <v>3.90133374367575E-005</v>
      </c>
      <c r="L76" s="21" t="n">
        <f aca="false">L$5*4_Normalizacion!L74</f>
        <v>0.000735030045137884</v>
      </c>
      <c r="M76" s="21" t="n">
        <f aca="false">M$5*4_Normalizacion!M74</f>
        <v>0.000826234875930515</v>
      </c>
      <c r="N76" s="21" t="n">
        <f aca="false">N$5*4_Normalizacion!N74</f>
        <v>0.00151979606525836</v>
      </c>
      <c r="O76" s="21" t="n">
        <f aca="false">O$5*4_Normalizacion!O74</f>
        <v>0.00200587264654955</v>
      </c>
      <c r="P76" s="21" t="n">
        <f aca="false">P$5*4_Normalizacion!P74</f>
        <v>0.00135841219936972</v>
      </c>
      <c r="Q76" s="21" t="n">
        <f aca="false">Q$5*4_Normalizacion!Q74</f>
        <v>0.00285926571798898</v>
      </c>
    </row>
    <row r="77" customFormat="false" ht="15" hidden="false" customHeight="false" outlineLevel="0" collapsed="false">
      <c r="A77" s="15" t="n">
        <f aca="false">4_Normalizacion!A75</f>
        <v>70</v>
      </c>
      <c r="B77" s="16" t="n">
        <f aca="false">4_Normalizacion!B75</f>
        <v>7.215</v>
      </c>
      <c r="C77" s="21" t="n">
        <f aca="false">C$5*4_Normalizacion!C75</f>
        <v>0.00211491006743141</v>
      </c>
      <c r="D77" s="21" t="n">
        <f aca="false">D$5*4_Normalizacion!D75</f>
        <v>0.00020543122737585</v>
      </c>
      <c r="E77" s="21" t="n">
        <f aca="false">E$5*4_Normalizacion!E75</f>
        <v>0.0013927042902362</v>
      </c>
      <c r="F77" s="21" t="n">
        <f aca="false">F$5*4_Normalizacion!F75</f>
        <v>0.00161403739408304</v>
      </c>
      <c r="G77" s="21" t="n">
        <f aca="false">G$5*4_Normalizacion!G75</f>
        <v>0.000210254463455421</v>
      </c>
      <c r="H77" s="21" t="n">
        <f aca="false">H$5*4_Normalizacion!H75</f>
        <v>0.00848772946915379</v>
      </c>
      <c r="I77" s="21" t="n">
        <f aca="false">I$5*4_Normalizacion!I75</f>
        <v>0.00281086825420146</v>
      </c>
      <c r="J77" s="21" t="n">
        <f aca="false">J$5*4_Normalizacion!J75</f>
        <v>0.000340756055204318</v>
      </c>
      <c r="K77" s="21" t="n">
        <f aca="false">K$5*4_Normalizacion!K75</f>
        <v>3.90133374367575E-005</v>
      </c>
      <c r="L77" s="21" t="n">
        <f aca="false">L$5*4_Normalizacion!L75</f>
        <v>0.000866894234681719</v>
      </c>
      <c r="M77" s="21" t="n">
        <f aca="false">M$5*4_Normalizacion!M75</f>
        <v>0.000826234875930515</v>
      </c>
      <c r="N77" s="21" t="n">
        <f aca="false">N$5*4_Normalizacion!N75</f>
        <v>0.00151979606525836</v>
      </c>
      <c r="O77" s="21" t="n">
        <f aca="false">O$5*4_Normalizacion!O75</f>
        <v>0.00200587264654955</v>
      </c>
      <c r="P77" s="21" t="n">
        <f aca="false">P$5*4_Normalizacion!P75</f>
        <v>0.00135841219936972</v>
      </c>
      <c r="Q77" s="21" t="n">
        <f aca="false">Q$5*4_Normalizacion!Q75</f>
        <v>0.00285926571798898</v>
      </c>
    </row>
    <row r="78" customFormat="false" ht="15" hidden="false" customHeight="false" outlineLevel="0" collapsed="false">
      <c r="A78" s="15" t="n">
        <f aca="false">4_Normalizacion!A76</f>
        <v>71</v>
      </c>
      <c r="B78" s="16" t="n">
        <f aca="false">4_Normalizacion!B76</f>
        <v>7.316</v>
      </c>
      <c r="C78" s="21" t="n">
        <f aca="false">C$5*4_Normalizacion!C76</f>
        <v>0.00211491006743141</v>
      </c>
      <c r="D78" s="21" t="n">
        <f aca="false">D$5*4_Normalizacion!D76</f>
        <v>0.00020543122737585</v>
      </c>
      <c r="E78" s="21" t="n">
        <f aca="false">E$5*4_Normalizacion!E76</f>
        <v>0.0013927042902362</v>
      </c>
      <c r="F78" s="21" t="n">
        <f aca="false">F$5*4_Normalizacion!F76</f>
        <v>0.0020175467426038</v>
      </c>
      <c r="G78" s="21" t="n">
        <f aca="false">G$5*4_Normalizacion!G76</f>
        <v>0.000210254463455421</v>
      </c>
      <c r="H78" s="21" t="n">
        <f aca="false">H$5*4_Normalizacion!H76</f>
        <v>0.00848772946915379</v>
      </c>
      <c r="I78" s="21" t="n">
        <f aca="false">I$5*4_Normalizacion!I76</f>
        <v>0.00281086825420146</v>
      </c>
      <c r="J78" s="21" t="n">
        <f aca="false">J$5*4_Normalizacion!J76</f>
        <v>0.000340756055204318</v>
      </c>
      <c r="K78" s="21" t="n">
        <f aca="false">K$5*4_Normalizacion!K76</f>
        <v>3.90133374367575E-005</v>
      </c>
      <c r="L78" s="21" t="n">
        <f aca="false">L$5*4_Normalizacion!L76</f>
        <v>0.000899484243504341</v>
      </c>
      <c r="M78" s="21" t="n">
        <f aca="false">M$5*4_Normalizacion!M76</f>
        <v>0.000826234875930515</v>
      </c>
      <c r="N78" s="21" t="n">
        <f aca="false">N$5*4_Normalizacion!N76</f>
        <v>0.00151979606525836</v>
      </c>
      <c r="O78" s="21" t="n">
        <f aca="false">O$5*4_Normalizacion!O76</f>
        <v>0.00200587264654955</v>
      </c>
      <c r="P78" s="21" t="n">
        <f aca="false">P$5*4_Normalizacion!P76</f>
        <v>0.00135841219936972</v>
      </c>
      <c r="Q78" s="21" t="n">
        <f aca="false">Q$5*4_Normalizacion!Q76</f>
        <v>0.00285926571798898</v>
      </c>
    </row>
    <row r="79" customFormat="false" ht="15" hidden="false" customHeight="false" outlineLevel="0" collapsed="false">
      <c r="A79" s="15" t="n">
        <f aca="false">4_Normalizacion!A77</f>
        <v>72</v>
      </c>
      <c r="B79" s="16" t="n">
        <f aca="false">4_Normalizacion!B77</f>
        <v>7.416</v>
      </c>
      <c r="C79" s="21" t="n">
        <f aca="false">C$5*4_Normalizacion!C77</f>
        <v>0.00211491006743141</v>
      </c>
      <c r="D79" s="21" t="n">
        <f aca="false">D$5*4_Normalizacion!D77</f>
        <v>0.00020543122737585</v>
      </c>
      <c r="E79" s="21" t="n">
        <f aca="false">E$5*4_Normalizacion!E77</f>
        <v>0.0013927042902362</v>
      </c>
      <c r="F79" s="21" t="n">
        <f aca="false">F$5*4_Normalizacion!F77</f>
        <v>0.0020175467426038</v>
      </c>
      <c r="G79" s="21" t="n">
        <f aca="false">G$5*4_Normalizacion!G77</f>
        <v>0.000210254463455421</v>
      </c>
      <c r="H79" s="21" t="n">
        <f aca="false">H$5*4_Normalizacion!H77</f>
        <v>0.00848772946915379</v>
      </c>
      <c r="I79" s="21" t="n">
        <f aca="false">I$5*4_Normalizacion!I77</f>
        <v>0.00281086825420146</v>
      </c>
      <c r="J79" s="21" t="n">
        <f aca="false">J$5*4_Normalizacion!J77</f>
        <v>0.000340756055204318</v>
      </c>
      <c r="K79" s="21" t="n">
        <f aca="false">K$5*4_Normalizacion!K77</f>
        <v>3.90133374367575E-005</v>
      </c>
      <c r="L79" s="21" t="n">
        <f aca="false">L$5*4_Normalizacion!L77</f>
        <v>0.00111708522548923</v>
      </c>
      <c r="M79" s="21" t="n">
        <f aca="false">M$5*4_Normalizacion!M77</f>
        <v>0.000826234875930515</v>
      </c>
      <c r="N79" s="21" t="n">
        <f aca="false">N$5*4_Normalizacion!N77</f>
        <v>0.00151979606525836</v>
      </c>
      <c r="O79" s="21" t="n">
        <f aca="false">O$5*4_Normalizacion!O77</f>
        <v>0.00200587264654955</v>
      </c>
      <c r="P79" s="21" t="n">
        <f aca="false">P$5*4_Normalizacion!P77</f>
        <v>0.00135841219936972</v>
      </c>
      <c r="Q79" s="21" t="n">
        <f aca="false">Q$5*4_Normalizacion!Q77</f>
        <v>0.00285926571798898</v>
      </c>
    </row>
    <row r="80" customFormat="false" ht="15" hidden="false" customHeight="false" outlineLevel="0" collapsed="false">
      <c r="A80" s="15" t="n">
        <f aca="false">4_Normalizacion!A78</f>
        <v>73</v>
      </c>
      <c r="B80" s="16" t="n">
        <f aca="false">4_Normalizacion!B78</f>
        <v>7.515</v>
      </c>
      <c r="C80" s="21" t="n">
        <f aca="false">C$5*4_Normalizacion!C78</f>
        <v>0.00211491006743141</v>
      </c>
      <c r="D80" s="21" t="n">
        <f aca="false">D$5*4_Normalizacion!D78</f>
        <v>0.00020543122737585</v>
      </c>
      <c r="E80" s="21" t="n">
        <f aca="false">E$5*4_Normalizacion!E78</f>
        <v>0.0013927042902362</v>
      </c>
      <c r="F80" s="21" t="n">
        <f aca="false">F$5*4_Normalizacion!F78</f>
        <v>0.0020175467426038</v>
      </c>
      <c r="G80" s="21" t="n">
        <f aca="false">G$5*4_Normalizacion!G78</f>
        <v>0.000210254463455421</v>
      </c>
      <c r="H80" s="21" t="n">
        <f aca="false">H$5*4_Normalizacion!H78</f>
        <v>0.00848772946915379</v>
      </c>
      <c r="I80" s="21" t="n">
        <f aca="false">I$5*4_Normalizacion!I78</f>
        <v>0.00281086825420146</v>
      </c>
      <c r="J80" s="21" t="n">
        <f aca="false">J$5*4_Normalizacion!J78</f>
        <v>0.000340756055204318</v>
      </c>
      <c r="K80" s="21" t="n">
        <f aca="false">K$5*4_Normalizacion!K78</f>
        <v>3.90133374367575E-005</v>
      </c>
      <c r="L80" s="21" t="n">
        <f aca="false">L$5*4_Normalizacion!L78</f>
        <v>0.00120332340268139</v>
      </c>
      <c r="M80" s="21" t="n">
        <f aca="false">M$5*4_Normalizacion!M78</f>
        <v>0.000826234875930515</v>
      </c>
      <c r="N80" s="21" t="n">
        <f aca="false">N$5*4_Normalizacion!N78</f>
        <v>0.00151979606525836</v>
      </c>
      <c r="O80" s="21" t="n">
        <f aca="false">O$5*4_Normalizacion!O78</f>
        <v>0.00200587264654955</v>
      </c>
      <c r="P80" s="21" t="n">
        <f aca="false">P$5*4_Normalizacion!P78</f>
        <v>0.00135841219936972</v>
      </c>
      <c r="Q80" s="21" t="n">
        <f aca="false">Q$5*4_Normalizacion!Q78</f>
        <v>0.00285926571798898</v>
      </c>
    </row>
    <row r="81" customFormat="false" ht="15" hidden="false" customHeight="false" outlineLevel="0" collapsed="false">
      <c r="A81" s="15" t="n">
        <f aca="false">4_Normalizacion!A79</f>
        <v>74</v>
      </c>
      <c r="B81" s="16" t="n">
        <f aca="false">4_Normalizacion!B79</f>
        <v>7.616</v>
      </c>
      <c r="C81" s="21" t="n">
        <f aca="false">C$5*4_Normalizacion!C79</f>
        <v>0.00211491006743141</v>
      </c>
      <c r="D81" s="21" t="n">
        <f aca="false">D$5*4_Normalizacion!D79</f>
        <v>0.00020543122737585</v>
      </c>
      <c r="E81" s="21" t="n">
        <f aca="false">E$5*4_Normalizacion!E79</f>
        <v>0.00185693905364827</v>
      </c>
      <c r="F81" s="21" t="n">
        <f aca="false">F$5*4_Normalizacion!F79</f>
        <v>0.00161403739408304</v>
      </c>
      <c r="G81" s="21" t="n">
        <f aca="false">G$5*4_Normalizacion!G79</f>
        <v>0.000210254463455421</v>
      </c>
      <c r="H81" s="21" t="n">
        <f aca="false">H$5*4_Normalizacion!H79</f>
        <v>0.00848772946915379</v>
      </c>
      <c r="I81" s="21" t="n">
        <f aca="false">I$5*4_Normalizacion!I79</f>
        <v>0.00281086825420146</v>
      </c>
      <c r="J81" s="21" t="n">
        <f aca="false">J$5*4_Normalizacion!J79</f>
        <v>0.000340756055204318</v>
      </c>
      <c r="K81" s="21" t="n">
        <f aca="false">K$5*4_Normalizacion!K79</f>
        <v>3.90133374367575E-005</v>
      </c>
      <c r="L81" s="21" t="n">
        <f aca="false">L$5*4_Normalizacion!L79</f>
        <v>0.00136827898579897</v>
      </c>
      <c r="M81" s="21" t="n">
        <f aca="false">M$5*4_Normalizacion!M79</f>
        <v>0.000749395032468978</v>
      </c>
      <c r="N81" s="21" t="n">
        <f aca="false">N$5*4_Normalizacion!N79</f>
        <v>0.00151979606525836</v>
      </c>
      <c r="O81" s="21" t="n">
        <f aca="false">O$5*4_Normalizacion!O79</f>
        <v>0.00200587264654955</v>
      </c>
      <c r="P81" s="21" t="n">
        <f aca="false">P$5*4_Normalizacion!P79</f>
        <v>0.00135841219936972</v>
      </c>
      <c r="Q81" s="21" t="n">
        <f aca="false">Q$5*4_Normalizacion!Q79</f>
        <v>0.00571853143597797</v>
      </c>
    </row>
    <row r="82" customFormat="false" ht="15" hidden="false" customHeight="false" outlineLevel="0" collapsed="false">
      <c r="A82" s="15" t="n">
        <f aca="false">4_Normalizacion!A80</f>
        <v>75</v>
      </c>
      <c r="B82" s="16" t="n">
        <f aca="false">4_Normalizacion!B80</f>
        <v>7.718</v>
      </c>
      <c r="C82" s="21" t="n">
        <f aca="false">C$5*4_Normalizacion!C80</f>
        <v>0.00211491006743141</v>
      </c>
      <c r="D82" s="21" t="n">
        <f aca="false">D$5*4_Normalizacion!D80</f>
        <v>0.00020543122737585</v>
      </c>
      <c r="E82" s="21" t="n">
        <f aca="false">E$5*4_Normalizacion!E80</f>
        <v>0.00185693905364827</v>
      </c>
      <c r="F82" s="21" t="n">
        <f aca="false">F$5*4_Normalizacion!F80</f>
        <v>0.0020175467426038</v>
      </c>
      <c r="G82" s="21" t="n">
        <f aca="false">G$5*4_Normalizacion!G80</f>
        <v>0.000210254463455421</v>
      </c>
      <c r="H82" s="21" t="n">
        <f aca="false">H$5*4_Normalizacion!H80</f>
        <v>0.00848772946915379</v>
      </c>
      <c r="I82" s="21" t="n">
        <f aca="false">I$5*4_Normalizacion!I80</f>
        <v>0.00562173650840292</v>
      </c>
      <c r="J82" s="21" t="n">
        <f aca="false">J$5*4_Normalizacion!J80</f>
        <v>0.000340756055204318</v>
      </c>
      <c r="K82" s="21" t="n">
        <f aca="false">K$5*4_Normalizacion!K80</f>
        <v>3.90133374367575E-005</v>
      </c>
      <c r="L82" s="21" t="n">
        <f aca="false">L$5*4_Normalizacion!L80</f>
        <v>0.00125195772353976</v>
      </c>
      <c r="M82" s="21" t="n">
        <f aca="false">M$5*4_Normalizacion!M80</f>
        <v>0.000706224260201608</v>
      </c>
      <c r="N82" s="21" t="n">
        <f aca="false">N$5*4_Normalizacion!N80</f>
        <v>0.00151979606525836</v>
      </c>
      <c r="O82" s="21" t="n">
        <f aca="false">O$5*4_Normalizacion!O80</f>
        <v>0.00200587264654955</v>
      </c>
      <c r="P82" s="21" t="n">
        <f aca="false">P$5*4_Normalizacion!P80</f>
        <v>0.00135841219936972</v>
      </c>
      <c r="Q82" s="21" t="n">
        <f aca="false">Q$5*4_Normalizacion!Q80</f>
        <v>0.00857779715396695</v>
      </c>
    </row>
    <row r="83" customFormat="false" ht="15" hidden="false" customHeight="false" outlineLevel="0" collapsed="false">
      <c r="A83" s="15" t="n">
        <f aca="false">4_Normalizacion!A81</f>
        <v>76</v>
      </c>
      <c r="B83" s="16" t="n">
        <f aca="false">4_Normalizacion!B81</f>
        <v>7.821</v>
      </c>
      <c r="C83" s="21" t="n">
        <f aca="false">C$5*4_Normalizacion!C81</f>
        <v>0.00211491006743141</v>
      </c>
      <c r="D83" s="21" t="n">
        <f aca="false">D$5*4_Normalizacion!D81</f>
        <v>0.00020543122737585</v>
      </c>
      <c r="E83" s="21" t="n">
        <f aca="false">E$5*4_Normalizacion!E81</f>
        <v>0.00185693905364827</v>
      </c>
      <c r="F83" s="21" t="n">
        <f aca="false">F$5*4_Normalizacion!F81</f>
        <v>0.0020175467426038</v>
      </c>
      <c r="G83" s="21" t="n">
        <f aca="false">G$5*4_Normalizacion!G81</f>
        <v>0.000210254463455421</v>
      </c>
      <c r="H83" s="21" t="n">
        <f aca="false">H$5*4_Normalizacion!H81</f>
        <v>0.00848772946915379</v>
      </c>
      <c r="I83" s="21" t="n">
        <f aca="false">I$5*4_Normalizacion!I81</f>
        <v>0.00843260476260438</v>
      </c>
      <c r="J83" s="21" t="n">
        <f aca="false">J$5*4_Normalizacion!J81</f>
        <v>0.000340756055204318</v>
      </c>
      <c r="K83" s="21" t="n">
        <f aca="false">K$5*4_Normalizacion!K81</f>
        <v>3.90133374367575E-005</v>
      </c>
      <c r="L83" s="21" t="n">
        <f aca="false">L$5*4_Normalizacion!L81</f>
        <v>0.0011220990730004</v>
      </c>
      <c r="M83" s="21" t="n">
        <f aca="false">M$5*4_Normalizacion!M81</f>
        <v>0.00072047681181141</v>
      </c>
      <c r="N83" s="21" t="n">
        <f aca="false">N$5*4_Normalizacion!N81</f>
        <v>0.00151979606525836</v>
      </c>
      <c r="O83" s="21" t="n">
        <f aca="false">O$5*4_Normalizacion!O81</f>
        <v>0.00200587264654955</v>
      </c>
      <c r="P83" s="21" t="n">
        <f aca="false">P$5*4_Normalizacion!P81</f>
        <v>0.00135841219936972</v>
      </c>
      <c r="Q83" s="21" t="n">
        <f aca="false">Q$5*4_Normalizacion!Q81</f>
        <v>0.00857779715396695</v>
      </c>
    </row>
    <row r="84" customFormat="false" ht="15" hidden="false" customHeight="false" outlineLevel="0" collapsed="false">
      <c r="A84" s="15" t="n">
        <f aca="false">4_Normalizacion!A82</f>
        <v>77</v>
      </c>
      <c r="B84" s="16" t="n">
        <f aca="false">4_Normalizacion!B82</f>
        <v>7.924</v>
      </c>
      <c r="C84" s="21" t="n">
        <f aca="false">C$5*4_Normalizacion!C82</f>
        <v>0.00169192805394512</v>
      </c>
      <c r="D84" s="21" t="n">
        <f aca="false">D$5*4_Normalizacion!D82</f>
        <v>0.00020543122737585</v>
      </c>
      <c r="E84" s="21" t="n">
        <f aca="false">E$5*4_Normalizacion!E82</f>
        <v>0.00185693905364827</v>
      </c>
      <c r="F84" s="21" t="n">
        <f aca="false">F$5*4_Normalizacion!F82</f>
        <v>0.0020175467426038</v>
      </c>
      <c r="G84" s="21" t="n">
        <f aca="false">G$5*4_Normalizacion!G82</f>
        <v>0.000210254463455421</v>
      </c>
      <c r="H84" s="21" t="n">
        <f aca="false">H$5*4_Normalizacion!H82</f>
        <v>0.00848772946915379</v>
      </c>
      <c r="I84" s="21" t="n">
        <f aca="false">I$5*4_Normalizacion!I82</f>
        <v>0.00843260476260438</v>
      </c>
      <c r="J84" s="21" t="n">
        <f aca="false">J$5*4_Normalizacion!J82</f>
        <v>0.000340756055204318</v>
      </c>
      <c r="K84" s="21" t="n">
        <f aca="false">K$5*4_Normalizacion!K82</f>
        <v>3.90133374367575E-005</v>
      </c>
      <c r="L84" s="21" t="n">
        <f aca="false">L$5*4_Normalizacion!L82</f>
        <v>0.000941600562598189</v>
      </c>
      <c r="M84" s="21" t="n">
        <f aca="false">M$5*4_Normalizacion!M82</f>
        <v>0.00073782774420595</v>
      </c>
      <c r="N84" s="21" t="n">
        <f aca="false">N$5*4_Normalizacion!N82</f>
        <v>0.00151979606525836</v>
      </c>
      <c r="O84" s="21" t="n">
        <f aca="false">O$5*4_Normalizacion!O82</f>
        <v>0.00200587264654955</v>
      </c>
      <c r="P84" s="21" t="n">
        <f aca="false">P$5*4_Normalizacion!P82</f>
        <v>0.00135841219936972</v>
      </c>
      <c r="Q84" s="21" t="n">
        <f aca="false">Q$5*4_Normalizacion!Q82</f>
        <v>0.0114370628719559</v>
      </c>
    </row>
    <row r="85" customFormat="false" ht="15" hidden="false" customHeight="false" outlineLevel="0" collapsed="false">
      <c r="A85" s="15" t="n">
        <f aca="false">4_Normalizacion!A83</f>
        <v>78</v>
      </c>
      <c r="B85" s="16" t="n">
        <f aca="false">4_Normalizacion!B83</f>
        <v>8.026</v>
      </c>
      <c r="C85" s="21" t="n">
        <f aca="false">C$5*4_Normalizacion!C83</f>
        <v>0.00169192805394512</v>
      </c>
      <c r="D85" s="21" t="n">
        <f aca="false">D$5*4_Normalizacion!D83</f>
        <v>0.00020543122737585</v>
      </c>
      <c r="E85" s="21" t="n">
        <f aca="false">E$5*4_Normalizacion!E83</f>
        <v>0.00185693905364827</v>
      </c>
      <c r="F85" s="21" t="n">
        <f aca="false">F$5*4_Normalizacion!F83</f>
        <v>0.00161403739408304</v>
      </c>
      <c r="G85" s="21" t="n">
        <f aca="false">G$5*4_Normalizacion!G83</f>
        <v>0.000210254463455421</v>
      </c>
      <c r="H85" s="21" t="n">
        <f aca="false">H$5*4_Normalizacion!H83</f>
        <v>0.00848772946915379</v>
      </c>
      <c r="I85" s="21" t="n">
        <f aca="false">I$5*4_Normalizacion!I83</f>
        <v>0.00843260476260438</v>
      </c>
      <c r="J85" s="21" t="n">
        <f aca="false">J$5*4_Normalizacion!J83</f>
        <v>0.000340756055204318</v>
      </c>
      <c r="K85" s="21" t="n">
        <f aca="false">K$5*4_Normalizacion!K83</f>
        <v>3.90133374367575E-005</v>
      </c>
      <c r="L85" s="21" t="n">
        <f aca="false">L$5*4_Normalizacion!L83</f>
        <v>0.000776143594729498</v>
      </c>
      <c r="M85" s="21" t="n">
        <f aca="false">M$5*4_Normalizacion!M83</f>
        <v>0.000786369043166868</v>
      </c>
      <c r="N85" s="21" t="n">
        <f aca="false">N$5*4_Normalizacion!N83</f>
        <v>0.00151979606525836</v>
      </c>
      <c r="O85" s="21" t="n">
        <f aca="false">O$5*4_Normalizacion!O83</f>
        <v>0.00200587264654955</v>
      </c>
      <c r="P85" s="21" t="n">
        <f aca="false">P$5*4_Normalizacion!P83</f>
        <v>0.00135841219936972</v>
      </c>
      <c r="Q85" s="21" t="n">
        <f aca="false">Q$5*4_Normalizacion!Q83</f>
        <v>0.00285926571798898</v>
      </c>
    </row>
    <row r="86" customFormat="false" ht="15" hidden="false" customHeight="false" outlineLevel="0" collapsed="false">
      <c r="A86" s="15" t="n">
        <f aca="false">4_Normalizacion!A84</f>
        <v>79</v>
      </c>
      <c r="B86" s="16" t="n">
        <f aca="false">4_Normalizacion!B84</f>
        <v>8.125</v>
      </c>
      <c r="C86" s="21" t="n">
        <f aca="false">C$5*4_Normalizacion!C84</f>
        <v>0.00169192805394512</v>
      </c>
      <c r="D86" s="21" t="n">
        <f aca="false">D$5*4_Normalizacion!D84</f>
        <v>0.00020543122737585</v>
      </c>
      <c r="E86" s="21" t="n">
        <f aca="false">E$5*4_Normalizacion!E84</f>
        <v>0.00185693905364827</v>
      </c>
      <c r="F86" s="21" t="n">
        <f aca="false">F$5*4_Normalizacion!F84</f>
        <v>0.00161403739408304</v>
      </c>
      <c r="G86" s="21" t="n">
        <f aca="false">G$5*4_Normalizacion!G84</f>
        <v>0.000210254463455421</v>
      </c>
      <c r="H86" s="21" t="n">
        <f aca="false">H$5*4_Normalizacion!H84</f>
        <v>0.00848772946915379</v>
      </c>
      <c r="I86" s="21" t="n">
        <f aca="false">I$5*4_Normalizacion!I84</f>
        <v>0.00281086825420146</v>
      </c>
      <c r="J86" s="21" t="n">
        <f aca="false">J$5*4_Normalizacion!J84</f>
        <v>0.000340756055204318</v>
      </c>
      <c r="K86" s="21" t="n">
        <f aca="false">K$5*4_Normalizacion!K84</f>
        <v>3.90133374367575E-005</v>
      </c>
      <c r="L86" s="21" t="n">
        <f aca="false">L$5*4_Normalizacion!L84</f>
        <v>0.000957143489882824</v>
      </c>
      <c r="M86" s="21" t="n">
        <f aca="false">M$5*4_Normalizacion!M84</f>
        <v>0.00081012329584987</v>
      </c>
      <c r="N86" s="21" t="n">
        <f aca="false">N$5*4_Normalizacion!N84</f>
        <v>0.00151979606525836</v>
      </c>
      <c r="O86" s="21" t="n">
        <f aca="false">O$5*4_Normalizacion!O84</f>
        <v>0.00200587264654955</v>
      </c>
      <c r="P86" s="21" t="n">
        <f aca="false">P$5*4_Normalizacion!P84</f>
        <v>0.00135841219936972</v>
      </c>
      <c r="Q86" s="21" t="n">
        <f aca="false">Q$5*4_Normalizacion!Q84</f>
        <v>0.00285926571798898</v>
      </c>
    </row>
    <row r="87" customFormat="false" ht="15" hidden="false" customHeight="false" outlineLevel="0" collapsed="false">
      <c r="A87" s="15" t="n">
        <f aca="false">4_Normalizacion!A85</f>
        <v>80</v>
      </c>
      <c r="B87" s="16" t="n">
        <f aca="false">4_Normalizacion!B85</f>
        <v>8.223</v>
      </c>
      <c r="C87" s="21" t="n">
        <f aca="false">C$5*4_Normalizacion!C85</f>
        <v>0.00169192805394512</v>
      </c>
      <c r="D87" s="21" t="n">
        <f aca="false">D$5*4_Normalizacion!D85</f>
        <v>0.00020543122737585</v>
      </c>
      <c r="E87" s="21" t="n">
        <f aca="false">E$5*4_Normalizacion!E85</f>
        <v>0.0013927042902362</v>
      </c>
      <c r="F87" s="21" t="n">
        <f aca="false">F$5*4_Normalizacion!F85</f>
        <v>0.00161403739408304</v>
      </c>
      <c r="G87" s="21" t="n">
        <f aca="false">G$5*4_Normalizacion!G85</f>
        <v>0.000210254463455421</v>
      </c>
      <c r="H87" s="21" t="n">
        <f aca="false">H$5*4_Normalizacion!H85</f>
        <v>0.00848772946915379</v>
      </c>
      <c r="I87" s="21" t="n">
        <f aca="false">I$5*4_Normalizacion!I85</f>
        <v>0.00281086825420146</v>
      </c>
      <c r="J87" s="21" t="n">
        <f aca="false">J$5*4_Normalizacion!J85</f>
        <v>0.000340756055204318</v>
      </c>
      <c r="K87" s="21" t="n">
        <f aca="false">K$5*4_Normalizacion!K85</f>
        <v>3.90133374367575E-005</v>
      </c>
      <c r="L87" s="21" t="n">
        <f aca="false">L$5*4_Normalizacion!L85</f>
        <v>0.000985722420696507</v>
      </c>
      <c r="M87" s="21" t="n">
        <f aca="false">M$5*4_Normalizacion!M85</f>
        <v>0.00078182475134925</v>
      </c>
      <c r="N87" s="21" t="n">
        <f aca="false">N$5*4_Normalizacion!N85</f>
        <v>0.00151979606525836</v>
      </c>
      <c r="O87" s="21" t="n">
        <f aca="false">O$5*4_Normalizacion!O85</f>
        <v>0.00200587264654955</v>
      </c>
      <c r="P87" s="21" t="n">
        <f aca="false">P$5*4_Normalizacion!P85</f>
        <v>0.00135841219936972</v>
      </c>
      <c r="Q87" s="21" t="n">
        <f aca="false">Q$5*4_Normalizacion!Q85</f>
        <v>0.00285926571798898</v>
      </c>
    </row>
    <row r="88" customFormat="false" ht="15" hidden="false" customHeight="false" outlineLevel="0" collapsed="false">
      <c r="A88" s="15" t="n">
        <f aca="false">4_Normalizacion!A86</f>
        <v>81</v>
      </c>
      <c r="B88" s="16" t="n">
        <f aca="false">4_Normalizacion!B86</f>
        <v>8.319</v>
      </c>
      <c r="C88" s="21" t="n">
        <f aca="false">C$5*4_Normalizacion!C86</f>
        <v>0.00169192805394512</v>
      </c>
      <c r="D88" s="21" t="n">
        <f aca="false">D$5*4_Normalizacion!D86</f>
        <v>0.00020543122737585</v>
      </c>
      <c r="E88" s="21" t="n">
        <f aca="false">E$5*4_Normalizacion!E86</f>
        <v>0.000928469526824133</v>
      </c>
      <c r="F88" s="21" t="n">
        <f aca="false">F$5*4_Normalizacion!F86</f>
        <v>0.0020175467426038</v>
      </c>
      <c r="G88" s="21" t="n">
        <f aca="false">G$5*4_Normalizacion!G86</f>
        <v>0.000210254463455421</v>
      </c>
      <c r="H88" s="21" t="n">
        <f aca="false">H$5*4_Normalizacion!H86</f>
        <v>0.00848772946915379</v>
      </c>
      <c r="I88" s="21" t="n">
        <f aca="false">I$5*4_Normalizacion!I86</f>
        <v>0.00281086825420146</v>
      </c>
      <c r="J88" s="21" t="n">
        <f aca="false">J$5*4_Normalizacion!J86</f>
        <v>0.000340756055204318</v>
      </c>
      <c r="K88" s="21" t="n">
        <f aca="false">K$5*4_Normalizacion!K86</f>
        <v>3.90133374367575E-005</v>
      </c>
      <c r="L88" s="21" t="n">
        <f aca="false">L$5*4_Normalizacion!L86</f>
        <v>0.000898982858753223</v>
      </c>
      <c r="M88" s="21" t="n">
        <f aca="false">M$5*4_Normalizacion!M86</f>
        <v>0.000825615199773567</v>
      </c>
      <c r="N88" s="21" t="n">
        <f aca="false">N$5*4_Normalizacion!N86</f>
        <v>0.00151979606525836</v>
      </c>
      <c r="O88" s="21" t="n">
        <f aca="false">O$5*4_Normalizacion!O86</f>
        <v>0.00200587264654955</v>
      </c>
      <c r="P88" s="21" t="n">
        <f aca="false">P$5*4_Normalizacion!P86</f>
        <v>0.00135841219936972</v>
      </c>
      <c r="Q88" s="21" t="n">
        <f aca="false">Q$5*4_Normalizacion!Q86</f>
        <v>0.00285926571798898</v>
      </c>
    </row>
    <row r="89" customFormat="false" ht="15" hidden="false" customHeight="false" outlineLevel="0" collapsed="false">
      <c r="A89" s="15" t="n">
        <f aca="false">4_Normalizacion!A87</f>
        <v>82</v>
      </c>
      <c r="B89" s="16" t="n">
        <f aca="false">4_Normalizacion!B87</f>
        <v>8.413</v>
      </c>
      <c r="C89" s="21" t="n">
        <f aca="false">C$5*4_Normalizacion!C87</f>
        <v>0.00169192805394512</v>
      </c>
      <c r="D89" s="21" t="n">
        <f aca="false">D$5*4_Normalizacion!D87</f>
        <v>0.00020543122737585</v>
      </c>
      <c r="E89" s="21" t="n">
        <f aca="false">E$5*4_Normalizacion!E87</f>
        <v>0.000928469526824133</v>
      </c>
      <c r="F89" s="21" t="n">
        <f aca="false">F$5*4_Normalizacion!F87</f>
        <v>0.0020175467426038</v>
      </c>
      <c r="G89" s="21" t="n">
        <f aca="false">G$5*4_Normalizacion!G87</f>
        <v>0.000210254463455421</v>
      </c>
      <c r="H89" s="21" t="n">
        <f aca="false">H$5*4_Normalizacion!H87</f>
        <v>0.00848772946915379</v>
      </c>
      <c r="I89" s="21" t="n">
        <f aca="false">I$5*4_Normalizacion!I87</f>
        <v>0.00281086825420146</v>
      </c>
      <c r="J89" s="21" t="n">
        <f aca="false">J$5*4_Normalizacion!J87</f>
        <v>0.000340756055204318</v>
      </c>
      <c r="K89" s="21" t="n">
        <f aca="false">K$5*4_Normalizacion!K87</f>
        <v>3.90133374367575E-005</v>
      </c>
      <c r="L89" s="21" t="n">
        <f aca="false">L$5*4_Normalizacion!L87</f>
        <v>0.00114466138680067</v>
      </c>
      <c r="M89" s="21" t="n">
        <f aca="false">M$5*4_Normalizacion!M87</f>
        <v>0.000826234875930515</v>
      </c>
      <c r="N89" s="21" t="n">
        <f aca="false">N$5*4_Normalizacion!N87</f>
        <v>0.00151979606525836</v>
      </c>
      <c r="O89" s="21" t="n">
        <f aca="false">O$5*4_Normalizacion!O87</f>
        <v>0.00200587264654955</v>
      </c>
      <c r="P89" s="21" t="n">
        <f aca="false">P$5*4_Normalizacion!P87</f>
        <v>0.00135841219936972</v>
      </c>
      <c r="Q89" s="21" t="n">
        <f aca="false">Q$5*4_Normalizacion!Q87</f>
        <v>0.00285926571798898</v>
      </c>
    </row>
    <row r="90" customFormat="false" ht="15" hidden="false" customHeight="false" outlineLevel="0" collapsed="false">
      <c r="A90" s="15" t="n">
        <f aca="false">4_Normalizacion!A88</f>
        <v>83</v>
      </c>
      <c r="B90" s="16" t="n">
        <f aca="false">4_Normalizacion!B88</f>
        <v>8.508</v>
      </c>
      <c r="C90" s="21" t="n">
        <f aca="false">C$5*4_Normalizacion!C88</f>
        <v>0.00169192805394512</v>
      </c>
      <c r="D90" s="21" t="n">
        <f aca="false">D$5*4_Normalizacion!D88</f>
        <v>0.00020543122737585</v>
      </c>
      <c r="E90" s="21" t="n">
        <f aca="false">E$5*4_Normalizacion!E88</f>
        <v>0.000928469526824133</v>
      </c>
      <c r="F90" s="21" t="n">
        <f aca="false">F$5*4_Normalizacion!F88</f>
        <v>0.0020175467426038</v>
      </c>
      <c r="G90" s="21" t="n">
        <f aca="false">G$5*4_Normalizacion!G88</f>
        <v>0.000210254463455421</v>
      </c>
      <c r="H90" s="21" t="n">
        <f aca="false">H$5*4_Normalizacion!H88</f>
        <v>0.00848772946915379</v>
      </c>
      <c r="I90" s="21" t="n">
        <f aca="false">I$5*4_Normalizacion!I88</f>
        <v>0.00281086825420146</v>
      </c>
      <c r="J90" s="21" t="n">
        <f aca="false">J$5*4_Normalizacion!J88</f>
        <v>0.000340756055204318</v>
      </c>
      <c r="K90" s="21" t="n">
        <f aca="false">K$5*4_Normalizacion!K88</f>
        <v>3.90133374367575E-005</v>
      </c>
      <c r="L90" s="21" t="n">
        <f aca="false">L$5*4_Normalizacion!L88</f>
        <v>0.00115769739032972</v>
      </c>
      <c r="M90" s="21" t="n">
        <f aca="false">M$5*4_Normalizacion!M88</f>
        <v>0.000826234875930515</v>
      </c>
      <c r="N90" s="21" t="n">
        <f aca="false">N$5*4_Normalizacion!N88</f>
        <v>0.00151979606525836</v>
      </c>
      <c r="O90" s="21" t="n">
        <f aca="false">O$5*4_Normalizacion!O88</f>
        <v>0.00200587264654955</v>
      </c>
      <c r="P90" s="21" t="n">
        <f aca="false">P$5*4_Normalizacion!P88</f>
        <v>0.00135841219936972</v>
      </c>
      <c r="Q90" s="21" t="n">
        <f aca="false">Q$5*4_Normalizacion!Q88</f>
        <v>0.00285926571798898</v>
      </c>
    </row>
    <row r="91" customFormat="false" ht="15" hidden="false" customHeight="false" outlineLevel="0" collapsed="false">
      <c r="A91" s="15" t="n">
        <f aca="false">4_Normalizacion!A89</f>
        <v>84</v>
      </c>
      <c r="B91" s="16" t="n">
        <f aca="false">4_Normalizacion!B89</f>
        <v>8.604</v>
      </c>
      <c r="C91" s="21" t="n">
        <f aca="false">C$5*4_Normalizacion!C89</f>
        <v>0.00169192805394512</v>
      </c>
      <c r="D91" s="21" t="n">
        <f aca="false">D$5*4_Normalizacion!D89</f>
        <v>0.00020543122737585</v>
      </c>
      <c r="E91" s="21" t="n">
        <f aca="false">E$5*4_Normalizacion!E89</f>
        <v>0.000928469526824133</v>
      </c>
      <c r="F91" s="21" t="n">
        <f aca="false">F$5*4_Normalizacion!F89</f>
        <v>0.0020175467426038</v>
      </c>
      <c r="G91" s="21" t="n">
        <f aca="false">G$5*4_Normalizacion!G89</f>
        <v>0.000210254463455421</v>
      </c>
      <c r="H91" s="21" t="n">
        <f aca="false">H$5*4_Normalizacion!H89</f>
        <v>0.00848772946915379</v>
      </c>
      <c r="I91" s="21" t="n">
        <f aca="false">I$5*4_Normalizacion!I89</f>
        <v>0.00281086825420146</v>
      </c>
      <c r="J91" s="21" t="n">
        <f aca="false">J$5*4_Normalizacion!J89</f>
        <v>0.000340756055204318</v>
      </c>
      <c r="K91" s="21" t="n">
        <f aca="false">K$5*4_Normalizacion!K89</f>
        <v>3.90133374367575E-005</v>
      </c>
      <c r="L91" s="21" t="n">
        <f aca="false">L$5*4_Normalizacion!L89</f>
        <v>0.00114716831055626</v>
      </c>
      <c r="M91" s="21" t="n">
        <f aca="false">M$5*4_Normalizacion!M89</f>
        <v>0.000826234875930515</v>
      </c>
      <c r="N91" s="21" t="n">
        <f aca="false">N$5*4_Normalizacion!N89</f>
        <v>0.00151979606525836</v>
      </c>
      <c r="O91" s="21" t="n">
        <f aca="false">O$5*4_Normalizacion!O89</f>
        <v>0.00200587264654955</v>
      </c>
      <c r="P91" s="21" t="n">
        <f aca="false">P$5*4_Normalizacion!P89</f>
        <v>0.00135841219936972</v>
      </c>
      <c r="Q91" s="21" t="n">
        <f aca="false">Q$5*4_Normalizacion!Q89</f>
        <v>0.00285926571798898</v>
      </c>
    </row>
    <row r="92" customFormat="false" ht="15" hidden="false" customHeight="false" outlineLevel="0" collapsed="false">
      <c r="A92" s="15" t="n">
        <f aca="false">4_Normalizacion!A90</f>
        <v>85</v>
      </c>
      <c r="B92" s="16" t="n">
        <f aca="false">4_Normalizacion!B90</f>
        <v>8.703</v>
      </c>
      <c r="C92" s="21" t="n">
        <f aca="false">C$5*4_Normalizacion!C90</f>
        <v>0.00169192805394512</v>
      </c>
      <c r="D92" s="21" t="n">
        <f aca="false">D$5*4_Normalizacion!D90</f>
        <v>0.00020543122737585</v>
      </c>
      <c r="E92" s="21" t="n">
        <f aca="false">E$5*4_Normalizacion!E90</f>
        <v>0.000928469526824133</v>
      </c>
      <c r="F92" s="21" t="n">
        <f aca="false">F$5*4_Normalizacion!F90</f>
        <v>0.0020175467426038</v>
      </c>
      <c r="G92" s="21" t="n">
        <f aca="false">G$5*4_Normalizacion!G90</f>
        <v>0.000210254463455421</v>
      </c>
      <c r="H92" s="21" t="n">
        <f aca="false">H$5*4_Normalizacion!H90</f>
        <v>0.00848772946915379</v>
      </c>
      <c r="I92" s="21" t="n">
        <f aca="false">I$5*4_Normalizacion!I90</f>
        <v>0.00281086825420146</v>
      </c>
      <c r="J92" s="21" t="n">
        <f aca="false">J$5*4_Normalizacion!J90</f>
        <v>0.000340756055204318</v>
      </c>
      <c r="K92" s="21" t="n">
        <f aca="false">K$5*4_Normalizacion!K90</f>
        <v>3.90133374367575E-005</v>
      </c>
      <c r="L92" s="21" t="n">
        <f aca="false">L$5*4_Normalizacion!L90</f>
        <v>0.00108098552340878</v>
      </c>
      <c r="M92" s="21" t="n">
        <f aca="false">M$5*4_Normalizacion!M90</f>
        <v>0.000826234875930515</v>
      </c>
      <c r="N92" s="21" t="n">
        <f aca="false">N$5*4_Normalizacion!N90</f>
        <v>0.00151979606525836</v>
      </c>
      <c r="O92" s="21" t="n">
        <f aca="false">O$5*4_Normalizacion!O90</f>
        <v>0.00200587264654955</v>
      </c>
      <c r="P92" s="21" t="n">
        <f aca="false">P$5*4_Normalizacion!P90</f>
        <v>0.00135841219936972</v>
      </c>
      <c r="Q92" s="21" t="n">
        <f aca="false">Q$5*4_Normalizacion!Q90</f>
        <v>0.00285926571798898</v>
      </c>
    </row>
    <row r="93" customFormat="false" ht="15" hidden="false" customHeight="false" outlineLevel="0" collapsed="false">
      <c r="A93" s="15" t="n">
        <f aca="false">4_Normalizacion!A91</f>
        <v>86</v>
      </c>
      <c r="B93" s="16" t="n">
        <f aca="false">4_Normalizacion!B91</f>
        <v>8.803</v>
      </c>
      <c r="C93" s="21" t="n">
        <f aca="false">C$5*4_Normalizacion!C91</f>
        <v>0.00126894604045884</v>
      </c>
      <c r="D93" s="21" t="n">
        <f aca="false">D$5*4_Normalizacion!D91</f>
        <v>0.00020543122737585</v>
      </c>
      <c r="E93" s="21" t="n">
        <f aca="false">E$5*4_Normalizacion!E91</f>
        <v>0.000928469526824133</v>
      </c>
      <c r="F93" s="21" t="n">
        <f aca="false">F$5*4_Normalizacion!F91</f>
        <v>0.00161403739408304</v>
      </c>
      <c r="G93" s="21" t="n">
        <f aca="false">G$5*4_Normalizacion!G91</f>
        <v>0.000210254463455421</v>
      </c>
      <c r="H93" s="21" t="n">
        <f aca="false">H$5*4_Normalizacion!H91</f>
        <v>0.00848772946915379</v>
      </c>
      <c r="I93" s="21" t="n">
        <f aca="false">I$5*4_Normalizacion!I91</f>
        <v>0.00281086825420146</v>
      </c>
      <c r="J93" s="21" t="n">
        <f aca="false">J$5*4_Normalizacion!J91</f>
        <v>0.000340756055204318</v>
      </c>
      <c r="K93" s="21" t="n">
        <f aca="false">K$5*4_Normalizacion!K91</f>
        <v>3.90133374367575E-005</v>
      </c>
      <c r="L93" s="21" t="n">
        <f aca="false">L$5*4_Normalizacion!L91</f>
        <v>0.00102483043128365</v>
      </c>
      <c r="M93" s="21" t="n">
        <f aca="false">M$5*4_Normalizacion!M91</f>
        <v>0.000826234875930515</v>
      </c>
      <c r="N93" s="21" t="n">
        <f aca="false">N$5*4_Normalizacion!N91</f>
        <v>0.00151979606525836</v>
      </c>
      <c r="O93" s="21" t="n">
        <f aca="false">O$5*4_Normalizacion!O91</f>
        <v>0.00200587264654955</v>
      </c>
      <c r="P93" s="21" t="n">
        <f aca="false">P$5*4_Normalizacion!P91</f>
        <v>0.00135841219936972</v>
      </c>
      <c r="Q93" s="21" t="n">
        <f aca="false">Q$5*4_Normalizacion!Q91</f>
        <v>0.00285926571798898</v>
      </c>
    </row>
    <row r="94" customFormat="false" ht="15" hidden="false" customHeight="false" outlineLevel="0" collapsed="false">
      <c r="A94" s="15" t="n">
        <f aca="false">4_Normalizacion!A92</f>
        <v>87</v>
      </c>
      <c r="B94" s="16" t="n">
        <f aca="false">4_Normalizacion!B92</f>
        <v>8.906</v>
      </c>
      <c r="C94" s="21" t="n">
        <f aca="false">C$5*4_Normalizacion!C92</f>
        <v>0.00126894604045884</v>
      </c>
      <c r="D94" s="21" t="n">
        <f aca="false">D$5*4_Normalizacion!D92</f>
        <v>0.00020543122737585</v>
      </c>
      <c r="E94" s="21" t="n">
        <f aca="false">E$5*4_Normalizacion!E92</f>
        <v>0.000928469526824133</v>
      </c>
      <c r="F94" s="21" t="n">
        <f aca="false">F$5*4_Normalizacion!F92</f>
        <v>0.00121052804556228</v>
      </c>
      <c r="G94" s="21" t="n">
        <f aca="false">G$5*4_Normalizacion!G92</f>
        <v>0.000210254463455421</v>
      </c>
      <c r="H94" s="21" t="n">
        <f aca="false">H$5*4_Normalizacion!H92</f>
        <v>0.00848772946915379</v>
      </c>
      <c r="I94" s="21" t="n">
        <f aca="false">I$5*4_Normalizacion!I92</f>
        <v>0.00281086825420146</v>
      </c>
      <c r="J94" s="21" t="n">
        <f aca="false">J$5*4_Normalizacion!J92</f>
        <v>0.000340756055204318</v>
      </c>
      <c r="K94" s="21" t="n">
        <f aca="false">K$5*4_Normalizacion!K92</f>
        <v>3.90133374367575E-005</v>
      </c>
      <c r="L94" s="21" t="n">
        <f aca="false">L$5*4_Normalizacion!L92</f>
        <v>0.000971182262914107</v>
      </c>
      <c r="M94" s="21" t="n">
        <f aca="false">M$5*4_Normalizacion!M92</f>
        <v>0.000826234875930515</v>
      </c>
      <c r="N94" s="21" t="n">
        <f aca="false">N$5*4_Normalizacion!N92</f>
        <v>0.00151979606525836</v>
      </c>
      <c r="O94" s="21" t="n">
        <f aca="false">O$5*4_Normalizacion!O92</f>
        <v>0.00200587264654955</v>
      </c>
      <c r="P94" s="21" t="n">
        <f aca="false">P$5*4_Normalizacion!P92</f>
        <v>0.00135841219936972</v>
      </c>
      <c r="Q94" s="21" t="n">
        <f aca="false">Q$5*4_Normalizacion!Q92</f>
        <v>0.00285926571798898</v>
      </c>
    </row>
    <row r="95" customFormat="false" ht="15" hidden="false" customHeight="false" outlineLevel="0" collapsed="false">
      <c r="A95" s="15" t="n">
        <f aca="false">4_Normalizacion!A93</f>
        <v>88</v>
      </c>
      <c r="B95" s="16" t="n">
        <f aca="false">4_Normalizacion!B93</f>
        <v>9.011</v>
      </c>
      <c r="C95" s="21" t="n">
        <f aca="false">C$5*4_Normalizacion!C93</f>
        <v>0.00169192805394512</v>
      </c>
      <c r="D95" s="21" t="n">
        <f aca="false">D$5*4_Normalizacion!D93</f>
        <v>0.00020543122737585</v>
      </c>
      <c r="E95" s="21" t="n">
        <f aca="false">E$5*4_Normalizacion!E93</f>
        <v>0.000928469526824133</v>
      </c>
      <c r="F95" s="21" t="n">
        <f aca="false">F$5*4_Normalizacion!F93</f>
        <v>0.00161403739408304</v>
      </c>
      <c r="G95" s="21" t="n">
        <f aca="false">G$5*4_Normalizacion!G93</f>
        <v>0.000210254463455421</v>
      </c>
      <c r="H95" s="21" t="n">
        <f aca="false">H$5*4_Normalizacion!H93</f>
        <v>0.00848772946915379</v>
      </c>
      <c r="I95" s="21" t="n">
        <f aca="false">I$5*4_Normalizacion!I93</f>
        <v>0.00281086825420146</v>
      </c>
      <c r="J95" s="21" t="n">
        <f aca="false">J$5*4_Normalizacion!J93</f>
        <v>0.000340756055204318</v>
      </c>
      <c r="K95" s="21" t="n">
        <f aca="false">K$5*4_Normalizacion!K93</f>
        <v>3.90133374367575E-005</v>
      </c>
      <c r="L95" s="21" t="n">
        <f aca="false">L$5*4_Normalizacion!L93</f>
        <v>0.000905500860517747</v>
      </c>
      <c r="M95" s="21" t="n">
        <f aca="false">M$5*4_Normalizacion!M93</f>
        <v>0.000826234875930515</v>
      </c>
      <c r="N95" s="21" t="n">
        <f aca="false">N$5*4_Normalizacion!N93</f>
        <v>0.00151979606525836</v>
      </c>
      <c r="O95" s="21" t="n">
        <f aca="false">O$5*4_Normalizacion!O93</f>
        <v>0.00200587264654955</v>
      </c>
      <c r="P95" s="21" t="n">
        <f aca="false">P$5*4_Normalizacion!P93</f>
        <v>0.00135841219936972</v>
      </c>
      <c r="Q95" s="21" t="n">
        <f aca="false">Q$5*4_Normalizacion!Q93</f>
        <v>0.00285926571798898</v>
      </c>
    </row>
    <row r="96" customFormat="false" ht="15" hidden="false" customHeight="false" outlineLevel="0" collapsed="false">
      <c r="A96" s="15" t="n">
        <f aca="false">4_Normalizacion!A94</f>
        <v>89</v>
      </c>
      <c r="B96" s="16" t="n">
        <f aca="false">4_Normalizacion!B94</f>
        <v>9.116</v>
      </c>
      <c r="C96" s="21" t="n">
        <f aca="false">C$5*4_Normalizacion!C94</f>
        <v>0.00169192805394512</v>
      </c>
      <c r="D96" s="21" t="n">
        <f aca="false">D$5*4_Normalizacion!D94</f>
        <v>0.00020543122737585</v>
      </c>
      <c r="E96" s="21" t="n">
        <f aca="false">E$5*4_Normalizacion!E94</f>
        <v>0.000928469526824133</v>
      </c>
      <c r="F96" s="21" t="n">
        <f aca="false">F$5*4_Normalizacion!F94</f>
        <v>0.00161403739408304</v>
      </c>
      <c r="G96" s="21" t="n">
        <f aca="false">G$5*4_Normalizacion!G94</f>
        <v>0.000210254463455421</v>
      </c>
      <c r="H96" s="21" t="n">
        <f aca="false">H$5*4_Normalizacion!H94</f>
        <v>0.00848772946915379</v>
      </c>
      <c r="I96" s="21" t="n">
        <f aca="false">I$5*4_Normalizacion!I94</f>
        <v>0.00281086825420146</v>
      </c>
      <c r="J96" s="21" t="n">
        <f aca="false">J$5*4_Normalizacion!J94</f>
        <v>0.000340756055204318</v>
      </c>
      <c r="K96" s="21" t="n">
        <f aca="false">K$5*4_Normalizacion!K94</f>
        <v>3.90133374367575E-005</v>
      </c>
      <c r="L96" s="21" t="n">
        <f aca="false">L$5*4_Normalizacion!L94</f>
        <v>0.000847841614139264</v>
      </c>
      <c r="M96" s="21" t="n">
        <f aca="false">M$5*4_Normalizacion!M94</f>
        <v>0.000826234875930515</v>
      </c>
      <c r="N96" s="21" t="n">
        <f aca="false">N$5*4_Normalizacion!N94</f>
        <v>0.00151979606525836</v>
      </c>
      <c r="O96" s="21" t="n">
        <f aca="false">O$5*4_Normalizacion!O94</f>
        <v>0.00200587264654955</v>
      </c>
      <c r="P96" s="21" t="n">
        <f aca="false">P$5*4_Normalizacion!P94</f>
        <v>0.00135841219936972</v>
      </c>
      <c r="Q96" s="21" t="n">
        <f aca="false">Q$5*4_Normalizacion!Q94</f>
        <v>0.00285926571798898</v>
      </c>
    </row>
    <row r="97" customFormat="false" ht="15" hidden="false" customHeight="false" outlineLevel="0" collapsed="false">
      <c r="A97" s="15" t="n">
        <f aca="false">4_Normalizacion!A95</f>
        <v>90</v>
      </c>
      <c r="B97" s="16" t="n">
        <f aca="false">4_Normalizacion!B95</f>
        <v>9.222</v>
      </c>
      <c r="C97" s="21" t="n">
        <f aca="false">C$5*4_Normalizacion!C95</f>
        <v>0.00169192805394512</v>
      </c>
      <c r="D97" s="21" t="n">
        <f aca="false">D$5*4_Normalizacion!D95</f>
        <v>0.00020543122737585</v>
      </c>
      <c r="E97" s="21" t="n">
        <f aca="false">E$5*4_Normalizacion!E95</f>
        <v>0.000928469526824133</v>
      </c>
      <c r="F97" s="21" t="n">
        <f aca="false">F$5*4_Normalizacion!F95</f>
        <v>0.00161403739408304</v>
      </c>
      <c r="G97" s="21" t="n">
        <f aca="false">G$5*4_Normalizacion!G95</f>
        <v>0.000210254463455421</v>
      </c>
      <c r="H97" s="21" t="n">
        <f aca="false">H$5*4_Normalizacion!H95</f>
        <v>0.00848772946915379</v>
      </c>
      <c r="I97" s="21" t="n">
        <f aca="false">I$5*4_Normalizacion!I95</f>
        <v>0.00281086825420146</v>
      </c>
      <c r="J97" s="21" t="n">
        <f aca="false">J$5*4_Normalizacion!J95</f>
        <v>0.000340756055204318</v>
      </c>
      <c r="K97" s="21" t="n">
        <f aca="false">K$5*4_Normalizacion!K95</f>
        <v>3.90133374367575E-005</v>
      </c>
      <c r="L97" s="21" t="n">
        <f aca="false">L$5*4_Normalizacion!L95</f>
        <v>0.00082678345459234</v>
      </c>
      <c r="M97" s="21" t="n">
        <f aca="false">M$5*4_Normalizacion!M95</f>
        <v>0.000826234875930515</v>
      </c>
      <c r="N97" s="21" t="n">
        <f aca="false">N$5*4_Normalizacion!N95</f>
        <v>0.00151979606525836</v>
      </c>
      <c r="O97" s="21" t="n">
        <f aca="false">O$5*4_Normalizacion!O95</f>
        <v>0.00200587264654955</v>
      </c>
      <c r="P97" s="21" t="n">
        <f aca="false">P$5*4_Normalizacion!P95</f>
        <v>0.00135841219936972</v>
      </c>
      <c r="Q97" s="21" t="n">
        <f aca="false">Q$5*4_Normalizacion!Q95</f>
        <v>0.00285926571798898</v>
      </c>
    </row>
    <row r="98" customFormat="false" ht="15" hidden="false" customHeight="false" outlineLevel="0" collapsed="false">
      <c r="A98" s="15" t="n">
        <f aca="false">4_Normalizacion!A96</f>
        <v>91</v>
      </c>
      <c r="B98" s="16" t="n">
        <f aca="false">4_Normalizacion!B96</f>
        <v>9.326</v>
      </c>
      <c r="C98" s="21" t="n">
        <f aca="false">C$5*4_Normalizacion!C96</f>
        <v>0.00211491006743141</v>
      </c>
      <c r="D98" s="21" t="n">
        <f aca="false">D$5*4_Normalizacion!D96</f>
        <v>0.00020543122737585</v>
      </c>
      <c r="E98" s="21" t="n">
        <f aca="false">E$5*4_Normalizacion!E96</f>
        <v>0.000928469526824133</v>
      </c>
      <c r="F98" s="21" t="n">
        <f aca="false">F$5*4_Normalizacion!F96</f>
        <v>0.00121052804556228</v>
      </c>
      <c r="G98" s="21" t="n">
        <f aca="false">G$5*4_Normalizacion!G96</f>
        <v>0.000210254463455421</v>
      </c>
      <c r="H98" s="21" t="n">
        <f aca="false">H$5*4_Normalizacion!H96</f>
        <v>0.00848772946915379</v>
      </c>
      <c r="I98" s="21" t="n">
        <f aca="false">I$5*4_Normalizacion!I96</f>
        <v>0.00281086825420146</v>
      </c>
      <c r="J98" s="21" t="n">
        <f aca="false">J$5*4_Normalizacion!J96</f>
        <v>0.000340756055204318</v>
      </c>
      <c r="K98" s="21" t="n">
        <f aca="false">K$5*4_Normalizacion!K96</f>
        <v>3.90133374367575E-005</v>
      </c>
      <c r="L98" s="21" t="n">
        <f aca="false">L$5*4_Normalizacion!L96</f>
        <v>0.000963160106896231</v>
      </c>
      <c r="M98" s="21" t="n">
        <f aca="false">M$5*4_Normalizacion!M96</f>
        <v>0.000765093495111657</v>
      </c>
      <c r="N98" s="21" t="n">
        <f aca="false">N$5*4_Normalizacion!N96</f>
        <v>0.00151979606525836</v>
      </c>
      <c r="O98" s="21" t="n">
        <f aca="false">O$5*4_Normalizacion!O96</f>
        <v>0.00200587264654955</v>
      </c>
      <c r="P98" s="21" t="n">
        <f aca="false">P$5*4_Normalizacion!P96</f>
        <v>0.00135841219936972</v>
      </c>
      <c r="Q98" s="21" t="n">
        <f aca="false">Q$5*4_Normalizacion!Q96</f>
        <v>0.0114370628719559</v>
      </c>
    </row>
    <row r="99" customFormat="false" ht="15" hidden="false" customHeight="false" outlineLevel="0" collapsed="false">
      <c r="A99" s="15" t="n">
        <f aca="false">4_Normalizacion!A97</f>
        <v>92</v>
      </c>
      <c r="B99" s="16" t="n">
        <f aca="false">4_Normalizacion!B97</f>
        <v>9.429</v>
      </c>
      <c r="C99" s="21" t="n">
        <f aca="false">C$5*4_Normalizacion!C97</f>
        <v>0.00211491006743141</v>
      </c>
      <c r="D99" s="21" t="n">
        <f aca="false">D$5*4_Normalizacion!D97</f>
        <v>0.00016434498190068</v>
      </c>
      <c r="E99" s="21" t="n">
        <f aca="false">E$5*4_Normalizacion!E97</f>
        <v>0.000928469526824133</v>
      </c>
      <c r="F99" s="21" t="n">
        <f aca="false">F$5*4_Normalizacion!F97</f>
        <v>0.00121052804556228</v>
      </c>
      <c r="G99" s="21" t="n">
        <f aca="false">G$5*4_Normalizacion!G97</f>
        <v>0.000210254463455421</v>
      </c>
      <c r="H99" s="21" t="n">
        <f aca="false">H$5*4_Normalizacion!H97</f>
        <v>0.00848772946915379</v>
      </c>
      <c r="I99" s="21" t="n">
        <f aca="false">I$5*4_Normalizacion!I97</f>
        <v>0.00281086825420146</v>
      </c>
      <c r="J99" s="21" t="n">
        <f aca="false">J$5*4_Normalizacion!J97</f>
        <v>0.000340756055204318</v>
      </c>
      <c r="K99" s="21" t="n">
        <f aca="false">K$5*4_Normalizacion!K97</f>
        <v>3.90133374367575E-005</v>
      </c>
      <c r="L99" s="21" t="n">
        <f aca="false">L$5*4_Normalizacion!L97</f>
        <v>0.00126098264905988</v>
      </c>
      <c r="M99" s="21" t="n">
        <f aca="false">M$5*4_Normalizacion!M97</f>
        <v>0.000659955107149499</v>
      </c>
      <c r="N99" s="21" t="n">
        <f aca="false">N$5*4_Normalizacion!N97</f>
        <v>0.00151979606525836</v>
      </c>
      <c r="O99" s="21" t="n">
        <f aca="false">O$5*4_Normalizacion!O97</f>
        <v>0.00200587264654955</v>
      </c>
      <c r="P99" s="21" t="n">
        <f aca="false">P$5*4_Normalizacion!P97</f>
        <v>0.00135841219936972</v>
      </c>
      <c r="Q99" s="21" t="n">
        <f aca="false">Q$5*4_Normalizacion!Q97</f>
        <v>0.0142963285899449</v>
      </c>
    </row>
    <row r="100" customFormat="false" ht="15" hidden="false" customHeight="false" outlineLevel="0" collapsed="false">
      <c r="A100" s="15" t="n">
        <f aca="false">4_Normalizacion!A98</f>
        <v>93</v>
      </c>
      <c r="B100" s="16" t="n">
        <f aca="false">4_Normalizacion!B98</f>
        <v>9.531</v>
      </c>
      <c r="C100" s="21" t="n">
        <f aca="false">C$5*4_Normalizacion!C98</f>
        <v>0.00211491006743141</v>
      </c>
      <c r="D100" s="21" t="n">
        <f aca="false">D$5*4_Normalizacion!D98</f>
        <v>0.00016434498190068</v>
      </c>
      <c r="E100" s="21" t="n">
        <f aca="false">E$5*4_Normalizacion!E98</f>
        <v>0.000928469526824133</v>
      </c>
      <c r="F100" s="21" t="n">
        <f aca="false">F$5*4_Normalizacion!F98</f>
        <v>0.00121052804556228</v>
      </c>
      <c r="G100" s="21" t="n">
        <f aca="false">G$5*4_Normalizacion!G98</f>
        <v>0.000210254463455421</v>
      </c>
      <c r="H100" s="21" t="n">
        <f aca="false">H$5*4_Normalizacion!H98</f>
        <v>0.00848772946915379</v>
      </c>
      <c r="I100" s="21" t="n">
        <f aca="false">I$5*4_Normalizacion!I98</f>
        <v>0.00281086825420146</v>
      </c>
      <c r="J100" s="21" t="n">
        <f aca="false">J$5*4_Normalizacion!J98</f>
        <v>0.000340756055204318</v>
      </c>
      <c r="K100" s="21" t="n">
        <f aca="false">K$5*4_Normalizacion!K98</f>
        <v>3.90133374367575E-005</v>
      </c>
      <c r="L100" s="21" t="n">
        <f aca="false">L$5*4_Normalizacion!L98</f>
        <v>0.00135674713652327</v>
      </c>
      <c r="M100" s="21" t="n">
        <f aca="false">M$5*4_Normalizacion!M98</f>
        <v>0.000637853324218358</v>
      </c>
      <c r="N100" s="21" t="n">
        <f aca="false">N$5*4_Normalizacion!N98</f>
        <v>0.00151979606525836</v>
      </c>
      <c r="O100" s="21" t="n">
        <f aca="false">O$5*4_Normalizacion!O98</f>
        <v>0.00200587264654955</v>
      </c>
      <c r="P100" s="21" t="n">
        <f aca="false">P$5*4_Normalizacion!P98</f>
        <v>0.00135841219936972</v>
      </c>
      <c r="Q100" s="21" t="n">
        <f aca="false">Q$5*4_Normalizacion!Q98</f>
        <v>0.0114370628719559</v>
      </c>
    </row>
    <row r="101" customFormat="false" ht="15" hidden="false" customHeight="false" outlineLevel="0" collapsed="false">
      <c r="A101" s="15" t="n">
        <f aca="false">4_Normalizacion!A99</f>
        <v>94</v>
      </c>
      <c r="B101" s="16" t="n">
        <f aca="false">4_Normalizacion!B99</f>
        <v>9.632</v>
      </c>
      <c r="C101" s="21" t="n">
        <f aca="false">C$5*4_Normalizacion!C99</f>
        <v>0.00211491006743141</v>
      </c>
      <c r="D101" s="21" t="n">
        <f aca="false">D$5*4_Normalizacion!D99</f>
        <v>0.00016434498190068</v>
      </c>
      <c r="E101" s="21" t="n">
        <f aca="false">E$5*4_Normalizacion!E99</f>
        <v>0.000928469526824133</v>
      </c>
      <c r="F101" s="21" t="n">
        <f aca="false">F$5*4_Normalizacion!F99</f>
        <v>0.00121052804556228</v>
      </c>
      <c r="G101" s="21" t="n">
        <f aca="false">G$5*4_Normalizacion!G99</f>
        <v>0.000210254463455421</v>
      </c>
      <c r="H101" s="21" t="n">
        <f aca="false">H$5*4_Normalizacion!H99</f>
        <v>0.00848772946915379</v>
      </c>
      <c r="I101" s="21" t="n">
        <f aca="false">I$5*4_Normalizacion!I99</f>
        <v>0.00281086825420146</v>
      </c>
      <c r="J101" s="21" t="n">
        <f aca="false">J$5*4_Normalizacion!J99</f>
        <v>0.000340756055204318</v>
      </c>
      <c r="K101" s="21" t="n">
        <f aca="false">K$5*4_Normalizacion!K99</f>
        <v>3.90133374367575E-005</v>
      </c>
      <c r="L101" s="21" t="n">
        <f aca="false">L$5*4_Normalizacion!L99</f>
        <v>0.00139886345561712</v>
      </c>
      <c r="M101" s="21" t="n">
        <f aca="false">M$5*4_Normalizacion!M99</f>
        <v>0.000646735349134611</v>
      </c>
      <c r="N101" s="21" t="n">
        <f aca="false">N$5*4_Normalizacion!N99</f>
        <v>0.00151979606525836</v>
      </c>
      <c r="O101" s="21" t="n">
        <f aca="false">O$5*4_Normalizacion!O99</f>
        <v>0.00200587264654955</v>
      </c>
      <c r="P101" s="21" t="n">
        <f aca="false">P$5*4_Normalizacion!P99</f>
        <v>0.00135841219936972</v>
      </c>
      <c r="Q101" s="21" t="n">
        <f aca="false">Q$5*4_Normalizacion!Q99</f>
        <v>0.00571853143597797</v>
      </c>
    </row>
    <row r="102" customFormat="false" ht="15" hidden="false" customHeight="false" outlineLevel="0" collapsed="false">
      <c r="A102" s="15" t="n">
        <f aca="false">4_Normalizacion!A100</f>
        <v>95</v>
      </c>
      <c r="B102" s="16" t="n">
        <f aca="false">4_Normalizacion!B100</f>
        <v>9.733</v>
      </c>
      <c r="C102" s="21" t="n">
        <f aca="false">C$5*4_Normalizacion!C100</f>
        <v>0.00211491006743141</v>
      </c>
      <c r="D102" s="21" t="n">
        <f aca="false">D$5*4_Normalizacion!D100</f>
        <v>0.00020543122737585</v>
      </c>
      <c r="E102" s="21" t="n">
        <f aca="false">E$5*4_Normalizacion!E100</f>
        <v>0.000928469526824133</v>
      </c>
      <c r="F102" s="21" t="n">
        <f aca="false">F$5*4_Normalizacion!F100</f>
        <v>0.00121052804556228</v>
      </c>
      <c r="G102" s="21" t="n">
        <f aca="false">G$5*4_Normalizacion!G100</f>
        <v>0.000210254463455421</v>
      </c>
      <c r="H102" s="21" t="n">
        <f aca="false">H$5*4_Normalizacion!H100</f>
        <v>0.00848772946915379</v>
      </c>
      <c r="I102" s="21" t="n">
        <f aca="false">I$5*4_Normalizacion!I100</f>
        <v>0.00281086825420146</v>
      </c>
      <c r="J102" s="21" t="n">
        <f aca="false">J$5*4_Normalizacion!J100</f>
        <v>0.000340756055204318</v>
      </c>
      <c r="K102" s="21" t="n">
        <f aca="false">K$5*4_Normalizacion!K100</f>
        <v>3.90133374367575E-005</v>
      </c>
      <c r="L102" s="21" t="n">
        <f aca="false">L$5*4_Normalizacion!L100</f>
        <v>0.00111106860847582</v>
      </c>
      <c r="M102" s="21" t="n">
        <f aca="false">M$5*4_Normalizacion!M100</f>
        <v>0.000711801345614139</v>
      </c>
      <c r="N102" s="21" t="n">
        <f aca="false">N$5*4_Normalizacion!N100</f>
        <v>0.00151979606525836</v>
      </c>
      <c r="O102" s="21" t="n">
        <f aca="false">O$5*4_Normalizacion!O100</f>
        <v>0.00200587264654955</v>
      </c>
      <c r="P102" s="21" t="n">
        <f aca="false">P$5*4_Normalizacion!P100</f>
        <v>0.00135841219936972</v>
      </c>
      <c r="Q102" s="21" t="n">
        <f aca="false">Q$5*4_Normalizacion!Q100</f>
        <v>0.00285926571798898</v>
      </c>
    </row>
    <row r="103" customFormat="false" ht="15" hidden="false" customHeight="false" outlineLevel="0" collapsed="false">
      <c r="A103" s="15" t="n">
        <f aca="false">4_Normalizacion!A101</f>
        <v>96</v>
      </c>
      <c r="B103" s="16" t="n">
        <f aca="false">4_Normalizacion!B101</f>
        <v>9.834</v>
      </c>
      <c r="C103" s="21" t="n">
        <f aca="false">C$5*4_Normalizacion!C101</f>
        <v>0.00211491006743141</v>
      </c>
      <c r="D103" s="21" t="n">
        <f aca="false">D$5*4_Normalizacion!D101</f>
        <v>0.00020543122737585</v>
      </c>
      <c r="E103" s="21" t="n">
        <f aca="false">E$5*4_Normalizacion!E101</f>
        <v>0.000928469526824133</v>
      </c>
      <c r="F103" s="21" t="n">
        <f aca="false">F$5*4_Normalizacion!F101</f>
        <v>0.00161403739408304</v>
      </c>
      <c r="G103" s="21" t="n">
        <f aca="false">G$5*4_Normalizacion!G101</f>
        <v>0.000210254463455421</v>
      </c>
      <c r="H103" s="21" t="n">
        <f aca="false">H$5*4_Normalizacion!H101</f>
        <v>0.00848772946915379</v>
      </c>
      <c r="I103" s="21" t="n">
        <f aca="false">I$5*4_Normalizacion!I101</f>
        <v>0.00281086825420146</v>
      </c>
      <c r="J103" s="21" t="n">
        <f aca="false">J$5*4_Normalizacion!J101</f>
        <v>0.000340756055204318</v>
      </c>
      <c r="K103" s="21" t="n">
        <f aca="false">K$5*4_Normalizacion!K101</f>
        <v>3.90133374367575E-005</v>
      </c>
      <c r="L103" s="21" t="n">
        <f aca="false">L$5*4_Normalizacion!L101</f>
        <v>0.000654808484959124</v>
      </c>
      <c r="M103" s="21" t="n">
        <f aca="false">M$5*4_Normalizacion!M101</f>
        <v>0.00081714629229528</v>
      </c>
      <c r="N103" s="21" t="n">
        <f aca="false">N$5*4_Normalizacion!N101</f>
        <v>0.00151979606525836</v>
      </c>
      <c r="O103" s="21" t="n">
        <f aca="false">O$5*4_Normalizacion!O101</f>
        <v>0.00200587264654955</v>
      </c>
      <c r="P103" s="21" t="n">
        <f aca="false">P$5*4_Normalizacion!P101</f>
        <v>0.00135841219936972</v>
      </c>
      <c r="Q103" s="21" t="n">
        <f aca="false">Q$5*4_Normalizacion!Q101</f>
        <v>0.00285926571798898</v>
      </c>
    </row>
    <row r="104" customFormat="false" ht="15" hidden="false" customHeight="false" outlineLevel="0" collapsed="false">
      <c r="A104" s="15" t="n">
        <f aca="false">4_Normalizacion!A102</f>
        <v>97</v>
      </c>
      <c r="B104" s="16" t="n">
        <f aca="false">4_Normalizacion!B102</f>
        <v>9.936</v>
      </c>
      <c r="C104" s="21" t="n">
        <f aca="false">C$5*4_Normalizacion!C102</f>
        <v>0.00211491006743141</v>
      </c>
      <c r="D104" s="21" t="n">
        <f aca="false">D$5*4_Normalizacion!D102</f>
        <v>0.00020543122737585</v>
      </c>
      <c r="E104" s="21" t="n">
        <f aca="false">E$5*4_Normalizacion!E102</f>
        <v>0.000464234763412067</v>
      </c>
      <c r="F104" s="21" t="n">
        <f aca="false">F$5*4_Normalizacion!F102</f>
        <v>0.00161403739408304</v>
      </c>
      <c r="G104" s="21" t="n">
        <f aca="false">G$5*4_Normalizacion!G102</f>
        <v>0.000210254463455421</v>
      </c>
      <c r="H104" s="21" t="n">
        <f aca="false">H$5*4_Normalizacion!H102</f>
        <v>0.00848772946915379</v>
      </c>
      <c r="I104" s="21" t="n">
        <f aca="false">I$5*4_Normalizacion!I102</f>
        <v>0.00281086825420146</v>
      </c>
      <c r="J104" s="21" t="n">
        <f aca="false">J$5*4_Normalizacion!J102</f>
        <v>0.000340756055204318</v>
      </c>
      <c r="K104" s="21" t="n">
        <f aca="false">K$5*4_Normalizacion!K102</f>
        <v>3.1210669949406E-005</v>
      </c>
      <c r="L104" s="21" t="n">
        <f aca="false">L$5*4_Normalizacion!L102</f>
        <v>0.000687899878532862</v>
      </c>
      <c r="M104" s="21" t="n">
        <f aca="false">M$5*4_Normalizacion!M102</f>
        <v>0.000743817947056446</v>
      </c>
      <c r="N104" s="21" t="n">
        <f aca="false">N$5*4_Normalizacion!N102</f>
        <v>0.00151979606525836</v>
      </c>
      <c r="O104" s="21" t="n">
        <f aca="false">O$5*4_Normalizacion!O102</f>
        <v>0.00200587264654955</v>
      </c>
      <c r="P104" s="21" t="n">
        <f aca="false">P$5*4_Normalizacion!P102</f>
        <v>0.00135841219936972</v>
      </c>
      <c r="Q104" s="21" t="n">
        <f aca="false">Q$5*4_Normalizacion!Q102</f>
        <v>0.00285926571798898</v>
      </c>
    </row>
    <row r="105" customFormat="false" ht="15" hidden="false" customHeight="false" outlineLevel="0" collapsed="false">
      <c r="A105" s="15" t="n">
        <f aca="false">4_Normalizacion!A103</f>
        <v>98</v>
      </c>
      <c r="B105" s="16" t="n">
        <f aca="false">4_Normalizacion!B103</f>
        <v>10.038</v>
      </c>
      <c r="C105" s="21" t="n">
        <f aca="false">C$5*4_Normalizacion!C103</f>
        <v>0.00211491006743141</v>
      </c>
      <c r="D105" s="21" t="n">
        <f aca="false">D$5*4_Normalizacion!D103</f>
        <v>0.00020543122737585</v>
      </c>
      <c r="E105" s="21" t="n">
        <f aca="false">E$5*4_Normalizacion!E103</f>
        <v>0.000464234763412067</v>
      </c>
      <c r="F105" s="21" t="n">
        <f aca="false">F$5*4_Normalizacion!F103</f>
        <v>0.00161403739408304</v>
      </c>
      <c r="G105" s="21" t="n">
        <f aca="false">G$5*4_Normalizacion!G103</f>
        <v>0.000210254463455421</v>
      </c>
      <c r="H105" s="21" t="n">
        <f aca="false">H$5*4_Normalizacion!H103</f>
        <v>0.00848772946915379</v>
      </c>
      <c r="I105" s="21" t="n">
        <f aca="false">I$5*4_Normalizacion!I103</f>
        <v>0.00281086825420146</v>
      </c>
      <c r="J105" s="21" t="n">
        <f aca="false">J$5*4_Normalizacion!J103</f>
        <v>0.000340756055204318</v>
      </c>
      <c r="K105" s="21" t="n">
        <f aca="false">K$5*4_Normalizacion!K103</f>
        <v>3.1210669949406E-005</v>
      </c>
      <c r="L105" s="21" t="n">
        <f aca="false">L$5*4_Normalizacion!L103</f>
        <v>0.000755586819933691</v>
      </c>
      <c r="M105" s="21" t="n">
        <f aca="false">M$5*4_Normalizacion!M103</f>
        <v>0.000766539406144536</v>
      </c>
      <c r="N105" s="21" t="n">
        <f aca="false">N$5*4_Normalizacion!N103</f>
        <v>0.00151979606525836</v>
      </c>
      <c r="O105" s="21" t="n">
        <f aca="false">O$5*4_Normalizacion!O103</f>
        <v>0.00200587264654955</v>
      </c>
      <c r="P105" s="21" t="n">
        <f aca="false">P$5*4_Normalizacion!P103</f>
        <v>0.00135841219936972</v>
      </c>
      <c r="Q105" s="21" t="n">
        <f aca="false">Q$5*4_Normalizacion!Q103</f>
        <v>0.00285926571798898</v>
      </c>
    </row>
    <row r="106" customFormat="false" ht="15" hidden="false" customHeight="false" outlineLevel="0" collapsed="false">
      <c r="A106" s="15" t="n">
        <f aca="false">4_Normalizacion!A104</f>
        <v>99</v>
      </c>
      <c r="B106" s="16" t="n">
        <f aca="false">4_Normalizacion!B104</f>
        <v>10.141</v>
      </c>
      <c r="C106" s="21" t="n">
        <f aca="false">C$5*4_Normalizacion!C104</f>
        <v>0.00211491006743141</v>
      </c>
      <c r="D106" s="21" t="n">
        <f aca="false">D$5*4_Normalizacion!D104</f>
        <v>0.00016434498190068</v>
      </c>
      <c r="E106" s="21" t="n">
        <f aca="false">E$5*4_Normalizacion!E104</f>
        <v>0.000928469526824133</v>
      </c>
      <c r="F106" s="21" t="n">
        <f aca="false">F$5*4_Normalizacion!F104</f>
        <v>0.00121052804556228</v>
      </c>
      <c r="G106" s="21" t="n">
        <f aca="false">G$5*4_Normalizacion!G104</f>
        <v>0.000210254463455421</v>
      </c>
      <c r="H106" s="21" t="n">
        <f aca="false">H$5*4_Normalizacion!H104</f>
        <v>0.00848772946915379</v>
      </c>
      <c r="I106" s="21" t="n">
        <f aca="false">I$5*4_Normalizacion!I104</f>
        <v>0.00281086825420146</v>
      </c>
      <c r="J106" s="21" t="n">
        <f aca="false">J$5*4_Normalizacion!J104</f>
        <v>0.000340756055204318</v>
      </c>
      <c r="K106" s="21" t="n">
        <f aca="false">K$5*4_Normalizacion!K104</f>
        <v>3.90133374367575E-005</v>
      </c>
      <c r="L106" s="21" t="n">
        <f aca="false">L$5*4_Normalizacion!L104</f>
        <v>0.000757090974187042</v>
      </c>
      <c r="M106" s="21" t="n">
        <f aca="false">M$5*4_Normalizacion!M104</f>
        <v>0.000803926534280391</v>
      </c>
      <c r="N106" s="21" t="n">
        <f aca="false">N$5*4_Normalizacion!N104</f>
        <v>0.00151979606525836</v>
      </c>
      <c r="O106" s="21" t="n">
        <f aca="false">O$5*4_Normalizacion!O104</f>
        <v>0.00200587264654955</v>
      </c>
      <c r="P106" s="21" t="n">
        <f aca="false">P$5*4_Normalizacion!P104</f>
        <v>0.00135841219936972</v>
      </c>
      <c r="Q106" s="21" t="n">
        <f aca="false">Q$5*4_Normalizacion!Q104</f>
        <v>0.00285926571798898</v>
      </c>
    </row>
    <row r="107" customFormat="false" ht="15" hidden="false" customHeight="false" outlineLevel="0" collapsed="false">
      <c r="A107" s="15" t="n">
        <f aca="false">4_Normalizacion!A105</f>
        <v>100</v>
      </c>
      <c r="B107" s="16" t="n">
        <f aca="false">4_Normalizacion!B105</f>
        <v>10.243</v>
      </c>
      <c r="C107" s="21" t="n">
        <f aca="false">C$5*4_Normalizacion!C105</f>
        <v>0.00211491006743141</v>
      </c>
      <c r="D107" s="21" t="n">
        <f aca="false">D$5*4_Normalizacion!D105</f>
        <v>0.00016434498190068</v>
      </c>
      <c r="E107" s="21" t="n">
        <f aca="false">E$5*4_Normalizacion!E105</f>
        <v>0.000464234763412067</v>
      </c>
      <c r="F107" s="21" t="n">
        <f aca="false">F$5*4_Normalizacion!F105</f>
        <v>0.00121052804556228</v>
      </c>
      <c r="G107" s="21" t="n">
        <f aca="false">G$5*4_Normalizacion!G105</f>
        <v>0.000210254463455421</v>
      </c>
      <c r="H107" s="21" t="n">
        <f aca="false">H$5*4_Normalizacion!H105</f>
        <v>0.00848772946915379</v>
      </c>
      <c r="I107" s="21" t="n">
        <f aca="false">I$5*4_Normalizacion!I105</f>
        <v>0.00281086825420146</v>
      </c>
      <c r="J107" s="21" t="n">
        <f aca="false">J$5*4_Normalizacion!J105</f>
        <v>0.000340756055204318</v>
      </c>
      <c r="K107" s="21" t="n">
        <f aca="false">K$5*4_Normalizacion!K105</f>
        <v>3.90133374367575E-005</v>
      </c>
      <c r="L107" s="21" t="n">
        <f aca="false">L$5*4_Normalizacion!L105</f>
        <v>0.000860376232917195</v>
      </c>
      <c r="M107" s="21" t="n">
        <f aca="false">M$5*4_Normalizacion!M105</f>
        <v>0.000753939324286595</v>
      </c>
      <c r="N107" s="21" t="n">
        <f aca="false">N$5*4_Normalizacion!N105</f>
        <v>0.00151979606525836</v>
      </c>
      <c r="O107" s="21" t="n">
        <f aca="false">O$5*4_Normalizacion!O105</f>
        <v>0.00200587264654955</v>
      </c>
      <c r="P107" s="21" t="n">
        <f aca="false">P$5*4_Normalizacion!P105</f>
        <v>0.00135841219936972</v>
      </c>
      <c r="Q107" s="21" t="n">
        <f aca="false">Q$5*4_Normalizacion!Q105</f>
        <v>0.00285926571798898</v>
      </c>
    </row>
    <row r="108" customFormat="false" ht="15" hidden="false" customHeight="false" outlineLevel="0" collapsed="false">
      <c r="A108" s="15" t="n">
        <f aca="false">4_Normalizacion!A106</f>
        <v>101</v>
      </c>
      <c r="B108" s="16" t="n">
        <f aca="false">4_Normalizacion!B106</f>
        <v>10.346</v>
      </c>
      <c r="C108" s="21" t="n">
        <f aca="false">C$5*4_Normalizacion!C106</f>
        <v>0.00211491006743141</v>
      </c>
      <c r="D108" s="21" t="n">
        <f aca="false">D$5*4_Normalizacion!D106</f>
        <v>0.00016434498190068</v>
      </c>
      <c r="E108" s="21" t="n">
        <f aca="false">E$5*4_Normalizacion!E106</f>
        <v>0.000464234763412067</v>
      </c>
      <c r="F108" s="21" t="n">
        <f aca="false">F$5*4_Normalizacion!F106</f>
        <v>0.00121052804556228</v>
      </c>
      <c r="G108" s="21" t="n">
        <f aca="false">G$5*4_Normalizacion!G106</f>
        <v>0.000210254463455421</v>
      </c>
      <c r="H108" s="21" t="n">
        <f aca="false">H$5*4_Normalizacion!H106</f>
        <v>0.00848772946915379</v>
      </c>
      <c r="I108" s="21" t="n">
        <f aca="false">I$5*4_Normalizacion!I106</f>
        <v>0.00281086825420146</v>
      </c>
      <c r="J108" s="21" t="n">
        <f aca="false">J$5*4_Normalizacion!J106</f>
        <v>0.000340756055204318</v>
      </c>
      <c r="K108" s="21" t="n">
        <f aca="false">K$5*4_Normalizacion!K106</f>
        <v>3.90133374367575E-005</v>
      </c>
      <c r="L108" s="21" t="n">
        <f aca="false">L$5*4_Normalizacion!L106</f>
        <v>0.000931572867575844</v>
      </c>
      <c r="M108" s="21" t="n">
        <f aca="false">M$5*4_Normalizacion!M106</f>
        <v>0.000778519811845528</v>
      </c>
      <c r="N108" s="21" t="n">
        <f aca="false">N$5*4_Normalizacion!N106</f>
        <v>0.00151979606525836</v>
      </c>
      <c r="O108" s="21" t="n">
        <f aca="false">O$5*4_Normalizacion!O106</f>
        <v>0.00200587264654955</v>
      </c>
      <c r="P108" s="21" t="n">
        <f aca="false">P$5*4_Normalizacion!P106</f>
        <v>0.00135841219936972</v>
      </c>
      <c r="Q108" s="21" t="n">
        <f aca="false">Q$5*4_Normalizacion!Q106</f>
        <v>0.00285926571798898</v>
      </c>
    </row>
    <row r="109" customFormat="false" ht="15" hidden="false" customHeight="false" outlineLevel="0" collapsed="false">
      <c r="A109" s="15" t="n">
        <f aca="false">4_Normalizacion!A107</f>
        <v>102</v>
      </c>
      <c r="B109" s="16" t="n">
        <f aca="false">4_Normalizacion!B107</f>
        <v>10.447</v>
      </c>
      <c r="C109" s="21" t="n">
        <f aca="false">C$5*4_Normalizacion!C107</f>
        <v>0.00211491006743141</v>
      </c>
      <c r="D109" s="21" t="n">
        <f aca="false">D$5*4_Normalizacion!D107</f>
        <v>0.00016434498190068</v>
      </c>
      <c r="E109" s="21" t="n">
        <f aca="false">E$5*4_Normalizacion!E107</f>
        <v>0.000928469526824133</v>
      </c>
      <c r="F109" s="21" t="n">
        <f aca="false">F$5*4_Normalizacion!F107</f>
        <v>0.00161403739408304</v>
      </c>
      <c r="G109" s="21" t="n">
        <f aca="false">G$5*4_Normalizacion!G107</f>
        <v>0.000210254463455421</v>
      </c>
      <c r="H109" s="21" t="n">
        <f aca="false">H$5*4_Normalizacion!H107</f>
        <v>0.00848772946915379</v>
      </c>
      <c r="I109" s="21" t="n">
        <f aca="false">I$5*4_Normalizacion!I107</f>
        <v>0.00281086825420146</v>
      </c>
      <c r="J109" s="21" t="n">
        <f aca="false">J$5*4_Normalizacion!J107</f>
        <v>0.000340756055204318</v>
      </c>
      <c r="K109" s="21" t="n">
        <f aca="false">K$5*4_Normalizacion!K107</f>
        <v>3.90133374367575E-005</v>
      </c>
      <c r="L109" s="21" t="n">
        <f aca="false">L$5*4_Normalizacion!L107</f>
        <v>0.00101079165825237</v>
      </c>
      <c r="M109" s="21" t="n">
        <f aca="false">M$5*4_Normalizacion!M107</f>
        <v>0.000786575601885851</v>
      </c>
      <c r="N109" s="21" t="n">
        <f aca="false">N$5*4_Normalizacion!N107</f>
        <v>0.00151979606525836</v>
      </c>
      <c r="O109" s="21" t="n">
        <f aca="false">O$5*4_Normalizacion!O107</f>
        <v>0.00200587264654955</v>
      </c>
      <c r="P109" s="21" t="n">
        <f aca="false">P$5*4_Normalizacion!P107</f>
        <v>0.00135841219936972</v>
      </c>
      <c r="Q109" s="21" t="n">
        <f aca="false">Q$5*4_Normalizacion!Q107</f>
        <v>0.00285926571798898</v>
      </c>
    </row>
    <row r="110" customFormat="false" ht="15" hidden="false" customHeight="false" outlineLevel="0" collapsed="false">
      <c r="A110" s="15" t="n">
        <f aca="false">4_Normalizacion!A108</f>
        <v>103</v>
      </c>
      <c r="B110" s="16" t="n">
        <f aca="false">4_Normalizacion!B108</f>
        <v>10.548</v>
      </c>
      <c r="C110" s="21" t="n">
        <f aca="false">C$5*4_Normalizacion!C108</f>
        <v>0.00211491006743141</v>
      </c>
      <c r="D110" s="21" t="n">
        <f aca="false">D$5*4_Normalizacion!D108</f>
        <v>0.00016434498190068</v>
      </c>
      <c r="E110" s="21" t="n">
        <f aca="false">E$5*4_Normalizacion!E108</f>
        <v>0.000928469526824133</v>
      </c>
      <c r="F110" s="21" t="n">
        <f aca="false">F$5*4_Normalizacion!F108</f>
        <v>0.00161403739408304</v>
      </c>
      <c r="G110" s="21" t="n">
        <f aca="false">G$5*4_Normalizacion!G108</f>
        <v>0.000210254463455421</v>
      </c>
      <c r="H110" s="21" t="n">
        <f aca="false">H$5*4_Normalizacion!H108</f>
        <v>0.00848772946915379</v>
      </c>
      <c r="I110" s="21" t="n">
        <f aca="false">I$5*4_Normalizacion!I108</f>
        <v>0.00281086825420146</v>
      </c>
      <c r="J110" s="21" t="n">
        <f aca="false">J$5*4_Normalizacion!J108</f>
        <v>0.000340756055204318</v>
      </c>
      <c r="K110" s="21" t="n">
        <f aca="false">K$5*4_Normalizacion!K108</f>
        <v>3.90133374367575E-005</v>
      </c>
      <c r="L110" s="21" t="n">
        <f aca="false">L$5*4_Normalizacion!L108</f>
        <v>0.00110154229820459</v>
      </c>
      <c r="M110" s="21" t="n">
        <f aca="false">M$5*4_Normalizacion!M108</f>
        <v>0.000771909932838084</v>
      </c>
      <c r="N110" s="21" t="n">
        <f aca="false">N$5*4_Normalizacion!N108</f>
        <v>0.00151979606525836</v>
      </c>
      <c r="O110" s="21" t="n">
        <f aca="false">O$5*4_Normalizacion!O108</f>
        <v>0.00200587264654955</v>
      </c>
      <c r="P110" s="21" t="n">
        <f aca="false">P$5*4_Normalizacion!P108</f>
        <v>0.00135841219936972</v>
      </c>
      <c r="Q110" s="21" t="n">
        <f aca="false">Q$5*4_Normalizacion!Q108</f>
        <v>0.00285926571798898</v>
      </c>
    </row>
    <row r="111" customFormat="false" ht="15" hidden="false" customHeight="false" outlineLevel="0" collapsed="false">
      <c r="A111" s="15" t="n">
        <f aca="false">4_Normalizacion!A109</f>
        <v>104</v>
      </c>
      <c r="B111" s="16" t="n">
        <f aca="false">4_Normalizacion!B109</f>
        <v>10.648</v>
      </c>
      <c r="C111" s="21" t="n">
        <f aca="false">C$5*4_Normalizacion!C109</f>
        <v>0.00211491006743141</v>
      </c>
      <c r="D111" s="21" t="n">
        <f aca="false">D$5*4_Normalizacion!D109</f>
        <v>0.00016434498190068</v>
      </c>
      <c r="E111" s="21" t="n">
        <f aca="false">E$5*4_Normalizacion!E109</f>
        <v>0.00185693905364827</v>
      </c>
      <c r="F111" s="21" t="n">
        <f aca="false">F$5*4_Normalizacion!F109</f>
        <v>0.00121052804556228</v>
      </c>
      <c r="G111" s="21" t="n">
        <f aca="false">G$5*4_Normalizacion!G109</f>
        <v>0.000210254463455421</v>
      </c>
      <c r="H111" s="21" t="n">
        <f aca="false">H$5*4_Normalizacion!H109</f>
        <v>0.00848772946915379</v>
      </c>
      <c r="I111" s="21" t="n">
        <f aca="false">I$5*4_Normalizacion!I109</f>
        <v>0.00281086825420146</v>
      </c>
      <c r="J111" s="21" t="n">
        <f aca="false">J$5*4_Normalizacion!J109</f>
        <v>0.000340756055204318</v>
      </c>
      <c r="K111" s="21" t="n">
        <f aca="false">K$5*4_Normalizacion!K109</f>
        <v>3.90133374367575E-005</v>
      </c>
      <c r="L111" s="21" t="n">
        <f aca="false">L$5*4_Normalizacion!L109</f>
        <v>0.00124293279801965</v>
      </c>
      <c r="M111" s="21" t="n">
        <f aca="false">M$5*4_Normalizacion!M109</f>
        <v>0.000699614381194164</v>
      </c>
      <c r="N111" s="21" t="n">
        <f aca="false">N$5*4_Normalizacion!N109</f>
        <v>0.00151979606525836</v>
      </c>
      <c r="O111" s="21" t="n">
        <f aca="false">O$5*4_Normalizacion!O109</f>
        <v>0.00200587264654955</v>
      </c>
      <c r="P111" s="21" t="n">
        <f aca="false">P$5*4_Normalizacion!P109</f>
        <v>0.00135841219936972</v>
      </c>
      <c r="Q111" s="21" t="n">
        <f aca="false">Q$5*4_Normalizacion!Q109</f>
        <v>0.00285926571798898</v>
      </c>
    </row>
    <row r="112" customFormat="false" ht="15" hidden="false" customHeight="false" outlineLevel="0" collapsed="false">
      <c r="A112" s="15" t="n">
        <f aca="false">4_Normalizacion!A110</f>
        <v>105</v>
      </c>
      <c r="B112" s="16" t="n">
        <f aca="false">4_Normalizacion!B110</f>
        <v>10.748</v>
      </c>
      <c r="C112" s="21" t="n">
        <f aca="false">C$5*4_Normalizacion!C110</f>
        <v>0.00211491006743141</v>
      </c>
      <c r="D112" s="21" t="n">
        <f aca="false">D$5*4_Normalizacion!D110</f>
        <v>0.00016434498190068</v>
      </c>
      <c r="E112" s="21" t="n">
        <f aca="false">E$5*4_Normalizacion!E110</f>
        <v>0.0013927042902362</v>
      </c>
      <c r="F112" s="21" t="n">
        <f aca="false">F$5*4_Normalizacion!F110</f>
        <v>0.00121052804556228</v>
      </c>
      <c r="G112" s="21" t="n">
        <f aca="false">G$5*4_Normalizacion!G110</f>
        <v>0.000210254463455421</v>
      </c>
      <c r="H112" s="21" t="n">
        <f aca="false">H$5*4_Normalizacion!H110</f>
        <v>0.00848772946915379</v>
      </c>
      <c r="I112" s="21" t="n">
        <f aca="false">I$5*4_Normalizacion!I110</f>
        <v>0.00281086825420146</v>
      </c>
      <c r="J112" s="21" t="n">
        <f aca="false">J$5*4_Normalizacion!J110</f>
        <v>0.000340756055204318</v>
      </c>
      <c r="K112" s="21" t="n">
        <f aca="false">K$5*4_Normalizacion!K110</f>
        <v>3.90133374367575E-005</v>
      </c>
      <c r="L112" s="21" t="n">
        <f aca="false">L$5*4_Normalizacion!L110</f>
        <v>0.00147858363104476</v>
      </c>
      <c r="M112" s="21" t="n">
        <f aca="false">M$5*4_Normalizacion!M110</f>
        <v>0.000610381014593668</v>
      </c>
      <c r="N112" s="21" t="n">
        <f aca="false">N$5*4_Normalizacion!N110</f>
        <v>0.00151979606525836</v>
      </c>
      <c r="O112" s="21" t="n">
        <f aca="false">O$5*4_Normalizacion!O110</f>
        <v>0.00200587264654955</v>
      </c>
      <c r="P112" s="21" t="n">
        <f aca="false">P$5*4_Normalizacion!P110</f>
        <v>0.00135841219936972</v>
      </c>
      <c r="Q112" s="21" t="n">
        <f aca="false">Q$5*4_Normalizacion!Q110</f>
        <v>0.00571853143597797</v>
      </c>
    </row>
    <row r="113" customFormat="false" ht="15" hidden="false" customHeight="false" outlineLevel="0" collapsed="false">
      <c r="A113" s="15" t="n">
        <f aca="false">4_Normalizacion!A111</f>
        <v>106</v>
      </c>
      <c r="B113" s="16" t="n">
        <f aca="false">4_Normalizacion!B111</f>
        <v>10.848</v>
      </c>
      <c r="C113" s="21" t="n">
        <f aca="false">C$5*4_Normalizacion!C111</f>
        <v>0.00211491006743141</v>
      </c>
      <c r="D113" s="21" t="n">
        <f aca="false">D$5*4_Normalizacion!D111</f>
        <v>0.00016434498190068</v>
      </c>
      <c r="E113" s="21" t="n">
        <f aca="false">E$5*4_Normalizacion!E111</f>
        <v>0.0013927042902362</v>
      </c>
      <c r="F113" s="21" t="n">
        <f aca="false">F$5*4_Normalizacion!F111</f>
        <v>0.00161403739408304</v>
      </c>
      <c r="G113" s="21" t="n">
        <f aca="false">G$5*4_Normalizacion!G111</f>
        <v>0.000210254463455421</v>
      </c>
      <c r="H113" s="21" t="n">
        <f aca="false">H$5*4_Normalizacion!H111</f>
        <v>0.00848772946915379</v>
      </c>
      <c r="I113" s="21" t="n">
        <f aca="false">I$5*4_Normalizacion!I111</f>
        <v>0.00281086825420146</v>
      </c>
      <c r="J113" s="21" t="n">
        <f aca="false">J$5*4_Normalizacion!J111</f>
        <v>0.000340756055204318</v>
      </c>
      <c r="K113" s="21" t="n">
        <f aca="false">K$5*4_Normalizacion!K111</f>
        <v>3.90133374367575E-005</v>
      </c>
      <c r="L113" s="21" t="n">
        <f aca="false">L$5*4_Normalizacion!L111</f>
        <v>0.00165807937194473</v>
      </c>
      <c r="M113" s="21" t="n">
        <f aca="false">M$5*4_Normalizacion!M111</f>
        <v>0.000565970890012403</v>
      </c>
      <c r="N113" s="21" t="n">
        <f aca="false">N$5*4_Normalizacion!N111</f>
        <v>0.00151979606525836</v>
      </c>
      <c r="O113" s="21" t="n">
        <f aca="false">O$5*4_Normalizacion!O111</f>
        <v>0.00200587264654955</v>
      </c>
      <c r="P113" s="21" t="n">
        <f aca="false">P$5*4_Normalizacion!P111</f>
        <v>0.00135841219936972</v>
      </c>
      <c r="Q113" s="21" t="n">
        <f aca="false">Q$5*4_Normalizacion!Q111</f>
        <v>0.00857779715396695</v>
      </c>
    </row>
    <row r="114" customFormat="false" ht="15" hidden="false" customHeight="false" outlineLevel="0" collapsed="false">
      <c r="A114" s="15" t="n">
        <f aca="false">4_Normalizacion!A112</f>
        <v>107</v>
      </c>
      <c r="B114" s="16" t="n">
        <f aca="false">4_Normalizacion!B112</f>
        <v>10.948</v>
      </c>
      <c r="C114" s="21" t="n">
        <f aca="false">C$5*4_Normalizacion!C112</f>
        <v>0.00211491006743141</v>
      </c>
      <c r="D114" s="21" t="n">
        <f aca="false">D$5*4_Normalizacion!D112</f>
        <v>0.00016434498190068</v>
      </c>
      <c r="E114" s="21" t="n">
        <f aca="false">E$5*4_Normalizacion!E112</f>
        <v>0.0013927042902362</v>
      </c>
      <c r="F114" s="21" t="n">
        <f aca="false">F$5*4_Normalizacion!F112</f>
        <v>0.00121052804556228</v>
      </c>
      <c r="G114" s="21" t="n">
        <f aca="false">G$5*4_Normalizacion!G112</f>
        <v>0.000210254463455421</v>
      </c>
      <c r="H114" s="21" t="n">
        <f aca="false">H$5*4_Normalizacion!H112</f>
        <v>0.00848772946915379</v>
      </c>
      <c r="I114" s="21" t="n">
        <f aca="false">I$5*4_Normalizacion!I112</f>
        <v>0.00281086825420146</v>
      </c>
      <c r="J114" s="21" t="n">
        <f aca="false">J$5*4_Normalizacion!J112</f>
        <v>0.000340756055204318</v>
      </c>
      <c r="K114" s="21" t="n">
        <f aca="false">K$5*4_Normalizacion!K112</f>
        <v>3.90133374367575E-005</v>
      </c>
      <c r="L114" s="21" t="n">
        <f aca="false">L$5*4_Normalizacion!L112</f>
        <v>0.00155128441995676</v>
      </c>
      <c r="M114" s="21" t="n">
        <f aca="false">M$5*4_Normalizacion!M112</f>
        <v>0.000568243035921212</v>
      </c>
      <c r="N114" s="21" t="n">
        <f aca="false">N$5*4_Normalizacion!N112</f>
        <v>0.00151979606525836</v>
      </c>
      <c r="O114" s="21" t="n">
        <f aca="false">O$5*4_Normalizacion!O112</f>
        <v>0.00200587264654955</v>
      </c>
      <c r="P114" s="21" t="n">
        <f aca="false">P$5*4_Normalizacion!P112</f>
        <v>0.00135841219936972</v>
      </c>
      <c r="Q114" s="21" t="n">
        <f aca="false">Q$5*4_Normalizacion!Q112</f>
        <v>0.00571853143597797</v>
      </c>
    </row>
    <row r="115" customFormat="false" ht="15" hidden="false" customHeight="false" outlineLevel="0" collapsed="false">
      <c r="A115" s="15" t="n">
        <f aca="false">4_Normalizacion!A113</f>
        <v>108</v>
      </c>
      <c r="B115" s="16" t="n">
        <f aca="false">4_Normalizacion!B113</f>
        <v>11.049</v>
      </c>
      <c r="C115" s="21" t="n">
        <f aca="false">C$5*4_Normalizacion!C113</f>
        <v>0.00211491006743141</v>
      </c>
      <c r="D115" s="21" t="n">
        <f aca="false">D$5*4_Normalizacion!D113</f>
        <v>0.00016434498190068</v>
      </c>
      <c r="E115" s="21" t="n">
        <f aca="false">E$5*4_Normalizacion!E113</f>
        <v>0.0013927042902362</v>
      </c>
      <c r="F115" s="21" t="n">
        <f aca="false">F$5*4_Normalizacion!F113</f>
        <v>0.00161403739408304</v>
      </c>
      <c r="G115" s="21" t="n">
        <f aca="false">G$5*4_Normalizacion!G113</f>
        <v>0.000210254463455421</v>
      </c>
      <c r="H115" s="21" t="n">
        <f aca="false">H$5*4_Normalizacion!H113</f>
        <v>0.00848772946915379</v>
      </c>
      <c r="I115" s="21" t="n">
        <f aca="false">I$5*4_Normalizacion!I113</f>
        <v>0.00281086825420146</v>
      </c>
      <c r="J115" s="21" t="n">
        <f aca="false">J$5*4_Normalizacion!J113</f>
        <v>0.000340756055204318</v>
      </c>
      <c r="K115" s="21" t="n">
        <f aca="false">K$5*4_Normalizacion!K113</f>
        <v>3.90133374367575E-005</v>
      </c>
      <c r="L115" s="21" t="n">
        <f aca="false">L$5*4_Normalizacion!L113</f>
        <v>0.00108048413865767</v>
      </c>
      <c r="M115" s="21" t="n">
        <f aca="false">M$5*4_Normalizacion!M113</f>
        <v>0.00078967398267059</v>
      </c>
      <c r="N115" s="21" t="n">
        <f aca="false">N$5*4_Normalizacion!N113</f>
        <v>0.00151979606525836</v>
      </c>
      <c r="O115" s="21" t="n">
        <f aca="false">O$5*4_Normalizacion!O113</f>
        <v>0.00200587264654955</v>
      </c>
      <c r="P115" s="21" t="n">
        <f aca="false">P$5*4_Normalizacion!P113</f>
        <v>0.00135841219936972</v>
      </c>
      <c r="Q115" s="21" t="n">
        <f aca="false">Q$5*4_Normalizacion!Q113</f>
        <v>0.00285926571798898</v>
      </c>
    </row>
    <row r="116" customFormat="false" ht="15" hidden="false" customHeight="false" outlineLevel="0" collapsed="false">
      <c r="A116" s="15" t="n">
        <f aca="false">4_Normalizacion!A114</f>
        <v>109</v>
      </c>
      <c r="B116" s="16" t="n">
        <f aca="false">4_Normalizacion!B114</f>
        <v>11.15</v>
      </c>
      <c r="C116" s="21" t="n">
        <f aca="false">C$5*4_Normalizacion!C114</f>
        <v>0.00211491006743141</v>
      </c>
      <c r="D116" s="21" t="n">
        <f aca="false">D$5*4_Normalizacion!D114</f>
        <v>0.00016434498190068</v>
      </c>
      <c r="E116" s="21" t="n">
        <f aca="false">E$5*4_Normalizacion!E114</f>
        <v>0.0013927042902362</v>
      </c>
      <c r="F116" s="21" t="n">
        <f aca="false">F$5*4_Normalizacion!F114</f>
        <v>0.0020175467426038</v>
      </c>
      <c r="G116" s="21" t="n">
        <f aca="false">G$5*4_Normalizacion!G114</f>
        <v>0.000210254463455421</v>
      </c>
      <c r="H116" s="21" t="n">
        <f aca="false">H$5*4_Normalizacion!H114</f>
        <v>0.00848772946915379</v>
      </c>
      <c r="I116" s="21" t="n">
        <f aca="false">I$5*4_Normalizacion!I114</f>
        <v>0.00281086825420146</v>
      </c>
      <c r="J116" s="21" t="n">
        <f aca="false">J$5*4_Normalizacion!J114</f>
        <v>0.000340756055204318</v>
      </c>
      <c r="K116" s="21" t="n">
        <f aca="false">K$5*4_Normalizacion!K114</f>
        <v>3.90133374367575E-005</v>
      </c>
      <c r="L116" s="21" t="n">
        <f aca="false">L$5*4_Normalizacion!L114</f>
        <v>0.00107196059788867</v>
      </c>
      <c r="M116" s="21" t="n">
        <f aca="false">M$5*4_Normalizacion!M114</f>
        <v>0.000826234875930515</v>
      </c>
      <c r="N116" s="21" t="n">
        <f aca="false">N$5*4_Normalizacion!N114</f>
        <v>0.00151979606525836</v>
      </c>
      <c r="O116" s="21" t="n">
        <f aca="false">O$5*4_Normalizacion!O114</f>
        <v>0.00200587264654955</v>
      </c>
      <c r="P116" s="21" t="n">
        <f aca="false">P$5*4_Normalizacion!P114</f>
        <v>0.00135841219936972</v>
      </c>
      <c r="Q116" s="21" t="n">
        <f aca="false">Q$5*4_Normalizacion!Q114</f>
        <v>0.00285926571798898</v>
      </c>
    </row>
    <row r="117" customFormat="false" ht="15" hidden="false" customHeight="false" outlineLevel="0" collapsed="false">
      <c r="A117" s="15" t="n">
        <f aca="false">4_Normalizacion!A115</f>
        <v>110</v>
      </c>
      <c r="B117" s="16" t="n">
        <f aca="false">4_Normalizacion!B115</f>
        <v>11.253</v>
      </c>
      <c r="C117" s="21" t="n">
        <f aca="false">C$5*4_Normalizacion!C115</f>
        <v>0.00211491006743141</v>
      </c>
      <c r="D117" s="21" t="n">
        <f aca="false">D$5*4_Normalizacion!D115</f>
        <v>0.00016434498190068</v>
      </c>
      <c r="E117" s="21" t="n">
        <f aca="false">E$5*4_Normalizacion!E115</f>
        <v>0.0013927042902362</v>
      </c>
      <c r="F117" s="21" t="n">
        <f aca="false">F$5*4_Normalizacion!F115</f>
        <v>0.00161403739408304</v>
      </c>
      <c r="G117" s="21" t="n">
        <f aca="false">G$5*4_Normalizacion!G115</f>
        <v>0.000210254463455421</v>
      </c>
      <c r="H117" s="21" t="n">
        <f aca="false">H$5*4_Normalizacion!H115</f>
        <v>0.00679018357532303</v>
      </c>
      <c r="I117" s="21" t="n">
        <f aca="false">I$5*4_Normalizacion!I115</f>
        <v>0.00281086825420146</v>
      </c>
      <c r="J117" s="21" t="n">
        <f aca="false">J$5*4_Normalizacion!J115</f>
        <v>0.000340756055204318</v>
      </c>
      <c r="K117" s="21" t="n">
        <f aca="false">K$5*4_Normalizacion!K115</f>
        <v>3.90133374367575E-005</v>
      </c>
      <c r="L117" s="21" t="n">
        <f aca="false">L$5*4_Normalizacion!L115</f>
        <v>0.00107346475214203</v>
      </c>
      <c r="M117" s="21" t="n">
        <f aca="false">M$5*4_Normalizacion!M115</f>
        <v>0.000826234875930515</v>
      </c>
      <c r="N117" s="21" t="n">
        <f aca="false">N$5*4_Normalizacion!N115</f>
        <v>0.00151979606525836</v>
      </c>
      <c r="O117" s="21" t="n">
        <f aca="false">O$5*4_Normalizacion!O115</f>
        <v>0.00200587264654955</v>
      </c>
      <c r="P117" s="21" t="n">
        <f aca="false">P$5*4_Normalizacion!P115</f>
        <v>0.00135841219936972</v>
      </c>
      <c r="Q117" s="21" t="n">
        <f aca="false">Q$5*4_Normalizacion!Q115</f>
        <v>0.00285926571798898</v>
      </c>
    </row>
    <row r="118" customFormat="false" ht="15" hidden="false" customHeight="false" outlineLevel="0" collapsed="false">
      <c r="A118" s="15" t="n">
        <f aca="false">4_Normalizacion!A116</f>
        <v>111</v>
      </c>
      <c r="B118" s="16" t="n">
        <f aca="false">4_Normalizacion!B116</f>
        <v>11.356</v>
      </c>
      <c r="C118" s="21" t="n">
        <f aca="false">C$5*4_Normalizacion!C116</f>
        <v>0.00211491006743141</v>
      </c>
      <c r="D118" s="21" t="n">
        <f aca="false">D$5*4_Normalizacion!D116</f>
        <v>0.00016434498190068</v>
      </c>
      <c r="E118" s="21" t="n">
        <f aca="false">E$5*4_Normalizacion!E116</f>
        <v>0.0013927042902362</v>
      </c>
      <c r="F118" s="21" t="n">
        <f aca="false">F$5*4_Normalizacion!F116</f>
        <v>0.00161403739408304</v>
      </c>
      <c r="G118" s="21" t="n">
        <f aca="false">G$5*4_Normalizacion!G116</f>
        <v>0.000210254463455421</v>
      </c>
      <c r="H118" s="21" t="n">
        <f aca="false">H$5*4_Normalizacion!H116</f>
        <v>0.00679018357532303</v>
      </c>
      <c r="I118" s="21" t="n">
        <f aca="false">I$5*4_Normalizacion!I116</f>
        <v>0.00281086825420146</v>
      </c>
      <c r="J118" s="21" t="n">
        <f aca="false">J$5*4_Normalizacion!J116</f>
        <v>0.000340756055204318</v>
      </c>
      <c r="K118" s="21" t="n">
        <f aca="false">K$5*4_Normalizacion!K116</f>
        <v>3.90133374367575E-005</v>
      </c>
      <c r="L118" s="21" t="n">
        <f aca="false">L$5*4_Normalizacion!L116</f>
        <v>0.0011366392307828</v>
      </c>
      <c r="M118" s="21" t="n">
        <f aca="false">M$5*4_Normalizacion!M116</f>
        <v>0.000826234875930515</v>
      </c>
      <c r="N118" s="21" t="n">
        <f aca="false">N$5*4_Normalizacion!N116</f>
        <v>0.00151979606525836</v>
      </c>
      <c r="O118" s="21" t="n">
        <f aca="false">O$5*4_Normalizacion!O116</f>
        <v>0.00200587264654955</v>
      </c>
      <c r="P118" s="21" t="n">
        <f aca="false">P$5*4_Normalizacion!P116</f>
        <v>0.00135841219936972</v>
      </c>
      <c r="Q118" s="21" t="n">
        <f aca="false">Q$5*4_Normalizacion!Q116</f>
        <v>0.00285926571798898</v>
      </c>
    </row>
    <row r="119" customFormat="false" ht="15" hidden="false" customHeight="false" outlineLevel="0" collapsed="false">
      <c r="A119" s="15" t="n">
        <f aca="false">4_Normalizacion!A117</f>
        <v>112</v>
      </c>
      <c r="B119" s="16" t="n">
        <f aca="false">4_Normalizacion!B117</f>
        <v>11.459</v>
      </c>
      <c r="C119" s="21" t="n">
        <f aca="false">C$5*4_Normalizacion!C117</f>
        <v>0.00211491006743141</v>
      </c>
      <c r="D119" s="21" t="n">
        <f aca="false">D$5*4_Normalizacion!D117</f>
        <v>0.00016434498190068</v>
      </c>
      <c r="E119" s="21" t="n">
        <f aca="false">E$5*4_Normalizacion!E117</f>
        <v>0.0013927042902362</v>
      </c>
      <c r="F119" s="21" t="n">
        <f aca="false">F$5*4_Normalizacion!F117</f>
        <v>0.00161403739408304</v>
      </c>
      <c r="G119" s="21" t="n">
        <f aca="false">G$5*4_Normalizacion!G117</f>
        <v>0.000210254463455421</v>
      </c>
      <c r="H119" s="21" t="n">
        <f aca="false">H$5*4_Normalizacion!H117</f>
        <v>0.00679018357532303</v>
      </c>
      <c r="I119" s="21" t="n">
        <f aca="false">I$5*4_Normalizacion!I117</f>
        <v>0.00281086825420146</v>
      </c>
      <c r="J119" s="21" t="n">
        <f aca="false">J$5*4_Normalizacion!J117</f>
        <v>0.000340756055204318</v>
      </c>
      <c r="K119" s="21" t="n">
        <f aca="false">K$5*4_Normalizacion!K117</f>
        <v>3.90133374367575E-005</v>
      </c>
      <c r="L119" s="21" t="n">
        <f aca="false">L$5*4_Normalizacion!L117</f>
        <v>0.00115970292933419</v>
      </c>
      <c r="M119" s="21" t="n">
        <f aca="false">M$5*4_Normalizacion!M117</f>
        <v>0.000805992121470218</v>
      </c>
      <c r="N119" s="21" t="n">
        <f aca="false">N$5*4_Normalizacion!N117</f>
        <v>0.00151979606525836</v>
      </c>
      <c r="O119" s="21" t="n">
        <f aca="false">O$5*4_Normalizacion!O117</f>
        <v>0.00200587264654955</v>
      </c>
      <c r="P119" s="21" t="n">
        <f aca="false">P$5*4_Normalizacion!P117</f>
        <v>0.00135841219936972</v>
      </c>
      <c r="Q119" s="21" t="n">
        <f aca="false">Q$5*4_Normalizacion!Q117</f>
        <v>0.00285926571798898</v>
      </c>
    </row>
    <row r="120" customFormat="false" ht="15" hidden="false" customHeight="false" outlineLevel="0" collapsed="false">
      <c r="A120" s="15" t="n">
        <f aca="false">4_Normalizacion!A118</f>
        <v>113</v>
      </c>
      <c r="B120" s="16" t="n">
        <f aca="false">4_Normalizacion!B118</f>
        <v>11.562</v>
      </c>
      <c r="C120" s="21" t="n">
        <f aca="false">C$5*4_Normalizacion!C118</f>
        <v>0.00211491006743141</v>
      </c>
      <c r="D120" s="21" t="n">
        <f aca="false">D$5*4_Normalizacion!D118</f>
        <v>0.00016434498190068</v>
      </c>
      <c r="E120" s="21" t="n">
        <f aca="false">E$5*4_Normalizacion!E118</f>
        <v>0.0013927042902362</v>
      </c>
      <c r="F120" s="21" t="n">
        <f aca="false">F$5*4_Normalizacion!F118</f>
        <v>0.00161403739408304</v>
      </c>
      <c r="G120" s="21" t="n">
        <f aca="false">G$5*4_Normalizacion!G118</f>
        <v>0.000210254463455421</v>
      </c>
      <c r="H120" s="21" t="n">
        <f aca="false">H$5*4_Normalizacion!H118</f>
        <v>0.00679018357532303</v>
      </c>
      <c r="I120" s="21" t="n">
        <f aca="false">I$5*4_Normalizacion!I118</f>
        <v>0.00281086825420146</v>
      </c>
      <c r="J120" s="21" t="n">
        <f aca="false">J$5*4_Normalizacion!J118</f>
        <v>0.000340756055204318</v>
      </c>
      <c r="K120" s="21" t="n">
        <f aca="false">K$5*4_Normalizacion!K118</f>
        <v>3.90133374367575E-005</v>
      </c>
      <c r="L120" s="21" t="n">
        <f aca="false">L$5*4_Normalizacion!L118</f>
        <v>0.00101329858200796</v>
      </c>
      <c r="M120" s="21" t="n">
        <f aca="false">M$5*4_Normalizacion!M118</f>
        <v>0.000781205075192302</v>
      </c>
      <c r="N120" s="21" t="n">
        <f aca="false">N$5*4_Normalizacion!N118</f>
        <v>0.00151979606525836</v>
      </c>
      <c r="O120" s="21" t="n">
        <f aca="false">O$5*4_Normalizacion!O118</f>
        <v>0.00200587264654955</v>
      </c>
      <c r="P120" s="21" t="n">
        <f aca="false">P$5*4_Normalizacion!P118</f>
        <v>0.00135841219936972</v>
      </c>
      <c r="Q120" s="21" t="n">
        <f aca="false">Q$5*4_Normalizacion!Q118</f>
        <v>0.00285926571798898</v>
      </c>
    </row>
    <row r="121" customFormat="false" ht="15" hidden="false" customHeight="false" outlineLevel="0" collapsed="false">
      <c r="A121" s="15" t="n">
        <f aca="false">4_Normalizacion!A119</f>
        <v>114</v>
      </c>
      <c r="B121" s="16" t="n">
        <f aca="false">4_Normalizacion!B119</f>
        <v>11.665</v>
      </c>
      <c r="C121" s="21" t="n">
        <f aca="false">C$5*4_Normalizacion!C119</f>
        <v>0.00211491006743141</v>
      </c>
      <c r="D121" s="21" t="n">
        <f aca="false">D$5*4_Normalizacion!D119</f>
        <v>0.00020543122737585</v>
      </c>
      <c r="E121" s="21" t="n">
        <f aca="false">E$5*4_Normalizacion!E119</f>
        <v>0.000928469526824133</v>
      </c>
      <c r="F121" s="21" t="n">
        <f aca="false">F$5*4_Normalizacion!F119</f>
        <v>0.00161403739408304</v>
      </c>
      <c r="G121" s="21" t="n">
        <f aca="false">G$5*4_Normalizacion!G119</f>
        <v>0.000210254463455421</v>
      </c>
      <c r="H121" s="21" t="n">
        <f aca="false">H$5*4_Normalizacion!H119</f>
        <v>0.00679018357532303</v>
      </c>
      <c r="I121" s="21" t="n">
        <f aca="false">I$5*4_Normalizacion!I119</f>
        <v>0.00281086825420146</v>
      </c>
      <c r="J121" s="21" t="n">
        <f aca="false">J$5*4_Normalizacion!J119</f>
        <v>0.000340756055204318</v>
      </c>
      <c r="K121" s="21" t="n">
        <f aca="false">K$5*4_Normalizacion!K119</f>
        <v>3.90133374367575E-005</v>
      </c>
      <c r="L121" s="21" t="n">
        <f aca="false">L$5*4_Normalizacion!L119</f>
        <v>0.000976196110425279</v>
      </c>
      <c r="M121" s="21" t="n">
        <f aca="false">M$5*4_Normalizacion!M119</f>
        <v>0.000789260865232625</v>
      </c>
      <c r="N121" s="21" t="n">
        <f aca="false">N$5*4_Normalizacion!N119</f>
        <v>0.00151979606525836</v>
      </c>
      <c r="O121" s="21" t="n">
        <f aca="false">O$5*4_Normalizacion!O119</f>
        <v>0.00200587264654955</v>
      </c>
      <c r="P121" s="21" t="n">
        <f aca="false">P$5*4_Normalizacion!P119</f>
        <v>0.00135841219936972</v>
      </c>
      <c r="Q121" s="21" t="n">
        <f aca="false">Q$5*4_Normalizacion!Q119</f>
        <v>0.00285926571798898</v>
      </c>
    </row>
    <row r="122" customFormat="false" ht="15" hidden="false" customHeight="false" outlineLevel="0" collapsed="false">
      <c r="A122" s="15" t="n">
        <f aca="false">4_Normalizacion!A120</f>
        <v>115</v>
      </c>
      <c r="B122" s="16" t="n">
        <f aca="false">4_Normalizacion!B120</f>
        <v>11.767</v>
      </c>
      <c r="C122" s="21" t="n">
        <f aca="false">C$5*4_Normalizacion!C120</f>
        <v>0.00211491006743141</v>
      </c>
      <c r="D122" s="21" t="n">
        <f aca="false">D$5*4_Normalizacion!D120</f>
        <v>0.00016434498190068</v>
      </c>
      <c r="E122" s="21" t="n">
        <f aca="false">E$5*4_Normalizacion!E120</f>
        <v>0.000928469526824133</v>
      </c>
      <c r="F122" s="21" t="n">
        <f aca="false">F$5*4_Normalizacion!F120</f>
        <v>0.00161403739408304</v>
      </c>
      <c r="G122" s="21" t="n">
        <f aca="false">G$5*4_Normalizacion!G120</f>
        <v>0.000210254463455421</v>
      </c>
      <c r="H122" s="21" t="n">
        <f aca="false">H$5*4_Normalizacion!H120</f>
        <v>0.00679018357532303</v>
      </c>
      <c r="I122" s="21" t="n">
        <f aca="false">I$5*4_Normalizacion!I120</f>
        <v>0.00281086825420146</v>
      </c>
      <c r="J122" s="21" t="n">
        <f aca="false">J$5*4_Normalizacion!J120</f>
        <v>0.000340756055204318</v>
      </c>
      <c r="K122" s="21" t="n">
        <f aca="false">K$5*4_Normalizacion!K120</f>
        <v>3.90133374367575E-005</v>
      </c>
      <c r="L122" s="21" t="n">
        <f aca="false">L$5*4_Normalizacion!L120</f>
        <v>0.000982212727438686</v>
      </c>
      <c r="M122" s="21" t="n">
        <f aca="false">M$5*4_Normalizacion!M120</f>
        <v>0.000826234875930515</v>
      </c>
      <c r="N122" s="21" t="n">
        <f aca="false">N$5*4_Normalizacion!N120</f>
        <v>0.00151979606525836</v>
      </c>
      <c r="O122" s="21" t="n">
        <f aca="false">O$5*4_Normalizacion!O120</f>
        <v>0.00200587264654955</v>
      </c>
      <c r="P122" s="21" t="n">
        <f aca="false">P$5*4_Normalizacion!P120</f>
        <v>0.00135841219936972</v>
      </c>
      <c r="Q122" s="21" t="n">
        <f aca="false">Q$5*4_Normalizacion!Q120</f>
        <v>0.00285926571798898</v>
      </c>
    </row>
    <row r="123" customFormat="false" ht="15" hidden="false" customHeight="false" outlineLevel="0" collapsed="false">
      <c r="A123" s="15" t="n">
        <f aca="false">4_Normalizacion!A121</f>
        <v>116</v>
      </c>
      <c r="B123" s="16" t="n">
        <f aca="false">4_Normalizacion!B121</f>
        <v>11.868</v>
      </c>
      <c r="C123" s="21" t="n">
        <f aca="false">C$5*4_Normalizacion!C121</f>
        <v>0.00211491006743141</v>
      </c>
      <c r="D123" s="21" t="n">
        <f aca="false">D$5*4_Normalizacion!D121</f>
        <v>0.00016434498190068</v>
      </c>
      <c r="E123" s="21" t="n">
        <f aca="false">E$5*4_Normalizacion!E121</f>
        <v>0.000928469526824133</v>
      </c>
      <c r="F123" s="21" t="n">
        <f aca="false">F$5*4_Normalizacion!F121</f>
        <v>0.00161403739408304</v>
      </c>
      <c r="G123" s="21" t="n">
        <f aca="false">G$5*4_Normalizacion!G121</f>
        <v>0.000210254463455421</v>
      </c>
      <c r="H123" s="21" t="n">
        <f aca="false">H$5*4_Normalizacion!H121</f>
        <v>0.00679018357532303</v>
      </c>
      <c r="I123" s="21" t="n">
        <f aca="false">I$5*4_Normalizacion!I121</f>
        <v>0.00281086825420146</v>
      </c>
      <c r="J123" s="21" t="n">
        <f aca="false">J$5*4_Normalizacion!J121</f>
        <v>0.000340756055204318</v>
      </c>
      <c r="K123" s="21" t="n">
        <f aca="false">K$5*4_Normalizacion!K121</f>
        <v>3.90133374367575E-005</v>
      </c>
      <c r="L123" s="21" t="n">
        <f aca="false">L$5*4_Normalizacion!L121</f>
        <v>0.00112761430526269</v>
      </c>
      <c r="M123" s="21" t="n">
        <f aca="false">M$5*4_Normalizacion!M121</f>
        <v>0.000819005320766123</v>
      </c>
      <c r="N123" s="21" t="n">
        <f aca="false">N$5*4_Normalizacion!N121</f>
        <v>0.00151979606525836</v>
      </c>
      <c r="O123" s="21" t="n">
        <f aca="false">O$5*4_Normalizacion!O121</f>
        <v>0.00200587264654955</v>
      </c>
      <c r="P123" s="21" t="n">
        <f aca="false">P$5*4_Normalizacion!P121</f>
        <v>0.00135841219936972</v>
      </c>
      <c r="Q123" s="21" t="n">
        <f aca="false">Q$5*4_Normalizacion!Q121</f>
        <v>0.00285926571798898</v>
      </c>
    </row>
    <row r="124" customFormat="false" ht="15" hidden="false" customHeight="false" outlineLevel="0" collapsed="false">
      <c r="A124" s="15" t="n">
        <f aca="false">4_Normalizacion!A122</f>
        <v>117</v>
      </c>
      <c r="B124" s="16" t="n">
        <f aca="false">4_Normalizacion!B122</f>
        <v>11.968</v>
      </c>
      <c r="C124" s="21" t="n">
        <f aca="false">C$5*4_Normalizacion!C122</f>
        <v>0.00211491006743141</v>
      </c>
      <c r="D124" s="21" t="n">
        <f aca="false">D$5*4_Normalizacion!D122</f>
        <v>0.00016434498190068</v>
      </c>
      <c r="E124" s="21" t="n">
        <f aca="false">E$5*4_Normalizacion!E122</f>
        <v>0.0013927042902362</v>
      </c>
      <c r="F124" s="21" t="n">
        <f aca="false">F$5*4_Normalizacion!F122</f>
        <v>0.00121052804556228</v>
      </c>
      <c r="G124" s="21" t="n">
        <f aca="false">G$5*4_Normalizacion!G122</f>
        <v>0.000210254463455421</v>
      </c>
      <c r="H124" s="21" t="n">
        <f aca="false">H$5*4_Normalizacion!H122</f>
        <v>0.00679018357532303</v>
      </c>
      <c r="I124" s="21" t="n">
        <f aca="false">I$5*4_Normalizacion!I122</f>
        <v>0.00281086825420146</v>
      </c>
      <c r="J124" s="21" t="n">
        <f aca="false">J$5*4_Normalizacion!J122</f>
        <v>0.000340756055204318</v>
      </c>
      <c r="K124" s="21" t="n">
        <f aca="false">K$5*4_Normalizacion!K122</f>
        <v>3.90133374367575E-005</v>
      </c>
      <c r="L124" s="21" t="n">
        <f aca="false">L$5*4_Normalizacion!L122</f>
        <v>0.00132165020394506</v>
      </c>
      <c r="M124" s="21" t="n">
        <f aca="false">M$5*4_Normalizacion!M122</f>
        <v>0.000650246847357316</v>
      </c>
      <c r="N124" s="21" t="n">
        <f aca="false">N$5*4_Normalizacion!N122</f>
        <v>0.00151979606525836</v>
      </c>
      <c r="O124" s="21" t="n">
        <f aca="false">O$5*4_Normalizacion!O122</f>
        <v>0.00200587264654955</v>
      </c>
      <c r="P124" s="21" t="n">
        <f aca="false">P$5*4_Normalizacion!P122</f>
        <v>0.00135841219936972</v>
      </c>
      <c r="Q124" s="21" t="n">
        <f aca="false">Q$5*4_Normalizacion!Q122</f>
        <v>0.00571853143597797</v>
      </c>
    </row>
    <row r="125" customFormat="false" ht="15" hidden="false" customHeight="false" outlineLevel="0" collapsed="false">
      <c r="A125" s="15" t="n">
        <f aca="false">4_Normalizacion!A123</f>
        <v>118</v>
      </c>
      <c r="B125" s="16" t="n">
        <f aca="false">4_Normalizacion!B123</f>
        <v>12.067</v>
      </c>
      <c r="C125" s="21" t="n">
        <f aca="false">C$5*4_Normalizacion!C123</f>
        <v>0.00211491006743141</v>
      </c>
      <c r="D125" s="21" t="n">
        <f aca="false">D$5*4_Normalizacion!D123</f>
        <v>0.00016434498190068</v>
      </c>
      <c r="E125" s="21" t="n">
        <f aca="false">E$5*4_Normalizacion!E123</f>
        <v>0.0013927042902362</v>
      </c>
      <c r="F125" s="21" t="n">
        <f aca="false">F$5*4_Normalizacion!F123</f>
        <v>0.00121052804556228</v>
      </c>
      <c r="G125" s="21" t="n">
        <f aca="false">G$5*4_Normalizacion!G123</f>
        <v>0.000210254463455421</v>
      </c>
      <c r="H125" s="21" t="n">
        <f aca="false">H$5*4_Normalizacion!H123</f>
        <v>0.00679018357532303</v>
      </c>
      <c r="I125" s="21" t="n">
        <f aca="false">I$5*4_Normalizacion!I123</f>
        <v>0.00281086825420146</v>
      </c>
      <c r="J125" s="21" t="n">
        <f aca="false">J$5*4_Normalizacion!J123</f>
        <v>0.000340756055204318</v>
      </c>
      <c r="K125" s="21" t="n">
        <f aca="false">K$5*4_Normalizacion!K123</f>
        <v>3.90133374367575E-005</v>
      </c>
      <c r="L125" s="21" t="n">
        <f aca="false">L$5*4_Normalizacion!L123</f>
        <v>0.00171423446406987</v>
      </c>
      <c r="M125" s="21" t="n">
        <f aca="false">M$5*4_Normalizacion!M123</f>
        <v>0.000528583761876547</v>
      </c>
      <c r="N125" s="21" t="n">
        <f aca="false">N$5*4_Normalizacion!N123</f>
        <v>0.00151979606525836</v>
      </c>
      <c r="O125" s="21" t="n">
        <f aca="false">O$5*4_Normalizacion!O123</f>
        <v>0.00200587264654955</v>
      </c>
      <c r="P125" s="21" t="n">
        <f aca="false">P$5*4_Normalizacion!P123</f>
        <v>0.00135841219936972</v>
      </c>
      <c r="Q125" s="21" t="n">
        <f aca="false">Q$5*4_Normalizacion!Q123</f>
        <v>0.00857779715396695</v>
      </c>
    </row>
    <row r="126" customFormat="false" ht="15" hidden="false" customHeight="false" outlineLevel="0" collapsed="false">
      <c r="A126" s="15" t="n">
        <f aca="false">4_Normalizacion!A124</f>
        <v>119</v>
      </c>
      <c r="B126" s="16" t="n">
        <f aca="false">4_Normalizacion!B124</f>
        <v>12.164</v>
      </c>
      <c r="C126" s="21" t="n">
        <f aca="false">C$5*4_Normalizacion!C124</f>
        <v>0.00211491006743141</v>
      </c>
      <c r="D126" s="21" t="n">
        <f aca="false">D$5*4_Normalizacion!D124</f>
        <v>0.00016434498190068</v>
      </c>
      <c r="E126" s="21" t="n">
        <f aca="false">E$5*4_Normalizacion!E124</f>
        <v>0.000928469526824133</v>
      </c>
      <c r="F126" s="21" t="n">
        <f aca="false">F$5*4_Normalizacion!F124</f>
        <v>0.00161403739408304</v>
      </c>
      <c r="G126" s="21" t="n">
        <f aca="false">G$5*4_Normalizacion!G124</f>
        <v>0.000210254463455421</v>
      </c>
      <c r="H126" s="21" t="n">
        <f aca="false">H$5*4_Normalizacion!H124</f>
        <v>0.00679018357532303</v>
      </c>
      <c r="I126" s="21" t="n">
        <f aca="false">I$5*4_Normalizacion!I124</f>
        <v>0.00281086825420146</v>
      </c>
      <c r="J126" s="21" t="n">
        <f aca="false">J$5*4_Normalizacion!J124</f>
        <v>0.000340756055204318</v>
      </c>
      <c r="K126" s="21" t="n">
        <f aca="false">K$5*4_Normalizacion!K124</f>
        <v>3.90133374367575E-005</v>
      </c>
      <c r="L126" s="21" t="n">
        <f aca="false">L$5*4_Normalizacion!L124</f>
        <v>0.00180398233451985</v>
      </c>
      <c r="M126" s="21" t="n">
        <f aca="false">M$5*4_Normalizacion!M124</f>
        <v>0.000498632747624066</v>
      </c>
      <c r="N126" s="21" t="n">
        <f aca="false">N$5*4_Normalizacion!N124</f>
        <v>0.00151979606525836</v>
      </c>
      <c r="O126" s="21" t="n">
        <f aca="false">O$5*4_Normalizacion!O124</f>
        <v>0.00200587264654955</v>
      </c>
      <c r="P126" s="21" t="n">
        <f aca="false">P$5*4_Normalizacion!P124</f>
        <v>0.00135841219936972</v>
      </c>
      <c r="Q126" s="21" t="n">
        <f aca="false">Q$5*4_Normalizacion!Q124</f>
        <v>0.00857779715396695</v>
      </c>
    </row>
    <row r="127" customFormat="false" ht="15" hidden="false" customHeight="false" outlineLevel="0" collapsed="false">
      <c r="A127" s="15" t="n">
        <f aca="false">4_Normalizacion!A125</f>
        <v>120</v>
      </c>
      <c r="B127" s="16" t="n">
        <f aca="false">4_Normalizacion!B125</f>
        <v>12.261</v>
      </c>
      <c r="C127" s="21" t="n">
        <f aca="false">C$5*4_Normalizacion!C125</f>
        <v>0.00211491006743141</v>
      </c>
      <c r="D127" s="21" t="n">
        <f aca="false">D$5*4_Normalizacion!D125</f>
        <v>0.00016434498190068</v>
      </c>
      <c r="E127" s="21" t="n">
        <f aca="false">E$5*4_Normalizacion!E125</f>
        <v>0.000928469526824133</v>
      </c>
      <c r="F127" s="21" t="n">
        <f aca="false">F$5*4_Normalizacion!F125</f>
        <v>0.00161403739408304</v>
      </c>
      <c r="G127" s="21" t="n">
        <f aca="false">G$5*4_Normalizacion!G125</f>
        <v>0.000210254463455421</v>
      </c>
      <c r="H127" s="21" t="n">
        <f aca="false">H$5*4_Normalizacion!H125</f>
        <v>0.00679018357532303</v>
      </c>
      <c r="I127" s="21" t="n">
        <f aca="false">I$5*4_Normalizacion!I125</f>
        <v>0.00281086825420146</v>
      </c>
      <c r="J127" s="21" t="n">
        <f aca="false">J$5*4_Normalizacion!J125</f>
        <v>0.000340756055204318</v>
      </c>
      <c r="K127" s="21" t="n">
        <f aca="false">K$5*4_Normalizacion!K125</f>
        <v>3.90133374367575E-005</v>
      </c>
      <c r="L127" s="21" t="n">
        <f aca="false">L$5*4_Normalizacion!L125</f>
        <v>0.00188570804895196</v>
      </c>
      <c r="M127" s="21" t="n">
        <f aca="false">M$5*4_Normalizacion!M125</f>
        <v>0.000456907886389575</v>
      </c>
      <c r="N127" s="21" t="n">
        <f aca="false">N$5*4_Normalizacion!N125</f>
        <v>0.00151979606525836</v>
      </c>
      <c r="O127" s="21" t="n">
        <f aca="false">O$5*4_Normalizacion!O125</f>
        <v>0.00200587264654955</v>
      </c>
      <c r="P127" s="21" t="n">
        <f aca="false">P$5*4_Normalizacion!P125</f>
        <v>0.00135841219936972</v>
      </c>
      <c r="Q127" s="21" t="n">
        <f aca="false">Q$5*4_Normalizacion!Q125</f>
        <v>0.0114370628719559</v>
      </c>
    </row>
    <row r="128" customFormat="false" ht="15" hidden="false" customHeight="false" outlineLevel="0" collapsed="false">
      <c r="A128" s="15" t="n">
        <f aca="false">4_Normalizacion!A126</f>
        <v>121</v>
      </c>
      <c r="B128" s="16" t="n">
        <f aca="false">4_Normalizacion!B126</f>
        <v>12.357</v>
      </c>
      <c r="C128" s="21" t="n">
        <f aca="false">C$5*4_Normalizacion!C126</f>
        <v>0.00211491006743141</v>
      </c>
      <c r="D128" s="21" t="n">
        <f aca="false">D$5*4_Normalizacion!D126</f>
        <v>0.00016434498190068</v>
      </c>
      <c r="E128" s="21" t="n">
        <f aca="false">E$5*4_Normalizacion!E126</f>
        <v>0.000928469526824133</v>
      </c>
      <c r="F128" s="21" t="n">
        <f aca="false">F$5*4_Normalizacion!F126</f>
        <v>0.00161403739408304</v>
      </c>
      <c r="G128" s="21" t="n">
        <f aca="false">G$5*4_Normalizacion!G126</f>
        <v>0.000210254463455421</v>
      </c>
      <c r="H128" s="21" t="n">
        <f aca="false">H$5*4_Normalizacion!H126</f>
        <v>0.00679018357532303</v>
      </c>
      <c r="I128" s="21" t="n">
        <f aca="false">I$5*4_Normalizacion!I126</f>
        <v>0.00281086825420146</v>
      </c>
      <c r="J128" s="21" t="n">
        <f aca="false">J$5*4_Normalizacion!J126</f>
        <v>0.000340756055204318</v>
      </c>
      <c r="K128" s="21" t="n">
        <f aca="false">K$5*4_Normalizacion!K126</f>
        <v>3.90133374367575E-005</v>
      </c>
      <c r="L128" s="21" t="n">
        <f aca="false">L$5*4_Normalizacion!L126</f>
        <v>0.00193434236981034</v>
      </c>
      <c r="M128" s="21" t="n">
        <f aca="false">M$5*4_Normalizacion!M126</f>
        <v>0.00041724861234491</v>
      </c>
      <c r="N128" s="21" t="n">
        <f aca="false">N$5*4_Normalizacion!N126</f>
        <v>0.00151979606525836</v>
      </c>
      <c r="O128" s="21" t="n">
        <f aca="false">O$5*4_Normalizacion!O126</f>
        <v>0.00200587264654955</v>
      </c>
      <c r="P128" s="21" t="n">
        <f aca="false">P$5*4_Normalizacion!P126</f>
        <v>0.00135841219936972</v>
      </c>
      <c r="Q128" s="21" t="n">
        <f aca="false">Q$5*4_Normalizacion!Q126</f>
        <v>0.0142963285899449</v>
      </c>
    </row>
    <row r="129" customFormat="false" ht="15" hidden="false" customHeight="false" outlineLevel="0" collapsed="false">
      <c r="A129" s="15" t="n">
        <f aca="false">4_Normalizacion!A127</f>
        <v>122</v>
      </c>
      <c r="B129" s="16" t="n">
        <f aca="false">4_Normalizacion!B127</f>
        <v>12.451</v>
      </c>
      <c r="C129" s="21" t="n">
        <f aca="false">C$5*4_Normalizacion!C127</f>
        <v>0.00211491006743141</v>
      </c>
      <c r="D129" s="21" t="n">
        <f aca="false">D$5*4_Normalizacion!D127</f>
        <v>0.00016434498190068</v>
      </c>
      <c r="E129" s="21" t="n">
        <f aca="false">E$5*4_Normalizacion!E127</f>
        <v>0.000928469526824133</v>
      </c>
      <c r="F129" s="21" t="n">
        <f aca="false">F$5*4_Normalizacion!F127</f>
        <v>0.00161403739408304</v>
      </c>
      <c r="G129" s="21" t="n">
        <f aca="false">G$5*4_Normalizacion!G127</f>
        <v>0.000210254463455421</v>
      </c>
      <c r="H129" s="21" t="n">
        <f aca="false">H$5*4_Normalizacion!H127</f>
        <v>0.00679018357532303</v>
      </c>
      <c r="I129" s="21" t="n">
        <f aca="false">I$5*4_Normalizacion!I127</f>
        <v>0.00281086825420146</v>
      </c>
      <c r="J129" s="21" t="n">
        <f aca="false">J$5*4_Normalizacion!J127</f>
        <v>0.000340756055204318</v>
      </c>
      <c r="K129" s="21" t="n">
        <f aca="false">K$5*4_Normalizacion!K127</f>
        <v>3.90133374367575E-005</v>
      </c>
      <c r="L129" s="21" t="n">
        <f aca="false">L$5*4_Normalizacion!L127</f>
        <v>0.0017558493984126</v>
      </c>
      <c r="M129" s="21" t="n">
        <f aca="false">M$5*4_Normalizacion!M127</f>
        <v>0.000465996470024811</v>
      </c>
      <c r="N129" s="21" t="n">
        <f aca="false">N$5*4_Normalizacion!N127</f>
        <v>0.00151979606525836</v>
      </c>
      <c r="O129" s="21" t="n">
        <f aca="false">O$5*4_Normalizacion!O127</f>
        <v>0.00200587264654955</v>
      </c>
      <c r="P129" s="21" t="n">
        <f aca="false">P$5*4_Normalizacion!P127</f>
        <v>0.00135841219936972</v>
      </c>
      <c r="Q129" s="21" t="n">
        <f aca="false">Q$5*4_Normalizacion!Q127</f>
        <v>0.0114370628719559</v>
      </c>
    </row>
    <row r="130" customFormat="false" ht="15" hidden="false" customHeight="false" outlineLevel="0" collapsed="false">
      <c r="A130" s="15" t="n">
        <f aca="false">4_Normalizacion!A128</f>
        <v>123</v>
      </c>
      <c r="B130" s="16" t="n">
        <f aca="false">4_Normalizacion!B128</f>
        <v>12.546</v>
      </c>
      <c r="C130" s="21" t="n">
        <f aca="false">C$5*4_Normalizacion!C128</f>
        <v>0.00211491006743141</v>
      </c>
      <c r="D130" s="21" t="n">
        <f aca="false">D$5*4_Normalizacion!D128</f>
        <v>0.00016434498190068</v>
      </c>
      <c r="E130" s="21" t="n">
        <f aca="false">E$5*4_Normalizacion!E128</f>
        <v>0.0013927042902362</v>
      </c>
      <c r="F130" s="21" t="n">
        <f aca="false">F$5*4_Normalizacion!F128</f>
        <v>0.00161403739408304</v>
      </c>
      <c r="G130" s="21" t="n">
        <f aca="false">G$5*4_Normalizacion!G128</f>
        <v>0.000210254463455421</v>
      </c>
      <c r="H130" s="21" t="n">
        <f aca="false">H$5*4_Normalizacion!H128</f>
        <v>0.00679018357532303</v>
      </c>
      <c r="I130" s="21" t="n">
        <f aca="false">I$5*4_Normalizacion!I128</f>
        <v>0.00281086825420146</v>
      </c>
      <c r="J130" s="21" t="n">
        <f aca="false">J$5*4_Normalizacion!J128</f>
        <v>0.000340756055204318</v>
      </c>
      <c r="K130" s="21" t="n">
        <f aca="false">K$5*4_Normalizacion!K128</f>
        <v>3.90133374367575E-005</v>
      </c>
      <c r="L130" s="21" t="n">
        <f aca="false">L$5*4_Normalizacion!L128</f>
        <v>0.00149212101932493</v>
      </c>
      <c r="M130" s="21" t="n">
        <f aca="false">M$5*4_Normalizacion!M128</f>
        <v>0.000581875911374065</v>
      </c>
      <c r="N130" s="21" t="n">
        <f aca="false">N$5*4_Normalizacion!N128</f>
        <v>0.00151979606525836</v>
      </c>
      <c r="O130" s="21" t="n">
        <f aca="false">O$5*4_Normalizacion!O128</f>
        <v>0.00200587264654955</v>
      </c>
      <c r="P130" s="21" t="n">
        <f aca="false">P$5*4_Normalizacion!P128</f>
        <v>0.00135841219936972</v>
      </c>
      <c r="Q130" s="21" t="n">
        <f aca="false">Q$5*4_Normalizacion!Q128</f>
        <v>0.0142963285899449</v>
      </c>
    </row>
    <row r="131" customFormat="false" ht="15" hidden="false" customHeight="false" outlineLevel="0" collapsed="false">
      <c r="A131" s="15" t="n">
        <f aca="false">4_Normalizacion!A129</f>
        <v>124</v>
      </c>
      <c r="B131" s="16" t="n">
        <f aca="false">4_Normalizacion!B129</f>
        <v>12.64</v>
      </c>
      <c r="C131" s="21" t="n">
        <f aca="false">C$5*4_Normalizacion!C129</f>
        <v>0.00211491006743141</v>
      </c>
      <c r="D131" s="21" t="n">
        <f aca="false">D$5*4_Normalizacion!D129</f>
        <v>0.00016434498190068</v>
      </c>
      <c r="E131" s="21" t="n">
        <f aca="false">E$5*4_Normalizacion!E129</f>
        <v>0.0013927042902362</v>
      </c>
      <c r="F131" s="21" t="n">
        <f aca="false">F$5*4_Normalizacion!F129</f>
        <v>0.00161403739408304</v>
      </c>
      <c r="G131" s="21" t="n">
        <f aca="false">G$5*4_Normalizacion!G129</f>
        <v>0.000210254463455421</v>
      </c>
      <c r="H131" s="21" t="n">
        <f aca="false">H$5*4_Normalizacion!H129</f>
        <v>0.00679018357532303</v>
      </c>
      <c r="I131" s="21" t="n">
        <f aca="false">I$5*4_Normalizacion!I129</f>
        <v>0.00281086825420146</v>
      </c>
      <c r="J131" s="21" t="n">
        <f aca="false">J$5*4_Normalizacion!J129</f>
        <v>0.000340756055204318</v>
      </c>
      <c r="K131" s="21" t="n">
        <f aca="false">K$5*4_Normalizacion!K129</f>
        <v>3.90133374367575E-005</v>
      </c>
      <c r="L131" s="21" t="n">
        <f aca="false">L$5*4_Normalizacion!L129</f>
        <v>0.000882938546717471</v>
      </c>
      <c r="M131" s="21" t="n">
        <f aca="false">M$5*4_Normalizacion!M129</f>
        <v>0.000740099890114759</v>
      </c>
      <c r="N131" s="21" t="n">
        <f aca="false">N$5*4_Normalizacion!N129</f>
        <v>0.00151979606525836</v>
      </c>
      <c r="O131" s="21" t="n">
        <f aca="false">O$5*4_Normalizacion!O129</f>
        <v>0.00200587264654955</v>
      </c>
      <c r="P131" s="21" t="n">
        <f aca="false">P$5*4_Normalizacion!P129</f>
        <v>0.00135841219936972</v>
      </c>
      <c r="Q131" s="21" t="n">
        <f aca="false">Q$5*4_Normalizacion!Q129</f>
        <v>0.00285926571798898</v>
      </c>
    </row>
    <row r="132" customFormat="false" ht="15" hidden="false" customHeight="false" outlineLevel="0" collapsed="false">
      <c r="A132" s="15" t="n">
        <f aca="false">4_Normalizacion!A130</f>
        <v>125</v>
      </c>
      <c r="B132" s="16" t="n">
        <f aca="false">4_Normalizacion!B130</f>
        <v>12.736</v>
      </c>
      <c r="C132" s="21" t="n">
        <f aca="false">C$5*4_Normalizacion!C130</f>
        <v>0.00211491006743141</v>
      </c>
      <c r="D132" s="21" t="n">
        <f aca="false">D$5*4_Normalizacion!D130</f>
        <v>0.00016434498190068</v>
      </c>
      <c r="E132" s="21" t="n">
        <f aca="false">E$5*4_Normalizacion!E130</f>
        <v>0.00185693905364827</v>
      </c>
      <c r="F132" s="21" t="n">
        <f aca="false">F$5*4_Normalizacion!F130</f>
        <v>0.00161403739408304</v>
      </c>
      <c r="G132" s="21" t="n">
        <f aca="false">G$5*4_Normalizacion!G130</f>
        <v>0.000210254463455421</v>
      </c>
      <c r="H132" s="21" t="n">
        <f aca="false">H$5*4_Normalizacion!H130</f>
        <v>0.00679018357532303</v>
      </c>
      <c r="I132" s="21" t="n">
        <f aca="false">I$5*4_Normalizacion!I130</f>
        <v>0.00281086825420146</v>
      </c>
      <c r="J132" s="21" t="n">
        <f aca="false">J$5*4_Normalizacion!J130</f>
        <v>0.000340756055204318</v>
      </c>
      <c r="K132" s="21" t="n">
        <f aca="false">K$5*4_Normalizacion!K130</f>
        <v>3.90133374367575E-005</v>
      </c>
      <c r="L132" s="21" t="n">
        <f aca="false">L$5*4_Normalizacion!L130</f>
        <v>0.000551523226228971</v>
      </c>
      <c r="M132" s="21" t="n">
        <f aca="false">M$5*4_Normalizacion!M130</f>
        <v>0.000826234875930515</v>
      </c>
      <c r="N132" s="21" t="n">
        <f aca="false">N$5*4_Normalizacion!N130</f>
        <v>0.00151979606525836</v>
      </c>
      <c r="O132" s="21" t="n">
        <f aca="false">O$5*4_Normalizacion!O130</f>
        <v>0.00200587264654955</v>
      </c>
      <c r="P132" s="21" t="n">
        <f aca="false">P$5*4_Normalizacion!P130</f>
        <v>0.00135841219936972</v>
      </c>
      <c r="Q132" s="21" t="n">
        <f aca="false">Q$5*4_Normalizacion!Q130</f>
        <v>0.00285926571798898</v>
      </c>
    </row>
    <row r="133" customFormat="false" ht="15" hidden="false" customHeight="false" outlineLevel="0" collapsed="false">
      <c r="A133" s="15" t="n">
        <f aca="false">4_Normalizacion!A131</f>
        <v>126</v>
      </c>
      <c r="B133" s="16" t="n">
        <f aca="false">4_Normalizacion!B131</f>
        <v>12.832</v>
      </c>
      <c r="C133" s="21" t="n">
        <f aca="false">C$5*4_Normalizacion!C131</f>
        <v>0.00211491006743141</v>
      </c>
      <c r="D133" s="21" t="n">
        <f aca="false">D$5*4_Normalizacion!D131</f>
        <v>0.00016434498190068</v>
      </c>
      <c r="E133" s="21" t="n">
        <f aca="false">E$5*4_Normalizacion!E131</f>
        <v>0.00185693905364827</v>
      </c>
      <c r="F133" s="21" t="n">
        <f aca="false">F$5*4_Normalizacion!F131</f>
        <v>0.00121052804556228</v>
      </c>
      <c r="G133" s="21" t="n">
        <f aca="false">G$5*4_Normalizacion!G131</f>
        <v>0.000210254463455421</v>
      </c>
      <c r="H133" s="21" t="n">
        <f aca="false">H$5*4_Normalizacion!H131</f>
        <v>0.00679018357532303</v>
      </c>
      <c r="I133" s="21" t="n">
        <f aca="false">I$5*4_Normalizacion!I131</f>
        <v>0.00281086825420146</v>
      </c>
      <c r="J133" s="21" t="n">
        <f aca="false">J$5*4_Normalizacion!J131</f>
        <v>0.000340756055204318</v>
      </c>
      <c r="K133" s="21" t="n">
        <f aca="false">K$5*4_Normalizacion!K131</f>
        <v>3.90133374367575E-005</v>
      </c>
      <c r="L133" s="21" t="n">
        <f aca="false">L$5*4_Normalizacion!L131</f>
        <v>0.000521440141161937</v>
      </c>
      <c r="M133" s="21" t="n">
        <f aca="false">M$5*4_Normalizacion!M131</f>
        <v>0.000826234875930515</v>
      </c>
      <c r="N133" s="21" t="n">
        <f aca="false">N$5*4_Normalizacion!N131</f>
        <v>0.00151979606525836</v>
      </c>
      <c r="O133" s="21" t="n">
        <f aca="false">O$5*4_Normalizacion!O131</f>
        <v>0.00200587264654955</v>
      </c>
      <c r="P133" s="21" t="n">
        <f aca="false">P$5*4_Normalizacion!P131</f>
        <v>0.00135841219936972</v>
      </c>
      <c r="Q133" s="21" t="n">
        <f aca="false">Q$5*4_Normalizacion!Q131</f>
        <v>0.00285926571798898</v>
      </c>
    </row>
    <row r="134" customFormat="false" ht="15" hidden="false" customHeight="false" outlineLevel="0" collapsed="false">
      <c r="A134" s="15" t="n">
        <f aca="false">4_Normalizacion!A132</f>
        <v>127</v>
      </c>
      <c r="B134" s="16" t="n">
        <f aca="false">4_Normalizacion!B132</f>
        <v>12.93</v>
      </c>
      <c r="C134" s="21" t="n">
        <f aca="false">C$5*4_Normalizacion!C132</f>
        <v>0.00211491006743141</v>
      </c>
      <c r="D134" s="21" t="n">
        <f aca="false">D$5*4_Normalizacion!D132</f>
        <v>0.00016434498190068</v>
      </c>
      <c r="E134" s="21" t="n">
        <f aca="false">E$5*4_Normalizacion!E132</f>
        <v>0.00232117381706033</v>
      </c>
      <c r="F134" s="21" t="n">
        <f aca="false">F$5*4_Normalizacion!F132</f>
        <v>0.00121052804556228</v>
      </c>
      <c r="G134" s="21" t="n">
        <f aca="false">G$5*4_Normalizacion!G132</f>
        <v>0.000210254463455421</v>
      </c>
      <c r="H134" s="21" t="n">
        <f aca="false">H$5*4_Normalizacion!H132</f>
        <v>0.00679018357532303</v>
      </c>
      <c r="I134" s="21" t="n">
        <f aca="false">I$5*4_Normalizacion!I132</f>
        <v>0.00562173650840292</v>
      </c>
      <c r="J134" s="21" t="n">
        <f aca="false">J$5*4_Normalizacion!J132</f>
        <v>0.000340756055204318</v>
      </c>
      <c r="K134" s="21" t="n">
        <f aca="false">K$5*4_Normalizacion!K132</f>
        <v>3.90133374367575E-005</v>
      </c>
      <c r="L134" s="21" t="n">
        <f aca="false">L$5*4_Normalizacion!L132</f>
        <v>0.000511412446139592</v>
      </c>
      <c r="M134" s="21" t="n">
        <f aca="false">M$5*4_Normalizacion!M132</f>
        <v>0.000826234875930515</v>
      </c>
      <c r="N134" s="21" t="n">
        <f aca="false">N$5*4_Normalizacion!N132</f>
        <v>0.00151979606525836</v>
      </c>
      <c r="O134" s="21" t="n">
        <f aca="false">O$5*4_Normalizacion!O132</f>
        <v>0.00200587264654955</v>
      </c>
      <c r="P134" s="21" t="n">
        <f aca="false">P$5*4_Normalizacion!P132</f>
        <v>0.00135841219936972</v>
      </c>
      <c r="Q134" s="21" t="n">
        <f aca="false">Q$5*4_Normalizacion!Q132</f>
        <v>0.00285926571798898</v>
      </c>
    </row>
    <row r="135" customFormat="false" ht="15" hidden="false" customHeight="false" outlineLevel="0" collapsed="false">
      <c r="A135" s="15" t="n">
        <f aca="false">4_Normalizacion!A133</f>
        <v>128</v>
      </c>
      <c r="B135" s="16" t="n">
        <f aca="false">4_Normalizacion!B133</f>
        <v>13.031</v>
      </c>
      <c r="C135" s="21" t="n">
        <f aca="false">C$5*4_Normalizacion!C133</f>
        <v>0.00211491006743141</v>
      </c>
      <c r="D135" s="21" t="n">
        <f aca="false">D$5*4_Normalizacion!D133</f>
        <v>0.00016434498190068</v>
      </c>
      <c r="E135" s="21" t="n">
        <f aca="false">E$5*4_Normalizacion!E133</f>
        <v>0.00232117381706033</v>
      </c>
      <c r="F135" s="21" t="n">
        <f aca="false">F$5*4_Normalizacion!F133</f>
        <v>0.00161403739408304</v>
      </c>
      <c r="G135" s="21" t="n">
        <f aca="false">G$5*4_Normalizacion!G133</f>
        <v>0.000210254463455421</v>
      </c>
      <c r="H135" s="21" t="n">
        <f aca="false">H$5*4_Normalizacion!H133</f>
        <v>0.00679018357532303</v>
      </c>
      <c r="I135" s="21" t="n">
        <f aca="false">I$5*4_Normalizacion!I133</f>
        <v>0.00562173650840292</v>
      </c>
      <c r="J135" s="21" t="n">
        <f aca="false">J$5*4_Normalizacion!J133</f>
        <v>0.000340756055204318</v>
      </c>
      <c r="K135" s="21" t="n">
        <f aca="false">K$5*4_Normalizacion!K133</f>
        <v>3.90133374367575E-005</v>
      </c>
      <c r="L135" s="21" t="n">
        <f aca="false">L$5*4_Normalizacion!L133</f>
        <v>0.000502888905370598</v>
      </c>
      <c r="M135" s="21" t="n">
        <f aca="false">M$5*4_Normalizacion!M133</f>
        <v>0.000802893740685478</v>
      </c>
      <c r="N135" s="21" t="n">
        <f aca="false">N$5*4_Normalizacion!N133</f>
        <v>0.00151979606525836</v>
      </c>
      <c r="O135" s="21" t="n">
        <f aca="false">O$5*4_Normalizacion!O133</f>
        <v>0.00200587264654955</v>
      </c>
      <c r="P135" s="21" t="n">
        <f aca="false">P$5*4_Normalizacion!P133</f>
        <v>0.00135841219936972</v>
      </c>
      <c r="Q135" s="21" t="n">
        <f aca="false">Q$5*4_Normalizacion!Q133</f>
        <v>0.00285926571798898</v>
      </c>
    </row>
    <row r="136" customFormat="false" ht="15" hidden="false" customHeight="false" outlineLevel="0" collapsed="false">
      <c r="A136" s="15" t="n">
        <f aca="false">4_Normalizacion!A134</f>
        <v>129</v>
      </c>
      <c r="B136" s="16" t="n">
        <f aca="false">4_Normalizacion!B134</f>
        <v>13.132</v>
      </c>
      <c r="C136" s="21" t="n">
        <f aca="false">C$5*4_Normalizacion!C134</f>
        <v>0.00211491006743141</v>
      </c>
      <c r="D136" s="21" t="n">
        <f aca="false">D$5*4_Normalizacion!D134</f>
        <v>0.00016434498190068</v>
      </c>
      <c r="E136" s="21" t="n">
        <f aca="false">E$5*4_Normalizacion!E134</f>
        <v>0.00232117381706033</v>
      </c>
      <c r="F136" s="21" t="n">
        <f aca="false">F$5*4_Normalizacion!F134</f>
        <v>0.00161403739408304</v>
      </c>
      <c r="G136" s="21" t="n">
        <f aca="false">G$5*4_Normalizacion!G134</f>
        <v>0.000210254463455421</v>
      </c>
      <c r="H136" s="21" t="n">
        <f aca="false">H$5*4_Normalizacion!H134</f>
        <v>0.00679018357532303</v>
      </c>
      <c r="I136" s="21" t="n">
        <f aca="false">I$5*4_Normalizacion!I134</f>
        <v>0.00562173650840292</v>
      </c>
      <c r="J136" s="21" t="n">
        <f aca="false">J$5*4_Normalizacion!J134</f>
        <v>0.000340756055204318</v>
      </c>
      <c r="K136" s="21" t="n">
        <f aca="false">K$5*4_Normalizacion!K134</f>
        <v>3.90133374367575E-005</v>
      </c>
      <c r="L136" s="21" t="n">
        <f aca="false">L$5*4_Normalizacion!L134</f>
        <v>0.000501384751117247</v>
      </c>
      <c r="M136" s="21" t="n">
        <f aca="false">M$5*4_Normalizacion!M134</f>
        <v>0.000611620366907564</v>
      </c>
      <c r="N136" s="21" t="n">
        <f aca="false">N$5*4_Normalizacion!N134</f>
        <v>0.00151979606525836</v>
      </c>
      <c r="O136" s="21" t="n">
        <f aca="false">O$5*4_Normalizacion!O134</f>
        <v>0.00200587264654955</v>
      </c>
      <c r="P136" s="21" t="n">
        <f aca="false">P$5*4_Normalizacion!P134</f>
        <v>0.00135841219936972</v>
      </c>
      <c r="Q136" s="21" t="n">
        <f aca="false">Q$5*4_Normalizacion!Q134</f>
        <v>0.00285926571798898</v>
      </c>
    </row>
    <row r="137" customFormat="false" ht="15" hidden="false" customHeight="false" outlineLevel="0" collapsed="false">
      <c r="A137" s="15" t="n">
        <f aca="false">4_Normalizacion!A135</f>
        <v>130</v>
      </c>
      <c r="B137" s="16" t="n">
        <f aca="false">4_Normalizacion!B135</f>
        <v>13.234</v>
      </c>
      <c r="C137" s="21" t="n">
        <f aca="false">C$5*4_Normalizacion!C135</f>
        <v>0.00211491006743141</v>
      </c>
      <c r="D137" s="21" t="n">
        <f aca="false">D$5*4_Normalizacion!D135</f>
        <v>0.00016434498190068</v>
      </c>
      <c r="E137" s="21" t="n">
        <f aca="false">E$5*4_Normalizacion!E135</f>
        <v>0.00185693905364827</v>
      </c>
      <c r="F137" s="21" t="n">
        <f aca="false">F$5*4_Normalizacion!F135</f>
        <v>0.0020175467426038</v>
      </c>
      <c r="G137" s="21" t="n">
        <f aca="false">G$5*4_Normalizacion!G135</f>
        <v>0.000280339284607229</v>
      </c>
      <c r="H137" s="21" t="n">
        <f aca="false">H$5*4_Normalizacion!H135</f>
        <v>0.00679018357532303</v>
      </c>
      <c r="I137" s="21" t="n">
        <f aca="false">I$5*4_Normalizacion!I135</f>
        <v>0.00562173650840292</v>
      </c>
      <c r="J137" s="21" t="n">
        <f aca="false">J$5*4_Normalizacion!J135</f>
        <v>0.000340756055204318</v>
      </c>
      <c r="K137" s="21" t="n">
        <f aca="false">K$5*4_Normalizacion!K135</f>
        <v>3.90133374367575E-005</v>
      </c>
      <c r="L137" s="21" t="n">
        <f aca="false">L$5*4_Normalizacion!L135</f>
        <v>0.000552525995731206</v>
      </c>
      <c r="M137" s="21" t="n">
        <f aca="false">M$5*4_Normalizacion!M135</f>
        <v>0.000675653569792179</v>
      </c>
      <c r="N137" s="21" t="n">
        <f aca="false">N$5*4_Normalizacion!N135</f>
        <v>0.00151979606525836</v>
      </c>
      <c r="O137" s="21" t="n">
        <f aca="false">O$5*4_Normalizacion!O135</f>
        <v>0.00200587264654955</v>
      </c>
      <c r="P137" s="21" t="n">
        <f aca="false">P$5*4_Normalizacion!P135</f>
        <v>0.00135841219936972</v>
      </c>
      <c r="Q137" s="21" t="n">
        <f aca="false">Q$5*4_Normalizacion!Q135</f>
        <v>0.00285926571798898</v>
      </c>
    </row>
    <row r="138" customFormat="false" ht="15" hidden="false" customHeight="false" outlineLevel="0" collapsed="false">
      <c r="A138" s="15" t="n">
        <f aca="false">4_Normalizacion!A136</f>
        <v>131</v>
      </c>
      <c r="B138" s="16" t="n">
        <f aca="false">4_Normalizacion!B136</f>
        <v>13.337</v>
      </c>
      <c r="C138" s="21" t="n">
        <f aca="false">C$5*4_Normalizacion!C136</f>
        <v>0.00211491006743141</v>
      </c>
      <c r="D138" s="21" t="n">
        <f aca="false">D$5*4_Normalizacion!D136</f>
        <v>0.00016434498190068</v>
      </c>
      <c r="E138" s="21" t="n">
        <f aca="false">E$5*4_Normalizacion!E136</f>
        <v>0.00185693905364827</v>
      </c>
      <c r="F138" s="21" t="n">
        <f aca="false">F$5*4_Normalizacion!F136</f>
        <v>0.0020175467426038</v>
      </c>
      <c r="G138" s="21" t="n">
        <f aca="false">G$5*4_Normalizacion!G136</f>
        <v>0.000280339284607229</v>
      </c>
      <c r="H138" s="21" t="n">
        <f aca="false">H$5*4_Normalizacion!H136</f>
        <v>0.00679018357532303</v>
      </c>
      <c r="I138" s="21" t="n">
        <f aca="false">I$5*4_Normalizacion!I136</f>
        <v>0.00843260476260438</v>
      </c>
      <c r="J138" s="21" t="n">
        <f aca="false">J$5*4_Normalizacion!J136</f>
        <v>0.000340756055204318</v>
      </c>
      <c r="K138" s="21" t="n">
        <f aca="false">K$5*4_Normalizacion!K136</f>
        <v>3.90133374367575E-005</v>
      </c>
      <c r="L138" s="21" t="n">
        <f aca="false">L$5*4_Normalizacion!L136</f>
        <v>0.000867395619432837</v>
      </c>
      <c r="M138" s="21" t="n">
        <f aca="false">M$5*4_Normalizacion!M136</f>
        <v>0.000702506203259921</v>
      </c>
      <c r="N138" s="21" t="n">
        <f aca="false">N$5*4_Normalizacion!N136</f>
        <v>0.00151979606525836</v>
      </c>
      <c r="O138" s="21" t="n">
        <f aca="false">O$5*4_Normalizacion!O136</f>
        <v>0.00200587264654955</v>
      </c>
      <c r="P138" s="21" t="n">
        <f aca="false">P$5*4_Normalizacion!P136</f>
        <v>0.00135841219936972</v>
      </c>
      <c r="Q138" s="21" t="n">
        <f aca="false">Q$5*4_Normalizacion!Q136</f>
        <v>0.00285926571798898</v>
      </c>
    </row>
    <row r="139" customFormat="false" ht="15" hidden="false" customHeight="false" outlineLevel="0" collapsed="false">
      <c r="A139" s="15" t="n">
        <f aca="false">4_Normalizacion!A137</f>
        <v>132</v>
      </c>
      <c r="B139" s="16" t="n">
        <f aca="false">4_Normalizacion!B137</f>
        <v>13.439</v>
      </c>
      <c r="C139" s="21" t="n">
        <f aca="false">C$5*4_Normalizacion!C137</f>
        <v>0.00211491006743141</v>
      </c>
      <c r="D139" s="21" t="n">
        <f aca="false">D$5*4_Normalizacion!D137</f>
        <v>0.00016434498190068</v>
      </c>
      <c r="E139" s="21" t="n">
        <f aca="false">E$5*4_Normalizacion!E137</f>
        <v>0.00232117381706033</v>
      </c>
      <c r="F139" s="21" t="n">
        <f aca="false">F$5*4_Normalizacion!F137</f>
        <v>0.0020175467426038</v>
      </c>
      <c r="G139" s="21" t="n">
        <f aca="false">G$5*4_Normalizacion!G137</f>
        <v>0.000280339284607229</v>
      </c>
      <c r="H139" s="21" t="n">
        <f aca="false">H$5*4_Normalizacion!H137</f>
        <v>0.00679018357532303</v>
      </c>
      <c r="I139" s="21" t="n">
        <f aca="false">I$5*4_Normalizacion!I137</f>
        <v>0.00843260476260438</v>
      </c>
      <c r="J139" s="21" t="n">
        <f aca="false">J$5*4_Normalizacion!J137</f>
        <v>0.000340756055204318</v>
      </c>
      <c r="K139" s="21" t="n">
        <f aca="false">K$5*4_Normalizacion!K137</f>
        <v>3.90133374367575E-005</v>
      </c>
      <c r="L139" s="21" t="n">
        <f aca="false">L$5*4_Normalizacion!L137</f>
        <v>0.00135574436702104</v>
      </c>
      <c r="M139" s="21" t="n">
        <f aca="false">M$5*4_Normalizacion!M137</f>
        <v>0.000594682551950989</v>
      </c>
      <c r="N139" s="21" t="n">
        <f aca="false">N$5*4_Normalizacion!N137</f>
        <v>0.00151979606525836</v>
      </c>
      <c r="O139" s="21" t="n">
        <f aca="false">O$5*4_Normalizacion!O137</f>
        <v>0.00200587264654955</v>
      </c>
      <c r="P139" s="21" t="n">
        <f aca="false">P$5*4_Normalizacion!P137</f>
        <v>0.00135841219936972</v>
      </c>
      <c r="Q139" s="21" t="n">
        <f aca="false">Q$5*4_Normalizacion!Q137</f>
        <v>0.0142963285899449</v>
      </c>
    </row>
    <row r="140" customFormat="false" ht="15" hidden="false" customHeight="false" outlineLevel="0" collapsed="false">
      <c r="A140" s="15" t="n">
        <f aca="false">4_Normalizacion!A138</f>
        <v>133</v>
      </c>
      <c r="B140" s="16" t="n">
        <f aca="false">4_Normalizacion!B138</f>
        <v>13.542</v>
      </c>
      <c r="C140" s="21" t="n">
        <f aca="false">C$5*4_Normalizacion!C138</f>
        <v>0.00211491006743141</v>
      </c>
      <c r="D140" s="21" t="n">
        <f aca="false">D$5*4_Normalizacion!D138</f>
        <v>0.00016434498190068</v>
      </c>
      <c r="E140" s="21" t="n">
        <f aca="false">E$5*4_Normalizacion!E138</f>
        <v>0.00232117381706033</v>
      </c>
      <c r="F140" s="21" t="n">
        <f aca="false">F$5*4_Normalizacion!F138</f>
        <v>0.0020175467426038</v>
      </c>
      <c r="G140" s="21" t="n">
        <f aca="false">G$5*4_Normalizacion!G138</f>
        <v>0.000280339284607229</v>
      </c>
      <c r="H140" s="21" t="n">
        <f aca="false">H$5*4_Normalizacion!H138</f>
        <v>0.00679018357532303</v>
      </c>
      <c r="I140" s="21" t="n">
        <f aca="false">I$5*4_Normalizacion!I138</f>
        <v>0.0112434730168058</v>
      </c>
      <c r="J140" s="21" t="n">
        <f aca="false">J$5*4_Normalizacion!J138</f>
        <v>0.000340756055204318</v>
      </c>
      <c r="K140" s="21" t="n">
        <f aca="false">K$5*4_Normalizacion!K138</f>
        <v>3.90133374367575E-005</v>
      </c>
      <c r="L140" s="21" t="n">
        <f aca="false">L$5*4_Normalizacion!L138</f>
        <v>0.00148109055480035</v>
      </c>
      <c r="M140" s="21" t="n">
        <f aca="false">M$5*4_Normalizacion!M138</f>
        <v>0.0005327149362562</v>
      </c>
      <c r="N140" s="21" t="n">
        <f aca="false">N$5*4_Normalizacion!N138</f>
        <v>0.00151979606525836</v>
      </c>
      <c r="O140" s="21" t="n">
        <f aca="false">O$5*4_Normalizacion!O138</f>
        <v>0.00200587264654955</v>
      </c>
      <c r="P140" s="21" t="n">
        <f aca="false">P$5*4_Normalizacion!P138</f>
        <v>0.00135841219936972</v>
      </c>
      <c r="Q140" s="21" t="n">
        <f aca="false">Q$5*4_Normalizacion!Q138</f>
        <v>0.0114370628719559</v>
      </c>
    </row>
    <row r="141" customFormat="false" ht="15" hidden="false" customHeight="false" outlineLevel="0" collapsed="false">
      <c r="A141" s="15" t="n">
        <f aca="false">4_Normalizacion!A139</f>
        <v>134</v>
      </c>
      <c r="B141" s="16" t="n">
        <f aca="false">4_Normalizacion!B139</f>
        <v>13.645</v>
      </c>
      <c r="C141" s="21" t="n">
        <f aca="false">C$5*4_Normalizacion!C139</f>
        <v>0.00211491006743141</v>
      </c>
      <c r="D141" s="21" t="n">
        <f aca="false">D$5*4_Normalizacion!D139</f>
        <v>0.00016434498190068</v>
      </c>
      <c r="E141" s="21" t="n">
        <f aca="false">E$5*4_Normalizacion!E139</f>
        <v>0.00232117381706033</v>
      </c>
      <c r="F141" s="21" t="n">
        <f aca="false">F$5*4_Normalizacion!F139</f>
        <v>0.0020175467426038</v>
      </c>
      <c r="G141" s="21" t="n">
        <f aca="false">G$5*4_Normalizacion!G139</f>
        <v>0.000280339284607229</v>
      </c>
      <c r="H141" s="21" t="n">
        <f aca="false">H$5*4_Normalizacion!H139</f>
        <v>0.00679018357532303</v>
      </c>
      <c r="I141" s="21" t="n">
        <f aca="false">I$5*4_Normalizacion!I139</f>
        <v>0.0112434730168058</v>
      </c>
      <c r="J141" s="21" t="n">
        <f aca="false">J$5*4_Normalizacion!J139</f>
        <v>0.000340756055204318</v>
      </c>
      <c r="K141" s="21" t="n">
        <f aca="false">K$5*4_Normalizacion!K139</f>
        <v>3.90133374367575E-005</v>
      </c>
      <c r="L141" s="21" t="n">
        <f aca="false">L$5*4_Normalizacion!L139</f>
        <v>0.00163050321063329</v>
      </c>
      <c r="M141" s="21" t="n">
        <f aca="false">M$5*4_Normalizacion!M139</f>
        <v>0.000493881897087466</v>
      </c>
      <c r="N141" s="21" t="n">
        <f aca="false">N$5*4_Normalizacion!N139</f>
        <v>0.00151979606525836</v>
      </c>
      <c r="O141" s="21" t="n">
        <f aca="false">O$5*4_Normalizacion!O139</f>
        <v>0.00200587264654955</v>
      </c>
      <c r="P141" s="21" t="n">
        <f aca="false">P$5*4_Normalizacion!P139</f>
        <v>0.00135841219936972</v>
      </c>
      <c r="Q141" s="21" t="n">
        <f aca="false">Q$5*4_Normalizacion!Q139</f>
        <v>0.0142963285899449</v>
      </c>
    </row>
    <row r="142" customFormat="false" ht="15" hidden="false" customHeight="false" outlineLevel="0" collapsed="false">
      <c r="A142" s="15" t="n">
        <f aca="false">4_Normalizacion!A140</f>
        <v>135</v>
      </c>
      <c r="B142" s="16" t="n">
        <f aca="false">4_Normalizacion!B140</f>
        <v>13.748</v>
      </c>
      <c r="C142" s="21" t="n">
        <f aca="false">C$5*4_Normalizacion!C140</f>
        <v>0.00211491006743141</v>
      </c>
      <c r="D142" s="21" t="n">
        <f aca="false">D$5*4_Normalizacion!D140</f>
        <v>0.00016434498190068</v>
      </c>
      <c r="E142" s="21" t="n">
        <f aca="false">E$5*4_Normalizacion!E140</f>
        <v>0.00232117381706033</v>
      </c>
      <c r="F142" s="21" t="n">
        <f aca="false">F$5*4_Normalizacion!F140</f>
        <v>0.0020175467426038</v>
      </c>
      <c r="G142" s="21" t="n">
        <f aca="false">G$5*4_Normalizacion!G140</f>
        <v>0.000280339284607229</v>
      </c>
      <c r="H142" s="21" t="n">
        <f aca="false">H$5*4_Normalizacion!H140</f>
        <v>0.00679018357532303</v>
      </c>
      <c r="I142" s="21" t="n">
        <f aca="false">I$5*4_Normalizacion!I140</f>
        <v>0.0140543412710073</v>
      </c>
      <c r="J142" s="21" t="n">
        <f aca="false">J$5*4_Normalizacion!J140</f>
        <v>0.000340756055204318</v>
      </c>
      <c r="K142" s="21" t="n">
        <f aca="false">K$5*4_Normalizacion!K140</f>
        <v>3.90133374367575E-005</v>
      </c>
      <c r="L142" s="21" t="n">
        <f aca="false">L$5*4_Normalizacion!L140</f>
        <v>0.00168264722474948</v>
      </c>
      <c r="M142" s="21" t="n">
        <f aca="false">M$5*4_Normalizacion!M140</f>
        <v>0.000462898089240071</v>
      </c>
      <c r="N142" s="21" t="n">
        <f aca="false">N$5*4_Normalizacion!N140</f>
        <v>0.00151979606525836</v>
      </c>
      <c r="O142" s="21" t="n">
        <f aca="false">O$5*4_Normalizacion!O140</f>
        <v>0.00200587264654955</v>
      </c>
      <c r="P142" s="21" t="n">
        <f aca="false">P$5*4_Normalizacion!P140</f>
        <v>0.00135841219936972</v>
      </c>
      <c r="Q142" s="21" t="n">
        <f aca="false">Q$5*4_Normalizacion!Q140</f>
        <v>0.0142963285899449</v>
      </c>
    </row>
    <row r="143" customFormat="false" ht="15" hidden="false" customHeight="false" outlineLevel="0" collapsed="false">
      <c r="A143" s="15" t="n">
        <f aca="false">4_Normalizacion!A141</f>
        <v>136</v>
      </c>
      <c r="B143" s="16" t="n">
        <f aca="false">4_Normalizacion!B141</f>
        <v>13.852</v>
      </c>
      <c r="C143" s="21" t="n">
        <f aca="false">C$5*4_Normalizacion!C141</f>
        <v>0.00211491006743141</v>
      </c>
      <c r="D143" s="21" t="n">
        <f aca="false">D$5*4_Normalizacion!D141</f>
        <v>0.00016434498190068</v>
      </c>
      <c r="E143" s="21" t="n">
        <f aca="false">E$5*4_Normalizacion!E141</f>
        <v>0.00232117381706033</v>
      </c>
      <c r="F143" s="21" t="n">
        <f aca="false">F$5*4_Normalizacion!F141</f>
        <v>0.0020175467426038</v>
      </c>
      <c r="G143" s="21" t="n">
        <f aca="false">G$5*4_Normalizacion!G141</f>
        <v>0.000280339284607229</v>
      </c>
      <c r="H143" s="21" t="n">
        <f aca="false">H$5*4_Normalizacion!H141</f>
        <v>0.00679018357532303</v>
      </c>
      <c r="I143" s="21" t="n">
        <f aca="false">I$5*4_Normalizacion!I141</f>
        <v>0.0140543412710073</v>
      </c>
      <c r="J143" s="21" t="n">
        <f aca="false">J$5*4_Normalizacion!J141</f>
        <v>0.000340756055204318</v>
      </c>
      <c r="K143" s="21" t="n">
        <f aca="false">K$5*4_Normalizacion!K141</f>
        <v>3.90133374367575E-005</v>
      </c>
      <c r="L143" s="21" t="n">
        <f aca="false">L$5*4_Normalizacion!L141</f>
        <v>0.00161245335959307</v>
      </c>
      <c r="M143" s="21" t="n">
        <f aca="false">M$5*4_Normalizacion!M141</f>
        <v>0.000489131046550865</v>
      </c>
      <c r="N143" s="21" t="n">
        <f aca="false">N$5*4_Normalizacion!N141</f>
        <v>0.00151979606525836</v>
      </c>
      <c r="O143" s="21" t="n">
        <f aca="false">O$5*4_Normalizacion!O141</f>
        <v>0.00200587264654955</v>
      </c>
      <c r="P143" s="21" t="n">
        <f aca="false">P$5*4_Normalizacion!P141</f>
        <v>0.00135841219936972</v>
      </c>
      <c r="Q143" s="21" t="n">
        <f aca="false">Q$5*4_Normalizacion!Q141</f>
        <v>0.0142963285899449</v>
      </c>
    </row>
    <row r="144" customFormat="false" ht="15" hidden="false" customHeight="false" outlineLevel="0" collapsed="false">
      <c r="A144" s="15" t="n">
        <f aca="false">4_Normalizacion!A142</f>
        <v>137</v>
      </c>
      <c r="B144" s="16" t="n">
        <f aca="false">4_Normalizacion!B142</f>
        <v>13.957</v>
      </c>
      <c r="C144" s="21" t="n">
        <f aca="false">C$5*4_Normalizacion!C142</f>
        <v>0.00211491006743141</v>
      </c>
      <c r="D144" s="21" t="n">
        <f aca="false">D$5*4_Normalizacion!D142</f>
        <v>0.00016434498190068</v>
      </c>
      <c r="E144" s="21" t="n">
        <f aca="false">E$5*4_Normalizacion!E142</f>
        <v>0.00185693905364827</v>
      </c>
      <c r="F144" s="21" t="n">
        <f aca="false">F$5*4_Normalizacion!F142</f>
        <v>0.0020175467426038</v>
      </c>
      <c r="G144" s="21" t="n">
        <f aca="false">G$5*4_Normalizacion!G142</f>
        <v>0.000280339284607229</v>
      </c>
      <c r="H144" s="21" t="n">
        <f aca="false">H$5*4_Normalizacion!H142</f>
        <v>0.00679018357532303</v>
      </c>
      <c r="I144" s="21" t="n">
        <f aca="false">I$5*4_Normalizacion!I142</f>
        <v>0.0140543412710073</v>
      </c>
      <c r="J144" s="21" t="n">
        <f aca="false">J$5*4_Normalizacion!J142</f>
        <v>0.000340756055204318</v>
      </c>
      <c r="K144" s="21" t="n">
        <f aca="false">K$5*4_Normalizacion!K142</f>
        <v>3.90133374367575E-005</v>
      </c>
      <c r="L144" s="21" t="n">
        <f aca="false">L$5*4_Normalizacion!L142</f>
        <v>0.00165757798719362</v>
      </c>
      <c r="M144" s="21" t="n">
        <f aca="false">M$5*4_Normalizacion!M142</f>
        <v>0.000500698334813892</v>
      </c>
      <c r="N144" s="21" t="n">
        <f aca="false">N$5*4_Normalizacion!N142</f>
        <v>0.00151979606525836</v>
      </c>
      <c r="O144" s="21" t="n">
        <f aca="false">O$5*4_Normalizacion!O142</f>
        <v>0.00200587264654955</v>
      </c>
      <c r="P144" s="21" t="n">
        <f aca="false">P$5*4_Normalizacion!P142</f>
        <v>0.00135841219936972</v>
      </c>
      <c r="Q144" s="21" t="n">
        <f aca="false">Q$5*4_Normalizacion!Q142</f>
        <v>0.0142963285899449</v>
      </c>
    </row>
    <row r="145" customFormat="false" ht="15" hidden="false" customHeight="false" outlineLevel="0" collapsed="false">
      <c r="A145" s="15" t="n">
        <f aca="false">4_Normalizacion!A143</f>
        <v>138</v>
      </c>
      <c r="B145" s="16" t="n">
        <f aca="false">4_Normalizacion!B143</f>
        <v>14.062</v>
      </c>
      <c r="C145" s="21" t="n">
        <f aca="false">C$5*4_Normalizacion!C143</f>
        <v>0.00211491006743141</v>
      </c>
      <c r="D145" s="21" t="n">
        <f aca="false">D$5*4_Normalizacion!D143</f>
        <v>0.00016434498190068</v>
      </c>
      <c r="E145" s="21" t="n">
        <f aca="false">E$5*4_Normalizacion!E143</f>
        <v>0.00185693905364827</v>
      </c>
      <c r="F145" s="21" t="n">
        <f aca="false">F$5*4_Normalizacion!F143</f>
        <v>0.0020175467426038</v>
      </c>
      <c r="G145" s="21" t="n">
        <f aca="false">G$5*4_Normalizacion!G143</f>
        <v>0.000280339284607229</v>
      </c>
      <c r="H145" s="21" t="n">
        <f aca="false">H$5*4_Normalizacion!H143</f>
        <v>0.00679018357532303</v>
      </c>
      <c r="I145" s="21" t="n">
        <f aca="false">I$5*4_Normalizacion!I143</f>
        <v>0.0140543412710073</v>
      </c>
      <c r="J145" s="21" t="n">
        <f aca="false">J$5*4_Normalizacion!J143</f>
        <v>0.000340756055204318</v>
      </c>
      <c r="K145" s="21" t="n">
        <f aca="false">K$5*4_Normalizacion!K143</f>
        <v>3.90133374367575E-005</v>
      </c>
      <c r="L145" s="21" t="n">
        <f aca="false">L$5*4_Normalizacion!L143</f>
        <v>0.00182654464832013</v>
      </c>
      <c r="M145" s="21" t="n">
        <f aca="false">M$5*4_Normalizacion!M143</f>
        <v>0.000449058655068235</v>
      </c>
      <c r="N145" s="21" t="n">
        <f aca="false">N$5*4_Normalizacion!N143</f>
        <v>0.00151979606525836</v>
      </c>
      <c r="O145" s="21" t="n">
        <f aca="false">O$5*4_Normalizacion!O143</f>
        <v>0.00200587264654955</v>
      </c>
      <c r="P145" s="21" t="n">
        <f aca="false">P$5*4_Normalizacion!P143</f>
        <v>0.00135841219936972</v>
      </c>
      <c r="Q145" s="21" t="n">
        <f aca="false">Q$5*4_Normalizacion!Q143</f>
        <v>0.0142963285899449</v>
      </c>
    </row>
    <row r="146" customFormat="false" ht="15" hidden="false" customHeight="false" outlineLevel="0" collapsed="false">
      <c r="A146" s="15" t="n">
        <f aca="false">4_Normalizacion!A144</f>
        <v>139</v>
      </c>
      <c r="B146" s="16" t="n">
        <f aca="false">4_Normalizacion!B144</f>
        <v>14.167</v>
      </c>
      <c r="C146" s="21" t="n">
        <f aca="false">C$5*4_Normalizacion!C144</f>
        <v>0.00211491006743141</v>
      </c>
      <c r="D146" s="21" t="n">
        <f aca="false">D$5*4_Normalizacion!D144</f>
        <v>0.00016434498190068</v>
      </c>
      <c r="E146" s="21" t="n">
        <f aca="false">E$5*4_Normalizacion!E144</f>
        <v>0.00185693905364827</v>
      </c>
      <c r="F146" s="21" t="n">
        <f aca="false">F$5*4_Normalizacion!F144</f>
        <v>0.0020175467426038</v>
      </c>
      <c r="G146" s="21" t="n">
        <f aca="false">G$5*4_Normalizacion!G144</f>
        <v>0.000280339284607229</v>
      </c>
      <c r="H146" s="21" t="n">
        <f aca="false">H$5*4_Normalizacion!H144</f>
        <v>0.00679018357532303</v>
      </c>
      <c r="I146" s="21" t="n">
        <f aca="false">I$5*4_Normalizacion!I144</f>
        <v>0.00562173650840292</v>
      </c>
      <c r="J146" s="21" t="n">
        <f aca="false">J$5*4_Normalizacion!J144</f>
        <v>0.000340756055204318</v>
      </c>
      <c r="K146" s="21" t="n">
        <f aca="false">K$5*4_Normalizacion!K144</f>
        <v>3.90133374367575E-005</v>
      </c>
      <c r="L146" s="21" t="n">
        <f aca="false">L$5*4_Normalizacion!L144</f>
        <v>0.00167412368398049</v>
      </c>
      <c r="M146" s="21" t="n">
        <f aca="false">M$5*4_Normalizacion!M144</f>
        <v>0.000477770317006821</v>
      </c>
      <c r="N146" s="21" t="n">
        <f aca="false">N$5*4_Normalizacion!N144</f>
        <v>0.00151979606525836</v>
      </c>
      <c r="O146" s="21" t="n">
        <f aca="false">O$5*4_Normalizacion!O144</f>
        <v>0.00200587264654955</v>
      </c>
      <c r="P146" s="21" t="n">
        <f aca="false">P$5*4_Normalizacion!P144</f>
        <v>0.00135841219936972</v>
      </c>
      <c r="Q146" s="21" t="n">
        <f aca="false">Q$5*4_Normalizacion!Q144</f>
        <v>0.0142963285899449</v>
      </c>
    </row>
    <row r="147" customFormat="false" ht="15" hidden="false" customHeight="false" outlineLevel="0" collapsed="false">
      <c r="A147" s="15" t="n">
        <f aca="false">4_Normalizacion!A145</f>
        <v>140</v>
      </c>
      <c r="B147" s="16" t="n">
        <f aca="false">4_Normalizacion!B145</f>
        <v>14.27</v>
      </c>
      <c r="C147" s="21" t="n">
        <f aca="false">C$5*4_Normalizacion!C145</f>
        <v>0.00211491006743141</v>
      </c>
      <c r="D147" s="21" t="n">
        <f aca="false">D$5*4_Normalizacion!D145</f>
        <v>0.00020543122737585</v>
      </c>
      <c r="E147" s="21" t="n">
        <f aca="false">E$5*4_Normalizacion!E145</f>
        <v>0.00185693905364827</v>
      </c>
      <c r="F147" s="21" t="n">
        <f aca="false">F$5*4_Normalizacion!F145</f>
        <v>0.0020175467426038</v>
      </c>
      <c r="G147" s="21" t="n">
        <f aca="false">G$5*4_Normalizacion!G145</f>
        <v>0.000280339284607229</v>
      </c>
      <c r="H147" s="21" t="n">
        <f aca="false">H$5*4_Normalizacion!H145</f>
        <v>0.00679018357532303</v>
      </c>
      <c r="I147" s="21" t="n">
        <f aca="false">I$5*4_Normalizacion!I145</f>
        <v>0.00562173650840292</v>
      </c>
      <c r="J147" s="21" t="n">
        <f aca="false">J$5*4_Normalizacion!J145</f>
        <v>0.000340756055204318</v>
      </c>
      <c r="K147" s="21" t="n">
        <f aca="false">K$5*4_Normalizacion!K145</f>
        <v>3.90133374367575E-005</v>
      </c>
      <c r="L147" s="21" t="n">
        <f aca="false">L$5*4_Normalizacion!L145</f>
        <v>0.00162849767162882</v>
      </c>
      <c r="M147" s="21" t="n">
        <f aca="false">M$5*4_Normalizacion!M145</f>
        <v>0.000474671936222081</v>
      </c>
      <c r="N147" s="21" t="n">
        <f aca="false">N$5*4_Normalizacion!N145</f>
        <v>0.00151979606525836</v>
      </c>
      <c r="O147" s="21" t="n">
        <f aca="false">O$5*4_Normalizacion!O145</f>
        <v>0.00200587264654955</v>
      </c>
      <c r="P147" s="21" t="n">
        <f aca="false">P$5*4_Normalizacion!P145</f>
        <v>0.00135841219936972</v>
      </c>
      <c r="Q147" s="21" t="n">
        <f aca="false">Q$5*4_Normalizacion!Q145</f>
        <v>0.0114370628719559</v>
      </c>
    </row>
    <row r="148" customFormat="false" ht="15" hidden="false" customHeight="false" outlineLevel="0" collapsed="false">
      <c r="A148" s="15" t="n">
        <f aca="false">4_Normalizacion!A146</f>
        <v>141</v>
      </c>
      <c r="B148" s="16" t="n">
        <f aca="false">4_Normalizacion!B146</f>
        <v>14.371</v>
      </c>
      <c r="C148" s="21" t="n">
        <f aca="false">C$5*4_Normalizacion!C146</f>
        <v>0.00211491006743141</v>
      </c>
      <c r="D148" s="21" t="n">
        <f aca="false">D$5*4_Normalizacion!D146</f>
        <v>0.00016434498190068</v>
      </c>
      <c r="E148" s="21" t="n">
        <f aca="false">E$5*4_Normalizacion!E146</f>
        <v>0.00185693905364827</v>
      </c>
      <c r="F148" s="21" t="n">
        <f aca="false">F$5*4_Normalizacion!F146</f>
        <v>0.0020175467426038</v>
      </c>
      <c r="G148" s="21" t="n">
        <f aca="false">G$5*4_Normalizacion!G146</f>
        <v>0.000280339284607229</v>
      </c>
      <c r="H148" s="21" t="n">
        <f aca="false">H$5*4_Normalizacion!H146</f>
        <v>0.00679018357532303</v>
      </c>
      <c r="I148" s="21" t="n">
        <f aca="false">I$5*4_Normalizacion!I146</f>
        <v>0.00281086825420146</v>
      </c>
      <c r="J148" s="21" t="n">
        <f aca="false">J$5*4_Normalizacion!J146</f>
        <v>0.000340756055204318</v>
      </c>
      <c r="K148" s="21" t="n">
        <f aca="false">K$5*4_Normalizacion!K146</f>
        <v>3.90133374367575E-005</v>
      </c>
      <c r="L148" s="21" t="n">
        <f aca="false">L$5*4_Normalizacion!L146</f>
        <v>0.00187969143193856</v>
      </c>
      <c r="M148" s="21" t="n">
        <f aca="false">M$5*4_Normalizacion!M146</f>
        <v>0.000446786509159426</v>
      </c>
      <c r="N148" s="21" t="n">
        <f aca="false">N$5*4_Normalizacion!N146</f>
        <v>0.00151979606525836</v>
      </c>
      <c r="O148" s="21" t="n">
        <f aca="false">O$5*4_Normalizacion!O146</f>
        <v>0.00200587264654955</v>
      </c>
      <c r="P148" s="21" t="n">
        <f aca="false">P$5*4_Normalizacion!P146</f>
        <v>0.00135841219936972</v>
      </c>
      <c r="Q148" s="21" t="n">
        <f aca="false">Q$5*4_Normalizacion!Q146</f>
        <v>0.0114370628719559</v>
      </c>
    </row>
    <row r="149" customFormat="false" ht="15" hidden="false" customHeight="false" outlineLevel="0" collapsed="false">
      <c r="A149" s="15" t="n">
        <f aca="false">4_Normalizacion!A147</f>
        <v>142</v>
      </c>
      <c r="B149" s="16" t="n">
        <f aca="false">4_Normalizacion!B147</f>
        <v>14.47</v>
      </c>
      <c r="C149" s="21" t="n">
        <f aca="false">C$5*4_Normalizacion!C147</f>
        <v>0.00211491006743141</v>
      </c>
      <c r="D149" s="21" t="n">
        <f aca="false">D$5*4_Normalizacion!D147</f>
        <v>0.00016434498190068</v>
      </c>
      <c r="E149" s="21" t="n">
        <f aca="false">E$5*4_Normalizacion!E147</f>
        <v>0.00185693905364827</v>
      </c>
      <c r="F149" s="21" t="n">
        <f aca="false">F$5*4_Normalizacion!F147</f>
        <v>0.0020175467426038</v>
      </c>
      <c r="G149" s="21" t="n">
        <f aca="false">G$5*4_Normalizacion!G147</f>
        <v>0.000280339284607229</v>
      </c>
      <c r="H149" s="21" t="n">
        <f aca="false">H$5*4_Normalizacion!H147</f>
        <v>0.00679018357532303</v>
      </c>
      <c r="I149" s="21" t="n">
        <f aca="false">I$5*4_Normalizacion!I147</f>
        <v>0.00281086825420146</v>
      </c>
      <c r="J149" s="21" t="n">
        <f aca="false">J$5*4_Normalizacion!J147</f>
        <v>0.000340756055204318</v>
      </c>
      <c r="K149" s="21" t="n">
        <f aca="false">K$5*4_Normalizacion!K147</f>
        <v>3.90133374367575E-005</v>
      </c>
      <c r="L149" s="21" t="n">
        <f aca="false">L$5*4_Normalizacion!L147</f>
        <v>0.00193484375456145</v>
      </c>
      <c r="M149" s="21" t="n">
        <f aca="false">M$5*4_Normalizacion!M147</f>
        <v>0.000444927480688583</v>
      </c>
      <c r="N149" s="21" t="n">
        <f aca="false">N$5*4_Normalizacion!N147</f>
        <v>0.00151979606525836</v>
      </c>
      <c r="O149" s="21" t="n">
        <f aca="false">O$5*4_Normalizacion!O147</f>
        <v>0.00200587264654955</v>
      </c>
      <c r="P149" s="21" t="n">
        <f aca="false">P$5*4_Normalizacion!P147</f>
        <v>0.00135841219936972</v>
      </c>
      <c r="Q149" s="21" t="n">
        <f aca="false">Q$5*4_Normalizacion!Q147</f>
        <v>0.0114370628719559</v>
      </c>
    </row>
    <row r="150" customFormat="false" ht="15" hidden="false" customHeight="false" outlineLevel="0" collapsed="false">
      <c r="A150" s="15" t="n">
        <f aca="false">4_Normalizacion!A148</f>
        <v>143</v>
      </c>
      <c r="B150" s="16" t="n">
        <f aca="false">4_Normalizacion!B148</f>
        <v>14.568</v>
      </c>
      <c r="C150" s="21" t="n">
        <f aca="false">C$5*4_Normalizacion!C148</f>
        <v>0.00211491006743141</v>
      </c>
      <c r="D150" s="21" t="n">
        <f aca="false">D$5*4_Normalizacion!D148</f>
        <v>0.00016434498190068</v>
      </c>
      <c r="E150" s="21" t="n">
        <f aca="false">E$5*4_Normalizacion!E148</f>
        <v>0.00185693905364827</v>
      </c>
      <c r="F150" s="21" t="n">
        <f aca="false">F$5*4_Normalizacion!F148</f>
        <v>0.0020175467426038</v>
      </c>
      <c r="G150" s="21" t="n">
        <f aca="false">G$5*4_Normalizacion!G148</f>
        <v>0.000280339284607229</v>
      </c>
      <c r="H150" s="21" t="n">
        <f aca="false">H$5*4_Normalizacion!H148</f>
        <v>0.00679018357532303</v>
      </c>
      <c r="I150" s="21" t="n">
        <f aca="false">I$5*4_Normalizacion!I148</f>
        <v>0.00281086825420146</v>
      </c>
      <c r="J150" s="21" t="n">
        <f aca="false">J$5*4_Normalizacion!J148</f>
        <v>0.000340756055204318</v>
      </c>
      <c r="K150" s="21" t="n">
        <f aca="false">K$5*4_Normalizacion!K148</f>
        <v>3.90133374367575E-005</v>
      </c>
      <c r="L150" s="21" t="n">
        <f aca="false">L$5*4_Normalizacion!L148</f>
        <v>0.00181100172103549</v>
      </c>
      <c r="M150" s="21" t="n">
        <f aca="false">M$5*4_Normalizacion!M148</f>
        <v>0.000425717519823198</v>
      </c>
      <c r="N150" s="21" t="n">
        <f aca="false">N$5*4_Normalizacion!N148</f>
        <v>0.00151979606525836</v>
      </c>
      <c r="O150" s="21" t="n">
        <f aca="false">O$5*4_Normalizacion!O148</f>
        <v>0.00200587264654955</v>
      </c>
      <c r="P150" s="21" t="n">
        <f aca="false">P$5*4_Normalizacion!P148</f>
        <v>0.00135841219936972</v>
      </c>
      <c r="Q150" s="21" t="n">
        <f aca="false">Q$5*4_Normalizacion!Q148</f>
        <v>0.0142963285899449</v>
      </c>
    </row>
    <row r="151" customFormat="false" ht="15" hidden="false" customHeight="false" outlineLevel="0" collapsed="false">
      <c r="A151" s="15" t="n">
        <f aca="false">4_Normalizacion!A149</f>
        <v>144</v>
      </c>
      <c r="B151" s="16" t="n">
        <f aca="false">4_Normalizacion!B149</f>
        <v>14.665</v>
      </c>
      <c r="C151" s="21" t="n">
        <f aca="false">C$5*4_Normalizacion!C149</f>
        <v>0.00211491006743141</v>
      </c>
      <c r="D151" s="21" t="n">
        <f aca="false">D$5*4_Normalizacion!D149</f>
        <v>0.00016434498190068</v>
      </c>
      <c r="E151" s="21" t="n">
        <f aca="false">E$5*4_Normalizacion!E149</f>
        <v>0.00185693905364827</v>
      </c>
      <c r="F151" s="21" t="n">
        <f aca="false">F$5*4_Normalizacion!F149</f>
        <v>0.0020175467426038</v>
      </c>
      <c r="G151" s="21" t="n">
        <f aca="false">G$5*4_Normalizacion!G149</f>
        <v>0.000280339284607229</v>
      </c>
      <c r="H151" s="21" t="n">
        <f aca="false">H$5*4_Normalizacion!H149</f>
        <v>0.00679018357532303</v>
      </c>
      <c r="I151" s="21" t="n">
        <f aca="false">I$5*4_Normalizacion!I149</f>
        <v>0.00281086825420146</v>
      </c>
      <c r="J151" s="21" t="n">
        <f aca="false">J$5*4_Normalizacion!J149</f>
        <v>0.000340756055204318</v>
      </c>
      <c r="K151" s="21" t="n">
        <f aca="false">K$5*4_Normalizacion!K149</f>
        <v>3.90133374367575E-005</v>
      </c>
      <c r="L151" s="21" t="n">
        <f aca="false">L$5*4_Normalizacion!L149</f>
        <v>0.00180699064302656</v>
      </c>
      <c r="M151" s="21" t="n">
        <f aca="false">M$5*4_Normalizacion!M149</f>
        <v>0.000413943672841188</v>
      </c>
      <c r="N151" s="21" t="n">
        <f aca="false">N$5*4_Normalizacion!N149</f>
        <v>0.00151979606525836</v>
      </c>
      <c r="O151" s="21" t="n">
        <f aca="false">O$5*4_Normalizacion!O149</f>
        <v>0.00200587264654955</v>
      </c>
      <c r="P151" s="21" t="n">
        <f aca="false">P$5*4_Normalizacion!P149</f>
        <v>0.00135841219936972</v>
      </c>
      <c r="Q151" s="21" t="n">
        <f aca="false">Q$5*4_Normalizacion!Q149</f>
        <v>0.0142963285899449</v>
      </c>
    </row>
    <row r="152" customFormat="false" ht="15" hidden="false" customHeight="false" outlineLevel="0" collapsed="false">
      <c r="A152" s="15" t="n">
        <f aca="false">4_Normalizacion!A150</f>
        <v>145</v>
      </c>
      <c r="B152" s="16" t="n">
        <f aca="false">4_Normalizacion!B150</f>
        <v>14.761</v>
      </c>
      <c r="C152" s="21" t="n">
        <f aca="false">C$5*4_Normalizacion!C150</f>
        <v>0.00211491006743141</v>
      </c>
      <c r="D152" s="21" t="n">
        <f aca="false">D$5*4_Normalizacion!D150</f>
        <v>0.00016434498190068</v>
      </c>
      <c r="E152" s="21" t="n">
        <f aca="false">E$5*4_Normalizacion!E150</f>
        <v>0.00185693905364827</v>
      </c>
      <c r="F152" s="21" t="n">
        <f aca="false">F$5*4_Normalizacion!F150</f>
        <v>0.0020175467426038</v>
      </c>
      <c r="G152" s="21" t="n">
        <f aca="false">G$5*4_Normalizacion!G150</f>
        <v>0.000280339284607229</v>
      </c>
      <c r="H152" s="21" t="n">
        <f aca="false">H$5*4_Normalizacion!H150</f>
        <v>0.00679018357532303</v>
      </c>
      <c r="I152" s="21" t="n">
        <f aca="false">I$5*4_Normalizacion!I150</f>
        <v>0.00281086825420146</v>
      </c>
      <c r="J152" s="21" t="n">
        <f aca="false">J$5*4_Normalizacion!J150</f>
        <v>0.000340756055204318</v>
      </c>
      <c r="K152" s="21" t="n">
        <f aca="false">K$5*4_Normalizacion!K150</f>
        <v>3.90133374367575E-005</v>
      </c>
      <c r="L152" s="21" t="n">
        <f aca="false">L$5*4_Normalizacion!L150</f>
        <v>0.00190626482374777</v>
      </c>
      <c r="M152" s="21" t="n">
        <f aca="false">M$5*4_Normalizacion!M150</f>
        <v>0.000438317601681138</v>
      </c>
      <c r="N152" s="21" t="n">
        <f aca="false">N$5*4_Normalizacion!N150</f>
        <v>0.00151979606525836</v>
      </c>
      <c r="O152" s="21" t="n">
        <f aca="false">O$5*4_Normalizacion!O150</f>
        <v>0.00200587264654955</v>
      </c>
      <c r="P152" s="21" t="n">
        <f aca="false">P$5*4_Normalizacion!P150</f>
        <v>0.00135841219936972</v>
      </c>
      <c r="Q152" s="21" t="n">
        <f aca="false">Q$5*4_Normalizacion!Q150</f>
        <v>0.0114370628719559</v>
      </c>
    </row>
    <row r="153" customFormat="false" ht="15" hidden="false" customHeight="false" outlineLevel="0" collapsed="false">
      <c r="A153" s="15" t="n">
        <f aca="false">4_Normalizacion!A151</f>
        <v>146</v>
      </c>
      <c r="B153" s="16" t="n">
        <f aca="false">4_Normalizacion!B151</f>
        <v>14.857</v>
      </c>
      <c r="C153" s="21" t="n">
        <f aca="false">C$5*4_Normalizacion!C151</f>
        <v>0.00211491006743141</v>
      </c>
      <c r="D153" s="21" t="n">
        <f aca="false">D$5*4_Normalizacion!D151</f>
        <v>0.00016434498190068</v>
      </c>
      <c r="E153" s="21" t="n">
        <f aca="false">E$5*4_Normalizacion!E151</f>
        <v>0.00185693905364827</v>
      </c>
      <c r="F153" s="21" t="n">
        <f aca="false">F$5*4_Normalizacion!F151</f>
        <v>0.0020175467426038</v>
      </c>
      <c r="G153" s="21" t="n">
        <f aca="false">G$5*4_Normalizacion!G151</f>
        <v>0.000280339284607229</v>
      </c>
      <c r="H153" s="21" t="n">
        <f aca="false">H$5*4_Normalizacion!H151</f>
        <v>0.00679018357532303</v>
      </c>
      <c r="I153" s="21" t="n">
        <f aca="false">I$5*4_Normalizacion!I151</f>
        <v>0.00281086825420146</v>
      </c>
      <c r="J153" s="21" t="n">
        <f aca="false">J$5*4_Normalizacion!J151</f>
        <v>0.000340756055204318</v>
      </c>
      <c r="K153" s="21" t="n">
        <f aca="false">K$5*4_Normalizacion!K151</f>
        <v>3.90133374367575E-005</v>
      </c>
      <c r="L153" s="21" t="n">
        <f aca="false">L$5*4_Normalizacion!L151</f>
        <v>0.0019594116073662</v>
      </c>
      <c r="M153" s="21" t="n">
        <f aca="false">M$5*4_Normalizacion!M151</f>
        <v>0.00041642237746898</v>
      </c>
      <c r="N153" s="21" t="n">
        <f aca="false">N$5*4_Normalizacion!N151</f>
        <v>0.00151979606525836</v>
      </c>
      <c r="O153" s="21" t="n">
        <f aca="false">O$5*4_Normalizacion!O151</f>
        <v>0.00200587264654955</v>
      </c>
      <c r="P153" s="21" t="n">
        <f aca="false">P$5*4_Normalizacion!P151</f>
        <v>0.00135841219936972</v>
      </c>
      <c r="Q153" s="21" t="n">
        <f aca="false">Q$5*4_Normalizacion!Q151</f>
        <v>0.0142963285899449</v>
      </c>
    </row>
    <row r="154" customFormat="false" ht="15" hidden="false" customHeight="false" outlineLevel="0" collapsed="false">
      <c r="A154" s="15" t="n">
        <f aca="false">4_Normalizacion!A152</f>
        <v>147</v>
      </c>
      <c r="B154" s="16" t="n">
        <f aca="false">4_Normalizacion!B152</f>
        <v>14.954</v>
      </c>
      <c r="C154" s="21" t="n">
        <f aca="false">C$5*4_Normalizacion!C152</f>
        <v>0.00211491006743141</v>
      </c>
      <c r="D154" s="21" t="n">
        <f aca="false">D$5*4_Normalizacion!D152</f>
        <v>0.00016434498190068</v>
      </c>
      <c r="E154" s="21" t="n">
        <f aca="false">E$5*4_Normalizacion!E152</f>
        <v>0.00185693905364827</v>
      </c>
      <c r="F154" s="21" t="n">
        <f aca="false">F$5*4_Normalizacion!F152</f>
        <v>0.0020175467426038</v>
      </c>
      <c r="G154" s="21" t="n">
        <f aca="false">G$5*4_Normalizacion!G152</f>
        <v>0.000280339284607229</v>
      </c>
      <c r="H154" s="21" t="n">
        <f aca="false">H$5*4_Normalizacion!H152</f>
        <v>0.00679018357532303</v>
      </c>
      <c r="I154" s="21" t="n">
        <f aca="false">I$5*4_Normalizacion!I152</f>
        <v>0.00281086825420146</v>
      </c>
      <c r="J154" s="21" t="n">
        <f aca="false">J$5*4_Normalizacion!J152</f>
        <v>0.000340756055204318</v>
      </c>
      <c r="K154" s="21" t="n">
        <f aca="false">K$5*4_Normalizacion!K152</f>
        <v>3.90133374367575E-005</v>
      </c>
      <c r="L154" s="21" t="n">
        <f aca="false">L$5*4_Normalizacion!L152</f>
        <v>0.00196041437686843</v>
      </c>
      <c r="M154" s="21" t="n">
        <f aca="false">M$5*4_Normalizacion!M152</f>
        <v>0.000429642135483868</v>
      </c>
      <c r="N154" s="21" t="n">
        <f aca="false">N$5*4_Normalizacion!N152</f>
        <v>0.00151979606525836</v>
      </c>
      <c r="O154" s="21" t="n">
        <f aca="false">O$5*4_Normalizacion!O152</f>
        <v>0.00200587264654955</v>
      </c>
      <c r="P154" s="21" t="n">
        <f aca="false">P$5*4_Normalizacion!P152</f>
        <v>0.00135841219936972</v>
      </c>
      <c r="Q154" s="21" t="n">
        <f aca="false">Q$5*4_Normalizacion!Q152</f>
        <v>0.0114370628719559</v>
      </c>
    </row>
    <row r="155" customFormat="false" ht="15" hidden="false" customHeight="false" outlineLevel="0" collapsed="false">
      <c r="A155" s="15" t="n">
        <f aca="false">4_Normalizacion!A153</f>
        <v>148</v>
      </c>
      <c r="B155" s="16" t="n">
        <f aca="false">4_Normalizacion!B153</f>
        <v>15.052</v>
      </c>
      <c r="C155" s="21" t="n">
        <f aca="false">C$5*4_Normalizacion!C153</f>
        <v>0.00211491006743141</v>
      </c>
      <c r="D155" s="21" t="n">
        <f aca="false">D$5*4_Normalizacion!D153</f>
        <v>0.00020543122737585</v>
      </c>
      <c r="E155" s="21" t="n">
        <f aca="false">E$5*4_Normalizacion!E153</f>
        <v>0.00185693905364827</v>
      </c>
      <c r="F155" s="21" t="n">
        <f aca="false">F$5*4_Normalizacion!F153</f>
        <v>0.0020175467426038</v>
      </c>
      <c r="G155" s="21" t="n">
        <f aca="false">G$5*4_Normalizacion!G153</f>
        <v>0.000280339284607229</v>
      </c>
      <c r="H155" s="21" t="n">
        <f aca="false">H$5*4_Normalizacion!H153</f>
        <v>0.00679018357532303</v>
      </c>
      <c r="I155" s="21" t="n">
        <f aca="false">I$5*4_Normalizacion!I153</f>
        <v>0.00281086825420146</v>
      </c>
      <c r="J155" s="21" t="n">
        <f aca="false">J$5*4_Normalizacion!J153</f>
        <v>0.000340756055204318</v>
      </c>
      <c r="K155" s="21" t="n">
        <f aca="false">K$5*4_Normalizacion!K153</f>
        <v>3.90133374367575E-005</v>
      </c>
      <c r="L155" s="21" t="n">
        <f aca="false">L$5*4_Normalizacion!L153</f>
        <v>0.00143546454244868</v>
      </c>
      <c r="M155" s="21" t="n">
        <f aca="false">M$5*4_Normalizacion!M153</f>
        <v>0.000572167651581882</v>
      </c>
      <c r="N155" s="21" t="n">
        <f aca="false">N$5*4_Normalizacion!N153</f>
        <v>0.00151979606525836</v>
      </c>
      <c r="O155" s="21" t="n">
        <f aca="false">O$5*4_Normalizacion!O153</f>
        <v>0.00200587264654955</v>
      </c>
      <c r="P155" s="21" t="n">
        <f aca="false">P$5*4_Normalizacion!P153</f>
        <v>0.00135841219936972</v>
      </c>
      <c r="Q155" s="21" t="n">
        <f aca="false">Q$5*4_Normalizacion!Q153</f>
        <v>0.0114370628719559</v>
      </c>
    </row>
    <row r="156" customFormat="false" ht="15" hidden="false" customHeight="false" outlineLevel="0" collapsed="false">
      <c r="A156" s="15" t="n">
        <f aca="false">4_Normalizacion!A154</f>
        <v>149</v>
      </c>
      <c r="B156" s="16" t="n">
        <f aca="false">4_Normalizacion!B154</f>
        <v>15.151</v>
      </c>
      <c r="C156" s="21" t="n">
        <f aca="false">C$5*4_Normalizacion!C154</f>
        <v>0.00211491006743141</v>
      </c>
      <c r="D156" s="21" t="n">
        <f aca="false">D$5*4_Normalizacion!D154</f>
        <v>0.00016434498190068</v>
      </c>
      <c r="E156" s="21" t="n">
        <f aca="false">E$5*4_Normalizacion!E154</f>
        <v>0.00185693905364827</v>
      </c>
      <c r="F156" s="21" t="n">
        <f aca="false">F$5*4_Normalizacion!F154</f>
        <v>0.0020175467426038</v>
      </c>
      <c r="G156" s="21" t="n">
        <f aca="false">G$5*4_Normalizacion!G154</f>
        <v>0.000280339284607229</v>
      </c>
      <c r="H156" s="21" t="n">
        <f aca="false">H$5*4_Normalizacion!H154</f>
        <v>0.00679018357532303</v>
      </c>
      <c r="I156" s="21" t="n">
        <f aca="false">I$5*4_Normalizacion!I154</f>
        <v>0.00281086825420146</v>
      </c>
      <c r="J156" s="21" t="n">
        <f aca="false">J$5*4_Normalizacion!J154</f>
        <v>0.000340756055204318</v>
      </c>
      <c r="K156" s="21" t="n">
        <f aca="false">K$5*4_Normalizacion!K154</f>
        <v>3.90133374367575E-005</v>
      </c>
      <c r="L156" s="21" t="n">
        <f aca="false">L$5*4_Normalizacion!L154</f>
        <v>0.00103636228055935</v>
      </c>
      <c r="M156" s="21" t="n">
        <f aca="false">M$5*4_Normalizacion!M154</f>
        <v>0.000662227253058308</v>
      </c>
      <c r="N156" s="21" t="n">
        <f aca="false">N$5*4_Normalizacion!N154</f>
        <v>0.00151979606525836</v>
      </c>
      <c r="O156" s="21" t="n">
        <f aca="false">O$5*4_Normalizacion!O154</f>
        <v>0.00200587264654955</v>
      </c>
      <c r="P156" s="21" t="n">
        <f aca="false">P$5*4_Normalizacion!P154</f>
        <v>0.00135841219936972</v>
      </c>
      <c r="Q156" s="21" t="n">
        <f aca="false">Q$5*4_Normalizacion!Q154</f>
        <v>0.00285926571798898</v>
      </c>
    </row>
    <row r="157" customFormat="false" ht="15" hidden="false" customHeight="false" outlineLevel="0" collapsed="false">
      <c r="A157" s="15" t="n">
        <f aca="false">4_Normalizacion!A155</f>
        <v>150</v>
      </c>
      <c r="B157" s="16" t="n">
        <f aca="false">4_Normalizacion!B155</f>
        <v>15.251</v>
      </c>
      <c r="C157" s="21" t="n">
        <f aca="false">C$5*4_Normalizacion!C155</f>
        <v>0.00211491006743141</v>
      </c>
      <c r="D157" s="21" t="n">
        <f aca="false">D$5*4_Normalizacion!D155</f>
        <v>0.00016434498190068</v>
      </c>
      <c r="E157" s="21" t="n">
        <f aca="false">E$5*4_Normalizacion!E155</f>
        <v>0.00185693905364827</v>
      </c>
      <c r="F157" s="21" t="n">
        <f aca="false">F$5*4_Normalizacion!F155</f>
        <v>0.0020175467426038</v>
      </c>
      <c r="G157" s="21" t="n">
        <f aca="false">G$5*4_Normalizacion!G155</f>
        <v>0.000280339284607229</v>
      </c>
      <c r="H157" s="21" t="n">
        <f aca="false">H$5*4_Normalizacion!H155</f>
        <v>0.00679018357532303</v>
      </c>
      <c r="I157" s="21" t="n">
        <f aca="false">I$5*4_Normalizacion!I155</f>
        <v>0.00281086825420146</v>
      </c>
      <c r="J157" s="21" t="n">
        <f aca="false">J$5*4_Normalizacion!J155</f>
        <v>0.000340756055204318</v>
      </c>
      <c r="K157" s="21" t="n">
        <f aca="false">K$5*4_Normalizacion!K155</f>
        <v>3.90133374367575E-005</v>
      </c>
      <c r="L157" s="21" t="n">
        <f aca="false">L$5*4_Normalizacion!L155</f>
        <v>0.00138281914358137</v>
      </c>
      <c r="M157" s="21" t="n">
        <f aca="false">M$5*4_Normalizacion!M155</f>
        <v>0.000611620366907564</v>
      </c>
      <c r="N157" s="21" t="n">
        <f aca="false">N$5*4_Normalizacion!N155</f>
        <v>0.00151979606525836</v>
      </c>
      <c r="O157" s="21" t="n">
        <f aca="false">O$5*4_Normalizacion!O155</f>
        <v>0.00200587264654955</v>
      </c>
      <c r="P157" s="21" t="n">
        <f aca="false">P$5*4_Normalizacion!P155</f>
        <v>0.00135841219936972</v>
      </c>
      <c r="Q157" s="21" t="n">
        <f aca="false">Q$5*4_Normalizacion!Q155</f>
        <v>0.00857779715396695</v>
      </c>
    </row>
    <row r="158" customFormat="false" ht="15" hidden="false" customHeight="false" outlineLevel="0" collapsed="false">
      <c r="A158" s="15" t="n">
        <f aca="false">4_Normalizacion!A156</f>
        <v>151</v>
      </c>
      <c r="B158" s="16" t="n">
        <f aca="false">4_Normalizacion!B156</f>
        <v>15.352</v>
      </c>
      <c r="C158" s="21" t="n">
        <f aca="false">C$5*4_Normalizacion!C156</f>
        <v>0.00211491006743141</v>
      </c>
      <c r="D158" s="21" t="n">
        <f aca="false">D$5*4_Normalizacion!D156</f>
        <v>0.00016434498190068</v>
      </c>
      <c r="E158" s="21" t="n">
        <f aca="false">E$5*4_Normalizacion!E156</f>
        <v>0.00185693905364827</v>
      </c>
      <c r="F158" s="21" t="n">
        <f aca="false">F$5*4_Normalizacion!F156</f>
        <v>0.0020175467426038</v>
      </c>
      <c r="G158" s="21" t="n">
        <f aca="false">G$5*4_Normalizacion!G156</f>
        <v>0.000280339284607229</v>
      </c>
      <c r="H158" s="21" t="n">
        <f aca="false">H$5*4_Normalizacion!H156</f>
        <v>0.00679018357532303</v>
      </c>
      <c r="I158" s="21" t="n">
        <f aca="false">I$5*4_Normalizacion!I156</f>
        <v>0.00281086825420146</v>
      </c>
      <c r="J158" s="21" t="n">
        <f aca="false">J$5*4_Normalizacion!J156</f>
        <v>0.000340756055204318</v>
      </c>
      <c r="K158" s="21" t="n">
        <f aca="false">K$5*4_Normalizacion!K156</f>
        <v>3.90133374367575E-005</v>
      </c>
      <c r="L158" s="21" t="n">
        <f aca="false">L$5*4_Normalizacion!L156</f>
        <v>0.00149914040584057</v>
      </c>
      <c r="M158" s="21" t="n">
        <f aca="false">M$5*4_Normalizacion!M156</f>
        <v>0.000534987082165009</v>
      </c>
      <c r="N158" s="21" t="n">
        <f aca="false">N$5*4_Normalizacion!N156</f>
        <v>0.00151979606525836</v>
      </c>
      <c r="O158" s="21" t="n">
        <f aca="false">O$5*4_Normalizacion!O156</f>
        <v>0.00200587264654955</v>
      </c>
      <c r="P158" s="21" t="n">
        <f aca="false">P$5*4_Normalizacion!P156</f>
        <v>0.00135841219936972</v>
      </c>
      <c r="Q158" s="21" t="n">
        <f aca="false">Q$5*4_Normalizacion!Q156</f>
        <v>0.00857779715396695</v>
      </c>
    </row>
    <row r="159" customFormat="false" ht="15" hidden="false" customHeight="false" outlineLevel="0" collapsed="false">
      <c r="A159" s="15" t="n">
        <f aca="false">4_Normalizacion!A157</f>
        <v>152</v>
      </c>
      <c r="B159" s="16" t="n">
        <f aca="false">4_Normalizacion!B157</f>
        <v>15.454</v>
      </c>
      <c r="C159" s="21" t="n">
        <f aca="false">C$5*4_Normalizacion!C157</f>
        <v>0.00211491006743141</v>
      </c>
      <c r="D159" s="21" t="n">
        <f aca="false">D$5*4_Normalizacion!D157</f>
        <v>0.00016434498190068</v>
      </c>
      <c r="E159" s="21" t="n">
        <f aca="false">E$5*4_Normalizacion!E157</f>
        <v>0.00185693905364827</v>
      </c>
      <c r="F159" s="21" t="n">
        <f aca="false">F$5*4_Normalizacion!F157</f>
        <v>0.0020175467426038</v>
      </c>
      <c r="G159" s="21" t="n">
        <f aca="false">G$5*4_Normalizacion!G157</f>
        <v>0.000280339284607229</v>
      </c>
      <c r="H159" s="21" t="n">
        <f aca="false">H$5*4_Normalizacion!H157</f>
        <v>0.00679018357532303</v>
      </c>
      <c r="I159" s="21" t="n">
        <f aca="false">I$5*4_Normalizacion!I157</f>
        <v>0.00281086825420146</v>
      </c>
      <c r="J159" s="21" t="n">
        <f aca="false">J$5*4_Normalizacion!J157</f>
        <v>0.000340756055204318</v>
      </c>
      <c r="K159" s="21" t="n">
        <f aca="false">K$5*4_Normalizacion!K157</f>
        <v>3.90133374367575E-005</v>
      </c>
      <c r="L159" s="21" t="n">
        <f aca="false">L$5*4_Normalizacion!L157</f>
        <v>0.001689165226514</v>
      </c>
      <c r="M159" s="21" t="n">
        <f aca="false">M$5*4_Normalizacion!M157</f>
        <v>0.000510819712044041</v>
      </c>
      <c r="N159" s="21" t="n">
        <f aca="false">N$5*4_Normalizacion!N157</f>
        <v>0.00151979606525836</v>
      </c>
      <c r="O159" s="21" t="n">
        <f aca="false">O$5*4_Normalizacion!O157</f>
        <v>0.00200587264654955</v>
      </c>
      <c r="P159" s="21" t="n">
        <f aca="false">P$5*4_Normalizacion!P157</f>
        <v>0.00135841219936972</v>
      </c>
      <c r="Q159" s="21" t="n">
        <f aca="false">Q$5*4_Normalizacion!Q157</f>
        <v>0.0114370628719559</v>
      </c>
    </row>
    <row r="160" customFormat="false" ht="15" hidden="false" customHeight="false" outlineLevel="0" collapsed="false">
      <c r="A160" s="15" t="n">
        <f aca="false">4_Normalizacion!A158</f>
        <v>153</v>
      </c>
      <c r="B160" s="16" t="n">
        <f aca="false">4_Normalizacion!B158</f>
        <v>15.555</v>
      </c>
      <c r="C160" s="21" t="n">
        <f aca="false">C$5*4_Normalizacion!C158</f>
        <v>0.00211491006743141</v>
      </c>
      <c r="D160" s="21" t="n">
        <f aca="false">D$5*4_Normalizacion!D158</f>
        <v>0.00016434498190068</v>
      </c>
      <c r="E160" s="21" t="n">
        <f aca="false">E$5*4_Normalizacion!E158</f>
        <v>0.00185693905364827</v>
      </c>
      <c r="F160" s="21" t="n">
        <f aca="false">F$5*4_Normalizacion!F158</f>
        <v>0.0020175467426038</v>
      </c>
      <c r="G160" s="21" t="n">
        <f aca="false">G$5*4_Normalizacion!G158</f>
        <v>0.000280339284607229</v>
      </c>
      <c r="H160" s="21" t="n">
        <f aca="false">H$5*4_Normalizacion!H158</f>
        <v>0.00679018357532303</v>
      </c>
      <c r="I160" s="21" t="n">
        <f aca="false">I$5*4_Normalizacion!I158</f>
        <v>0.00281086825420146</v>
      </c>
      <c r="J160" s="21" t="n">
        <f aca="false">J$5*4_Normalizacion!J158</f>
        <v>0.000340756055204318</v>
      </c>
      <c r="K160" s="21" t="n">
        <f aca="false">K$5*4_Normalizacion!K158</f>
        <v>3.90133374367575E-005</v>
      </c>
      <c r="L160" s="21" t="n">
        <f aca="false">L$5*4_Normalizacion!L158</f>
        <v>0.00186765819791174</v>
      </c>
      <c r="M160" s="21" t="n">
        <f aca="false">M$5*4_Normalizacion!M158</f>
        <v>0.000443688128374687</v>
      </c>
      <c r="N160" s="21" t="n">
        <f aca="false">N$5*4_Normalizacion!N158</f>
        <v>0.00151979606525836</v>
      </c>
      <c r="O160" s="21" t="n">
        <f aca="false">O$5*4_Normalizacion!O158</f>
        <v>0.00200587264654955</v>
      </c>
      <c r="P160" s="21" t="n">
        <f aca="false">P$5*4_Normalizacion!P158</f>
        <v>0.00135841219936972</v>
      </c>
      <c r="Q160" s="21" t="n">
        <f aca="false">Q$5*4_Normalizacion!Q158</f>
        <v>0.0142963285899449</v>
      </c>
    </row>
    <row r="161" customFormat="false" ht="15" hidden="false" customHeight="false" outlineLevel="0" collapsed="false">
      <c r="A161" s="15" t="n">
        <f aca="false">4_Normalizacion!A159</f>
        <v>154</v>
      </c>
      <c r="B161" s="16" t="n">
        <f aca="false">4_Normalizacion!B159</f>
        <v>15.657</v>
      </c>
      <c r="C161" s="21" t="n">
        <f aca="false">C$5*4_Normalizacion!C159</f>
        <v>0.00211491006743141</v>
      </c>
      <c r="D161" s="21" t="n">
        <f aca="false">D$5*4_Normalizacion!D159</f>
        <v>0.00016434498190068</v>
      </c>
      <c r="E161" s="21" t="n">
        <f aca="false">E$5*4_Normalizacion!E159</f>
        <v>0.00185693905364827</v>
      </c>
      <c r="F161" s="21" t="n">
        <f aca="false">F$5*4_Normalizacion!F159</f>
        <v>0.0020175467426038</v>
      </c>
      <c r="G161" s="21" t="n">
        <f aca="false">G$5*4_Normalizacion!G159</f>
        <v>0.000280339284607229</v>
      </c>
      <c r="H161" s="21" t="n">
        <f aca="false">H$5*4_Normalizacion!H159</f>
        <v>0.00679018357532303</v>
      </c>
      <c r="I161" s="21" t="n">
        <f aca="false">I$5*4_Normalizacion!I159</f>
        <v>0.00281086825420146</v>
      </c>
      <c r="J161" s="21" t="n">
        <f aca="false">J$5*4_Normalizacion!J159</f>
        <v>0.000340756055204318</v>
      </c>
      <c r="K161" s="21" t="n">
        <f aca="false">K$5*4_Normalizacion!K159</f>
        <v>3.90133374367575E-005</v>
      </c>
      <c r="L161" s="21" t="n">
        <f aca="false">L$5*4_Normalizacion!L159</f>
        <v>0.00184258896035588</v>
      </c>
      <c r="M161" s="21" t="n">
        <f aca="false">M$5*4_Normalizacion!M159</f>
        <v>0.000432533957549625</v>
      </c>
      <c r="N161" s="21" t="n">
        <f aca="false">N$5*4_Normalizacion!N159</f>
        <v>0.00151979606525836</v>
      </c>
      <c r="O161" s="21" t="n">
        <f aca="false">O$5*4_Normalizacion!O159</f>
        <v>0.00200587264654955</v>
      </c>
      <c r="P161" s="21" t="n">
        <f aca="false">P$5*4_Normalizacion!P159</f>
        <v>0.00135841219936972</v>
      </c>
      <c r="Q161" s="21" t="n">
        <f aca="false">Q$5*4_Normalizacion!Q159</f>
        <v>0.00857779715396695</v>
      </c>
    </row>
    <row r="162" customFormat="false" ht="15" hidden="false" customHeight="false" outlineLevel="0" collapsed="false">
      <c r="A162" s="15" t="n">
        <f aca="false">4_Normalizacion!A160</f>
        <v>155</v>
      </c>
      <c r="B162" s="16" t="n">
        <f aca="false">4_Normalizacion!B160</f>
        <v>15.758</v>
      </c>
      <c r="C162" s="21" t="n">
        <f aca="false">C$5*4_Normalizacion!C160</f>
        <v>0.00211491006743141</v>
      </c>
      <c r="D162" s="21" t="n">
        <f aca="false">D$5*4_Normalizacion!D160</f>
        <v>0.00016434498190068</v>
      </c>
      <c r="E162" s="21" t="n">
        <f aca="false">E$5*4_Normalizacion!E160</f>
        <v>0.00185693905364827</v>
      </c>
      <c r="F162" s="21" t="n">
        <f aca="false">F$5*4_Normalizacion!F160</f>
        <v>0.0020175467426038</v>
      </c>
      <c r="G162" s="21" t="n">
        <f aca="false">G$5*4_Normalizacion!G160</f>
        <v>0.000280339284607229</v>
      </c>
      <c r="H162" s="21" t="n">
        <f aca="false">H$5*4_Normalizacion!H160</f>
        <v>0.00679018357532303</v>
      </c>
      <c r="I162" s="21" t="n">
        <f aca="false">I$5*4_Normalizacion!I160</f>
        <v>0.00281086825420146</v>
      </c>
      <c r="J162" s="21" t="n">
        <f aca="false">J$5*4_Normalizacion!J160</f>
        <v>0.000340756055204318</v>
      </c>
      <c r="K162" s="21" t="n">
        <f aca="false">K$5*4_Normalizacion!K160</f>
        <v>3.90133374367575E-005</v>
      </c>
      <c r="L162" s="21" t="n">
        <f aca="false">L$5*4_Normalizacion!L160</f>
        <v>0.00150164732959615</v>
      </c>
      <c r="M162" s="21" t="n">
        <f aca="false">M$5*4_Normalizacion!M160</f>
        <v>0.000528583761876547</v>
      </c>
      <c r="N162" s="21" t="n">
        <f aca="false">N$5*4_Normalizacion!N160</f>
        <v>0.00151979606525836</v>
      </c>
      <c r="O162" s="21" t="n">
        <f aca="false">O$5*4_Normalizacion!O160</f>
        <v>0.00200587264654955</v>
      </c>
      <c r="P162" s="21" t="n">
        <f aca="false">P$5*4_Normalizacion!P160</f>
        <v>0.00135841219936972</v>
      </c>
      <c r="Q162" s="21" t="n">
        <f aca="false">Q$5*4_Normalizacion!Q160</f>
        <v>0.00857779715396695</v>
      </c>
    </row>
    <row r="163" customFormat="false" ht="15" hidden="false" customHeight="false" outlineLevel="0" collapsed="false">
      <c r="A163" s="15" t="n">
        <f aca="false">4_Normalizacion!A161</f>
        <v>156</v>
      </c>
      <c r="B163" s="16" t="n">
        <f aca="false">4_Normalizacion!B161</f>
        <v>15.858</v>
      </c>
      <c r="C163" s="21" t="n">
        <f aca="false">C$5*4_Normalizacion!C161</f>
        <v>0.00211491006743141</v>
      </c>
      <c r="D163" s="21" t="n">
        <f aca="false">D$5*4_Normalizacion!D161</f>
        <v>0.00016434498190068</v>
      </c>
      <c r="E163" s="21" t="n">
        <f aca="false">E$5*4_Normalizacion!E161</f>
        <v>0.00185693905364827</v>
      </c>
      <c r="F163" s="21" t="n">
        <f aca="false">F$5*4_Normalizacion!F161</f>
        <v>0.0020175467426038</v>
      </c>
      <c r="G163" s="21" t="n">
        <f aca="false">G$5*4_Normalizacion!G161</f>
        <v>0.000280339284607229</v>
      </c>
      <c r="H163" s="21" t="n">
        <f aca="false">H$5*4_Normalizacion!H161</f>
        <v>0.00679018357532303</v>
      </c>
      <c r="I163" s="21" t="n">
        <f aca="false">I$5*4_Normalizacion!I161</f>
        <v>0.00281086825420146</v>
      </c>
      <c r="J163" s="21" t="n">
        <f aca="false">J$5*4_Normalizacion!J161</f>
        <v>0.000340756055204318</v>
      </c>
      <c r="K163" s="21" t="n">
        <f aca="false">K$5*4_Normalizacion!K161</f>
        <v>3.90133374367575E-005</v>
      </c>
      <c r="L163" s="21" t="n">
        <f aca="false">L$5*4_Normalizacion!L161</f>
        <v>0.00165055860067798</v>
      </c>
      <c r="M163" s="21" t="n">
        <f aca="false">M$5*4_Normalizacion!M161</f>
        <v>0.000518668943365381</v>
      </c>
      <c r="N163" s="21" t="n">
        <f aca="false">N$5*4_Normalizacion!N161</f>
        <v>0.00151979606525836</v>
      </c>
      <c r="O163" s="21" t="n">
        <f aca="false">O$5*4_Normalizacion!O161</f>
        <v>0.00200587264654955</v>
      </c>
      <c r="P163" s="21" t="n">
        <f aca="false">P$5*4_Normalizacion!P161</f>
        <v>0.00135841219936972</v>
      </c>
      <c r="Q163" s="21" t="n">
        <f aca="false">Q$5*4_Normalizacion!Q161</f>
        <v>0.00857779715396695</v>
      </c>
    </row>
    <row r="164" customFormat="false" ht="15" hidden="false" customHeight="false" outlineLevel="0" collapsed="false">
      <c r="A164" s="15" t="n">
        <f aca="false">4_Normalizacion!A162</f>
        <v>157</v>
      </c>
      <c r="B164" s="16" t="n">
        <f aca="false">4_Normalizacion!B162</f>
        <v>15.957</v>
      </c>
      <c r="C164" s="21" t="n">
        <f aca="false">C$5*4_Normalizacion!C162</f>
        <v>0.00211491006743141</v>
      </c>
      <c r="D164" s="21" t="n">
        <f aca="false">D$5*4_Normalizacion!D162</f>
        <v>0.00016434498190068</v>
      </c>
      <c r="E164" s="21" t="n">
        <f aca="false">E$5*4_Normalizacion!E162</f>
        <v>0.00185693905364827</v>
      </c>
      <c r="F164" s="21" t="n">
        <f aca="false">F$5*4_Normalizacion!F162</f>
        <v>0.0020175467426038</v>
      </c>
      <c r="G164" s="21" t="n">
        <f aca="false">G$5*4_Normalizacion!G162</f>
        <v>0.000280339284607229</v>
      </c>
      <c r="H164" s="21" t="n">
        <f aca="false">H$5*4_Normalizacion!H162</f>
        <v>0.00679018357532303</v>
      </c>
      <c r="I164" s="21" t="n">
        <f aca="false">I$5*4_Normalizacion!I162</f>
        <v>0.00281086825420146</v>
      </c>
      <c r="J164" s="21" t="n">
        <f aca="false">J$5*4_Normalizacion!J162</f>
        <v>0.000340756055204318</v>
      </c>
      <c r="K164" s="21" t="n">
        <f aca="false">K$5*4_Normalizacion!K162</f>
        <v>3.90133374367575E-005</v>
      </c>
      <c r="L164" s="21" t="n">
        <f aca="false">L$5*4_Normalizacion!L162</f>
        <v>0.00123641479625513</v>
      </c>
      <c r="M164" s="21" t="n">
        <f aca="false">M$5*4_Normalizacion!M162</f>
        <v>0.000572993886457813</v>
      </c>
      <c r="N164" s="21" t="n">
        <f aca="false">N$5*4_Normalizacion!N162</f>
        <v>0.00151979606525836</v>
      </c>
      <c r="O164" s="21" t="n">
        <f aca="false">O$5*4_Normalizacion!O162</f>
        <v>0.00200587264654955</v>
      </c>
      <c r="P164" s="21" t="n">
        <f aca="false">P$5*4_Normalizacion!P162</f>
        <v>0.00135841219936972</v>
      </c>
      <c r="Q164" s="21" t="n">
        <f aca="false">Q$5*4_Normalizacion!Q162</f>
        <v>0.0114370628719559</v>
      </c>
    </row>
    <row r="165" customFormat="false" ht="15" hidden="false" customHeight="false" outlineLevel="0" collapsed="false">
      <c r="A165" s="15" t="n">
        <f aca="false">4_Normalizacion!A163</f>
        <v>158</v>
      </c>
      <c r="B165" s="16" t="n">
        <f aca="false">4_Normalizacion!B163</f>
        <v>16.056</v>
      </c>
      <c r="C165" s="21" t="n">
        <f aca="false">C$5*4_Normalizacion!C163</f>
        <v>0.00211491006743141</v>
      </c>
      <c r="D165" s="21" t="n">
        <f aca="false">D$5*4_Normalizacion!D163</f>
        <v>0.00016434498190068</v>
      </c>
      <c r="E165" s="21" t="n">
        <f aca="false">E$5*4_Normalizacion!E163</f>
        <v>0.00185693905364827</v>
      </c>
      <c r="F165" s="21" t="n">
        <f aca="false">F$5*4_Normalizacion!F163</f>
        <v>0.0020175467426038</v>
      </c>
      <c r="G165" s="21" t="n">
        <f aca="false">G$5*4_Normalizacion!G163</f>
        <v>0.000280339284607229</v>
      </c>
      <c r="H165" s="21" t="n">
        <f aca="false">H$5*4_Normalizacion!H163</f>
        <v>0.00679018357532303</v>
      </c>
      <c r="I165" s="21" t="n">
        <f aca="false">I$5*4_Normalizacion!I163</f>
        <v>0.00281086825420146</v>
      </c>
      <c r="J165" s="21" t="n">
        <f aca="false">J$5*4_Normalizacion!J163</f>
        <v>0.000340756055204318</v>
      </c>
      <c r="K165" s="21" t="n">
        <f aca="false">K$5*4_Normalizacion!K163</f>
        <v>3.1210669949406E-005</v>
      </c>
      <c r="L165" s="21" t="n">
        <f aca="false">L$5*4_Normalizacion!L163</f>
        <v>0.00102884150929259</v>
      </c>
      <c r="M165" s="21" t="n">
        <f aca="false">M$5*4_Normalizacion!M163</f>
        <v>0.000721096487968357</v>
      </c>
      <c r="N165" s="21" t="n">
        <f aca="false">N$5*4_Normalizacion!N163</f>
        <v>0.00151979606525836</v>
      </c>
      <c r="O165" s="21" t="n">
        <f aca="false">O$5*4_Normalizacion!O163</f>
        <v>0.00200587264654955</v>
      </c>
      <c r="P165" s="21" t="n">
        <f aca="false">P$5*4_Normalizacion!P163</f>
        <v>0.00135841219936972</v>
      </c>
      <c r="Q165" s="21" t="n">
        <f aca="false">Q$5*4_Normalizacion!Q163</f>
        <v>0.0142963285899449</v>
      </c>
    </row>
    <row r="166" customFormat="false" ht="15" hidden="false" customHeight="false" outlineLevel="0" collapsed="false">
      <c r="A166" s="15" t="n">
        <f aca="false">4_Normalizacion!A164</f>
        <v>159</v>
      </c>
      <c r="B166" s="16" t="n">
        <f aca="false">4_Normalizacion!B164</f>
        <v>16.153</v>
      </c>
      <c r="C166" s="21" t="n">
        <f aca="false">C$5*4_Normalizacion!C164</f>
        <v>0.00211491006743141</v>
      </c>
      <c r="D166" s="21" t="n">
        <f aca="false">D$5*4_Normalizacion!D164</f>
        <v>0.00020543122737585</v>
      </c>
      <c r="E166" s="21" t="n">
        <f aca="false">E$5*4_Normalizacion!E164</f>
        <v>0.00185693905364827</v>
      </c>
      <c r="F166" s="21" t="n">
        <f aca="false">F$5*4_Normalizacion!F164</f>
        <v>0.0020175467426038</v>
      </c>
      <c r="G166" s="21" t="n">
        <f aca="false">G$5*4_Normalizacion!G164</f>
        <v>0.000280339284607229</v>
      </c>
      <c r="H166" s="21" t="n">
        <f aca="false">H$5*4_Normalizacion!H164</f>
        <v>0.00679018357532303</v>
      </c>
      <c r="I166" s="21" t="n">
        <f aca="false">I$5*4_Normalizacion!I164</f>
        <v>0.00281086825420146</v>
      </c>
      <c r="J166" s="21" t="n">
        <f aca="false">J$5*4_Normalizacion!J164</f>
        <v>0.000340756055204318</v>
      </c>
      <c r="K166" s="21" t="n">
        <f aca="false">K$5*4_Normalizacion!K164</f>
        <v>3.1210669949406E-005</v>
      </c>
      <c r="L166" s="21" t="n">
        <f aca="false">L$5*4_Normalizacion!L164</f>
        <v>0.000926559020064672</v>
      </c>
      <c r="M166" s="21" t="n">
        <f aca="false">M$5*4_Normalizacion!M164</f>
        <v>0.000720270253092427</v>
      </c>
      <c r="N166" s="21" t="n">
        <f aca="false">N$5*4_Normalizacion!N164</f>
        <v>0.00151979606525836</v>
      </c>
      <c r="O166" s="21" t="n">
        <f aca="false">O$5*4_Normalizacion!O164</f>
        <v>0.00200587264654955</v>
      </c>
      <c r="P166" s="21" t="n">
        <f aca="false">P$5*4_Normalizacion!P164</f>
        <v>0.00135841219936972</v>
      </c>
      <c r="Q166" s="21" t="n">
        <f aca="false">Q$5*4_Normalizacion!Q164</f>
        <v>0.00285926571798898</v>
      </c>
    </row>
    <row r="167" customFormat="false" ht="15" hidden="false" customHeight="false" outlineLevel="0" collapsed="false">
      <c r="A167" s="15" t="n">
        <f aca="false">4_Normalizacion!A165</f>
        <v>160</v>
      </c>
      <c r="B167" s="16" t="n">
        <f aca="false">4_Normalizacion!B165</f>
        <v>16.251</v>
      </c>
      <c r="C167" s="21" t="n">
        <f aca="false">C$5*4_Normalizacion!C165</f>
        <v>0.00211491006743141</v>
      </c>
      <c r="D167" s="21" t="n">
        <f aca="false">D$5*4_Normalizacion!D165</f>
        <v>0.00016434498190068</v>
      </c>
      <c r="E167" s="21" t="n">
        <f aca="false">E$5*4_Normalizacion!E165</f>
        <v>0.00185693905364827</v>
      </c>
      <c r="F167" s="21" t="n">
        <f aca="false">F$5*4_Normalizacion!F165</f>
        <v>0.0020175467426038</v>
      </c>
      <c r="G167" s="21" t="n">
        <f aca="false">G$5*4_Normalizacion!G165</f>
        <v>0.000280339284607229</v>
      </c>
      <c r="H167" s="21" t="n">
        <f aca="false">H$5*4_Normalizacion!H165</f>
        <v>0.00679018357532303</v>
      </c>
      <c r="I167" s="21" t="n">
        <f aca="false">I$5*4_Normalizacion!I165</f>
        <v>0.00281086825420146</v>
      </c>
      <c r="J167" s="21" t="n">
        <f aca="false">J$5*4_Normalizacion!J165</f>
        <v>0.000340756055204318</v>
      </c>
      <c r="K167" s="21" t="n">
        <f aca="false">K$5*4_Normalizacion!K165</f>
        <v>3.90133374367575E-005</v>
      </c>
      <c r="L167" s="21" t="n">
        <f aca="false">L$5*4_Normalizacion!L165</f>
        <v>0.00152822072140537</v>
      </c>
      <c r="M167" s="21" t="n">
        <f aca="false">M$5*4_Normalizacion!M165</f>
        <v>0.000437078249367243</v>
      </c>
      <c r="N167" s="21" t="n">
        <f aca="false">N$5*4_Normalizacion!N165</f>
        <v>0.00151979606525836</v>
      </c>
      <c r="O167" s="21" t="n">
        <f aca="false">O$5*4_Normalizacion!O165</f>
        <v>0.00200587264654955</v>
      </c>
      <c r="P167" s="21" t="n">
        <f aca="false">P$5*4_Normalizacion!P165</f>
        <v>0.00135841219936972</v>
      </c>
      <c r="Q167" s="21" t="n">
        <f aca="false">Q$5*4_Normalizacion!Q165</f>
        <v>0.0114370628719559</v>
      </c>
    </row>
    <row r="168" customFormat="false" ht="15" hidden="false" customHeight="false" outlineLevel="0" collapsed="false">
      <c r="A168" s="15" t="n">
        <f aca="false">4_Normalizacion!A166</f>
        <v>161</v>
      </c>
      <c r="B168" s="16" t="n">
        <f aca="false">4_Normalizacion!B166</f>
        <v>16.348</v>
      </c>
      <c r="C168" s="21" t="n">
        <f aca="false">C$5*4_Normalizacion!C166</f>
        <v>0.00211491006743141</v>
      </c>
      <c r="D168" s="21" t="n">
        <f aca="false">D$5*4_Normalizacion!D166</f>
        <v>0.00016434498190068</v>
      </c>
      <c r="E168" s="21" t="n">
        <f aca="false">E$5*4_Normalizacion!E166</f>
        <v>0.00185693905364827</v>
      </c>
      <c r="F168" s="21" t="n">
        <f aca="false">F$5*4_Normalizacion!F166</f>
        <v>0.0020175467426038</v>
      </c>
      <c r="G168" s="21" t="n">
        <f aca="false">G$5*4_Normalizacion!G166</f>
        <v>0.000280339284607229</v>
      </c>
      <c r="H168" s="21" t="n">
        <f aca="false">H$5*4_Normalizacion!H166</f>
        <v>0.00679018357532303</v>
      </c>
      <c r="I168" s="21" t="n">
        <f aca="false">I$5*4_Normalizacion!I166</f>
        <v>0.00281086825420146</v>
      </c>
      <c r="J168" s="21" t="n">
        <f aca="false">J$5*4_Normalizacion!J166</f>
        <v>0.000340756055204318</v>
      </c>
      <c r="K168" s="21" t="n">
        <f aca="false">K$5*4_Normalizacion!K166</f>
        <v>3.90133374367575E-005</v>
      </c>
      <c r="L168" s="21" t="n">
        <f aca="false">L$5*4_Normalizacion!L166</f>
        <v>0.00171473584882098</v>
      </c>
      <c r="M168" s="21" t="n">
        <f aca="false">M$5*4_Normalizacion!M166</f>
        <v>0.000413117437965258</v>
      </c>
      <c r="N168" s="21" t="n">
        <f aca="false">N$5*4_Normalizacion!N166</f>
        <v>0.00151979606525836</v>
      </c>
      <c r="O168" s="21" t="n">
        <f aca="false">O$5*4_Normalizacion!O166</f>
        <v>0.00200587264654955</v>
      </c>
      <c r="P168" s="21" t="n">
        <f aca="false">P$5*4_Normalizacion!P166</f>
        <v>0.00135841219936972</v>
      </c>
      <c r="Q168" s="21" t="n">
        <f aca="false">Q$5*4_Normalizacion!Q166</f>
        <v>0.00857779715396695</v>
      </c>
    </row>
    <row r="169" customFormat="false" ht="15" hidden="false" customHeight="false" outlineLevel="0" collapsed="false">
      <c r="A169" s="15" t="n">
        <f aca="false">4_Normalizacion!A167</f>
        <v>162</v>
      </c>
      <c r="B169" s="16" t="n">
        <f aca="false">4_Normalizacion!B167</f>
        <v>16.446</v>
      </c>
      <c r="C169" s="21" t="n">
        <f aca="false">C$5*4_Normalizacion!C167</f>
        <v>0.00211491006743141</v>
      </c>
      <c r="D169" s="21" t="n">
        <f aca="false">D$5*4_Normalizacion!D167</f>
        <v>0.00016434498190068</v>
      </c>
      <c r="E169" s="21" t="n">
        <f aca="false">E$5*4_Normalizacion!E167</f>
        <v>0.00185693905364827</v>
      </c>
      <c r="F169" s="21" t="n">
        <f aca="false">F$5*4_Normalizacion!F167</f>
        <v>0.0020175467426038</v>
      </c>
      <c r="G169" s="21" t="n">
        <f aca="false">G$5*4_Normalizacion!G167</f>
        <v>0.000280339284607229</v>
      </c>
      <c r="H169" s="21" t="n">
        <f aca="false">H$5*4_Normalizacion!H167</f>
        <v>0.00679018357532303</v>
      </c>
      <c r="I169" s="21" t="n">
        <f aca="false">I$5*4_Normalizacion!I167</f>
        <v>0.00281086825420146</v>
      </c>
      <c r="J169" s="21" t="n">
        <f aca="false">J$5*4_Normalizacion!J167</f>
        <v>0.000340756055204318</v>
      </c>
      <c r="K169" s="21" t="n">
        <f aca="false">K$5*4_Normalizacion!K167</f>
        <v>3.90133374367575E-005</v>
      </c>
      <c r="L169" s="21" t="n">
        <f aca="false">L$5*4_Normalizacion!L167</f>
        <v>0.00181050033628438</v>
      </c>
      <c r="M169" s="21" t="n">
        <f aca="false">M$5*4_Normalizacion!M167</f>
        <v>0.000413117437965258</v>
      </c>
      <c r="N169" s="21" t="n">
        <f aca="false">N$5*4_Normalizacion!N167</f>
        <v>0.00151979606525836</v>
      </c>
      <c r="O169" s="21" t="n">
        <f aca="false">O$5*4_Normalizacion!O167</f>
        <v>0.00200587264654955</v>
      </c>
      <c r="P169" s="21" t="n">
        <f aca="false">P$5*4_Normalizacion!P167</f>
        <v>0.00135841219936972</v>
      </c>
      <c r="Q169" s="21" t="n">
        <f aca="false">Q$5*4_Normalizacion!Q167</f>
        <v>0.0142963285899449</v>
      </c>
    </row>
    <row r="170" customFormat="false" ht="15" hidden="false" customHeight="false" outlineLevel="0" collapsed="false">
      <c r="A170" s="15" t="n">
        <f aca="false">4_Normalizacion!A168</f>
        <v>163</v>
      </c>
      <c r="B170" s="16" t="n">
        <f aca="false">4_Normalizacion!B168</f>
        <v>16.544</v>
      </c>
      <c r="C170" s="21" t="n">
        <f aca="false">C$5*4_Normalizacion!C168</f>
        <v>0.00211491006743141</v>
      </c>
      <c r="D170" s="21" t="n">
        <f aca="false">D$5*4_Normalizacion!D168</f>
        <v>0.00016434498190068</v>
      </c>
      <c r="E170" s="21" t="n">
        <f aca="false">E$5*4_Normalizacion!E168</f>
        <v>0.00185693905364827</v>
      </c>
      <c r="F170" s="21" t="n">
        <f aca="false">F$5*4_Normalizacion!F168</f>
        <v>0.0020175467426038</v>
      </c>
      <c r="G170" s="21" t="n">
        <f aca="false">G$5*4_Normalizacion!G168</f>
        <v>0.000280339284607229</v>
      </c>
      <c r="H170" s="21" t="n">
        <f aca="false">H$5*4_Normalizacion!H168</f>
        <v>0.00679018357532303</v>
      </c>
      <c r="I170" s="21" t="n">
        <f aca="false">I$5*4_Normalizacion!I168</f>
        <v>0.00281086825420146</v>
      </c>
      <c r="J170" s="21" t="n">
        <f aca="false">J$5*4_Normalizacion!J168</f>
        <v>0.000340756055204318</v>
      </c>
      <c r="K170" s="21" t="n">
        <f aca="false">K$5*4_Normalizacion!K168</f>
        <v>3.90133374367575E-005</v>
      </c>
      <c r="L170" s="21" t="n">
        <f aca="false">L$5*4_Normalizacion!L168</f>
        <v>0.0015377470316766</v>
      </c>
      <c r="M170" s="21" t="n">
        <f aca="false">M$5*4_Normalizacion!M168</f>
        <v>0.000477150640849873</v>
      </c>
      <c r="N170" s="21" t="n">
        <f aca="false">N$5*4_Normalizacion!N168</f>
        <v>0.00151979606525836</v>
      </c>
      <c r="O170" s="21" t="n">
        <f aca="false">O$5*4_Normalizacion!O168</f>
        <v>0.00200587264654955</v>
      </c>
      <c r="P170" s="21" t="n">
        <f aca="false">P$5*4_Normalizacion!P168</f>
        <v>0.00135841219936972</v>
      </c>
      <c r="Q170" s="21" t="n">
        <f aca="false">Q$5*4_Normalizacion!Q168</f>
        <v>0.0142963285899449</v>
      </c>
    </row>
    <row r="171" customFormat="false" ht="15" hidden="false" customHeight="false" outlineLevel="0" collapsed="false">
      <c r="A171" s="15" t="n">
        <f aca="false">4_Normalizacion!A169</f>
        <v>164</v>
      </c>
      <c r="B171" s="16" t="n">
        <f aca="false">4_Normalizacion!B169</f>
        <v>16.643</v>
      </c>
      <c r="C171" s="21" t="n">
        <f aca="false">C$5*4_Normalizacion!C169</f>
        <v>0.00211491006743141</v>
      </c>
      <c r="D171" s="21" t="n">
        <f aca="false">D$5*4_Normalizacion!D169</f>
        <v>0.00016434498190068</v>
      </c>
      <c r="E171" s="21" t="n">
        <f aca="false">E$5*4_Normalizacion!E169</f>
        <v>0.00185693905364827</v>
      </c>
      <c r="F171" s="21" t="n">
        <f aca="false">F$5*4_Normalizacion!F169</f>
        <v>0.0020175467426038</v>
      </c>
      <c r="G171" s="21" t="n">
        <f aca="false">G$5*4_Normalizacion!G169</f>
        <v>0.000280339284607229</v>
      </c>
      <c r="H171" s="21" t="n">
        <f aca="false">H$5*4_Normalizacion!H169</f>
        <v>0.00679018357532303</v>
      </c>
      <c r="I171" s="21" t="n">
        <f aca="false">I$5*4_Normalizacion!I169</f>
        <v>0.00562173650840292</v>
      </c>
      <c r="J171" s="21" t="n">
        <f aca="false">J$5*4_Normalizacion!J169</f>
        <v>0.000340756055204318</v>
      </c>
      <c r="K171" s="21" t="n">
        <f aca="false">K$5*4_Normalizacion!K169</f>
        <v>3.90133374367575E-005</v>
      </c>
      <c r="L171" s="21" t="n">
        <f aca="false">L$5*4_Normalizacion!L169</f>
        <v>0.000735531429889001</v>
      </c>
      <c r="M171" s="21" t="n">
        <f aca="false">M$5*4_Normalizacion!M169</f>
        <v>0.000708289847391434</v>
      </c>
      <c r="N171" s="21" t="n">
        <f aca="false">N$5*4_Normalizacion!N169</f>
        <v>0.00151979606525836</v>
      </c>
      <c r="O171" s="21" t="n">
        <f aca="false">O$5*4_Normalizacion!O169</f>
        <v>0.00200587264654955</v>
      </c>
      <c r="P171" s="21" t="n">
        <f aca="false">P$5*4_Normalizacion!P169</f>
        <v>0.00135841219936972</v>
      </c>
      <c r="Q171" s="21" t="n">
        <f aca="false">Q$5*4_Normalizacion!Q169</f>
        <v>0.0114370628719559</v>
      </c>
    </row>
    <row r="172" customFormat="false" ht="15" hidden="false" customHeight="false" outlineLevel="0" collapsed="false">
      <c r="A172" s="15" t="n">
        <f aca="false">4_Normalizacion!A170</f>
        <v>165</v>
      </c>
      <c r="B172" s="16" t="n">
        <f aca="false">4_Normalizacion!B170</f>
        <v>16.743</v>
      </c>
      <c r="C172" s="21" t="n">
        <f aca="false">C$5*4_Normalizacion!C170</f>
        <v>0.00211491006743141</v>
      </c>
      <c r="D172" s="21" t="n">
        <f aca="false">D$5*4_Normalizacion!D170</f>
        <v>0.00016434498190068</v>
      </c>
      <c r="E172" s="21" t="n">
        <f aca="false">E$5*4_Normalizacion!E170</f>
        <v>0.00232117381706033</v>
      </c>
      <c r="F172" s="21" t="n">
        <f aca="false">F$5*4_Normalizacion!F170</f>
        <v>0.0020175467426038</v>
      </c>
      <c r="G172" s="21" t="n">
        <f aca="false">G$5*4_Normalizacion!G170</f>
        <v>0.000280339284607229</v>
      </c>
      <c r="H172" s="21" t="n">
        <f aca="false">H$5*4_Normalizacion!H170</f>
        <v>0.00679018357532303</v>
      </c>
      <c r="I172" s="21" t="n">
        <f aca="false">I$5*4_Normalizacion!I170</f>
        <v>0.0140543412710073</v>
      </c>
      <c r="J172" s="21" t="n">
        <f aca="false">J$5*4_Normalizacion!J170</f>
        <v>0.000340756055204318</v>
      </c>
      <c r="K172" s="21" t="n">
        <f aca="false">K$5*4_Normalizacion!K170</f>
        <v>3.90133374367575E-005</v>
      </c>
      <c r="L172" s="21" t="n">
        <f aca="false">L$5*4_Normalizacion!L170</f>
        <v>0.000561550921251316</v>
      </c>
      <c r="M172" s="21" t="n">
        <f aca="false">M$5*4_Normalizacion!M170</f>
        <v>0.000826234875930515</v>
      </c>
      <c r="N172" s="21" t="n">
        <f aca="false">N$5*4_Normalizacion!N170</f>
        <v>0.00151979606525836</v>
      </c>
      <c r="O172" s="21" t="n">
        <f aca="false">O$5*4_Normalizacion!O170</f>
        <v>0.00200587264654955</v>
      </c>
      <c r="P172" s="21" t="n">
        <f aca="false">P$5*4_Normalizacion!P170</f>
        <v>0.00135841219936972</v>
      </c>
      <c r="Q172" s="21" t="n">
        <f aca="false">Q$5*4_Normalizacion!Q170</f>
        <v>0.00285926571798898</v>
      </c>
    </row>
    <row r="173" customFormat="false" ht="15" hidden="false" customHeight="false" outlineLevel="0" collapsed="false">
      <c r="A173" s="15" t="n">
        <f aca="false">4_Normalizacion!A171</f>
        <v>166</v>
      </c>
      <c r="B173" s="16" t="n">
        <f aca="false">4_Normalizacion!B171</f>
        <v>16.844</v>
      </c>
      <c r="C173" s="21" t="n">
        <f aca="false">C$5*4_Normalizacion!C171</f>
        <v>0.00211491006743141</v>
      </c>
      <c r="D173" s="21" t="n">
        <f aca="false">D$5*4_Normalizacion!D171</f>
        <v>0.00016434498190068</v>
      </c>
      <c r="E173" s="21" t="n">
        <f aca="false">E$5*4_Normalizacion!E171</f>
        <v>0.00232117381706033</v>
      </c>
      <c r="F173" s="21" t="n">
        <f aca="false">F$5*4_Normalizacion!F171</f>
        <v>0.0020175467426038</v>
      </c>
      <c r="G173" s="21" t="n">
        <f aca="false">G$5*4_Normalizacion!G171</f>
        <v>0.000280339284607229</v>
      </c>
      <c r="H173" s="21" t="n">
        <f aca="false">H$5*4_Normalizacion!H171</f>
        <v>0.00679018357532303</v>
      </c>
      <c r="I173" s="21" t="n">
        <f aca="false">I$5*4_Normalizacion!I171</f>
        <v>0.0140543412710073</v>
      </c>
      <c r="J173" s="21" t="n">
        <f aca="false">J$5*4_Normalizacion!J171</f>
        <v>0.000340756055204318</v>
      </c>
      <c r="K173" s="21" t="n">
        <f aca="false">K$5*4_Normalizacion!K171</f>
        <v>3.90133374367575E-005</v>
      </c>
      <c r="L173" s="21" t="n">
        <f aca="false">L$5*4_Normalizacion!L171</f>
        <v>0.000808232218801002</v>
      </c>
      <c r="M173" s="21" t="n">
        <f aca="false">M$5*4_Normalizacion!M171</f>
        <v>0.000760755762013022</v>
      </c>
      <c r="N173" s="21" t="n">
        <f aca="false">N$5*4_Normalizacion!N171</f>
        <v>0.00151979606525836</v>
      </c>
      <c r="O173" s="21" t="n">
        <f aca="false">O$5*4_Normalizacion!O171</f>
        <v>0.00200587264654955</v>
      </c>
      <c r="P173" s="21" t="n">
        <f aca="false">P$5*4_Normalizacion!P171</f>
        <v>0.00135841219936972</v>
      </c>
      <c r="Q173" s="21" t="n">
        <f aca="false">Q$5*4_Normalizacion!Q171</f>
        <v>0.00285926571798898</v>
      </c>
    </row>
    <row r="174" customFormat="false" ht="15" hidden="false" customHeight="false" outlineLevel="0" collapsed="false">
      <c r="A174" s="15" t="n">
        <f aca="false">4_Normalizacion!A172</f>
        <v>167</v>
      </c>
      <c r="B174" s="16" t="n">
        <f aca="false">4_Normalizacion!B172</f>
        <v>16.944</v>
      </c>
      <c r="C174" s="21" t="n">
        <f aca="false">C$5*4_Normalizacion!C172</f>
        <v>0.00211491006743141</v>
      </c>
      <c r="D174" s="21" t="n">
        <f aca="false">D$5*4_Normalizacion!D172</f>
        <v>0.00016434498190068</v>
      </c>
      <c r="E174" s="21" t="n">
        <f aca="false">E$5*4_Normalizacion!E172</f>
        <v>0.00232117381706033</v>
      </c>
      <c r="F174" s="21" t="n">
        <f aca="false">F$5*4_Normalizacion!F172</f>
        <v>0.0020175467426038</v>
      </c>
      <c r="G174" s="21" t="n">
        <f aca="false">G$5*4_Normalizacion!G172</f>
        <v>0.000280339284607229</v>
      </c>
      <c r="H174" s="21" t="n">
        <f aca="false">H$5*4_Normalizacion!H172</f>
        <v>0.00679018357532303</v>
      </c>
      <c r="I174" s="21" t="n">
        <f aca="false">I$5*4_Normalizacion!I172</f>
        <v>0.0140543412710073</v>
      </c>
      <c r="J174" s="21" t="n">
        <f aca="false">J$5*4_Normalizacion!J172</f>
        <v>0.000340756055204318</v>
      </c>
      <c r="K174" s="21" t="n">
        <f aca="false">K$5*4_Normalizacion!K172</f>
        <v>3.90133374367575E-005</v>
      </c>
      <c r="L174" s="21" t="n">
        <f aca="false">L$5*4_Normalizacion!L172</f>
        <v>0.00106744813512862</v>
      </c>
      <c r="M174" s="21" t="n">
        <f aca="false">M$5*4_Normalizacion!M172</f>
        <v>0.000661401018182378</v>
      </c>
      <c r="N174" s="21" t="n">
        <f aca="false">N$5*4_Normalizacion!N172</f>
        <v>0.00151979606525836</v>
      </c>
      <c r="O174" s="21" t="n">
        <f aca="false">O$5*4_Normalizacion!O172</f>
        <v>0.00200587264654955</v>
      </c>
      <c r="P174" s="21" t="n">
        <f aca="false">P$5*4_Normalizacion!P172</f>
        <v>0.00135841219936972</v>
      </c>
      <c r="Q174" s="21" t="n">
        <f aca="false">Q$5*4_Normalizacion!Q172</f>
        <v>0.00285926571798898</v>
      </c>
    </row>
    <row r="175" customFormat="false" ht="15" hidden="false" customHeight="false" outlineLevel="0" collapsed="false">
      <c r="A175" s="15" t="n">
        <f aca="false">4_Normalizacion!A173</f>
        <v>168</v>
      </c>
      <c r="B175" s="16" t="n">
        <f aca="false">4_Normalizacion!B173</f>
        <v>17.045</v>
      </c>
      <c r="C175" s="21" t="n">
        <f aca="false">C$5*4_Normalizacion!C173</f>
        <v>0.00211491006743141</v>
      </c>
      <c r="D175" s="21" t="n">
        <f aca="false">D$5*4_Normalizacion!D173</f>
        <v>0.00016434498190068</v>
      </c>
      <c r="E175" s="21" t="n">
        <f aca="false">E$5*4_Normalizacion!E173</f>
        <v>0.00232117381706033</v>
      </c>
      <c r="F175" s="21" t="n">
        <f aca="false">F$5*4_Normalizacion!F173</f>
        <v>0.0020175467426038</v>
      </c>
      <c r="G175" s="21" t="n">
        <f aca="false">G$5*4_Normalizacion!G173</f>
        <v>0.000280339284607229</v>
      </c>
      <c r="H175" s="21" t="n">
        <f aca="false">H$5*4_Normalizacion!H173</f>
        <v>0.00679018357532303</v>
      </c>
      <c r="I175" s="21" t="n">
        <f aca="false">I$5*4_Normalizacion!I173</f>
        <v>0.0140543412710073</v>
      </c>
      <c r="J175" s="21" t="n">
        <f aca="false">J$5*4_Normalizacion!J173</f>
        <v>0.000340756055204318</v>
      </c>
      <c r="K175" s="21" t="n">
        <f aca="false">K$5*4_Normalizacion!K173</f>
        <v>3.90133374367575E-005</v>
      </c>
      <c r="L175" s="21" t="n">
        <f aca="false">L$5*4_Normalizacion!L173</f>
        <v>0.0013111211241716</v>
      </c>
      <c r="M175" s="21" t="n">
        <f aca="false">M$5*4_Normalizacion!M173</f>
        <v>0.000602118665834363</v>
      </c>
      <c r="N175" s="21" t="n">
        <f aca="false">N$5*4_Normalizacion!N173</f>
        <v>0.00151979606525836</v>
      </c>
      <c r="O175" s="21" t="n">
        <f aca="false">O$5*4_Normalizacion!O173</f>
        <v>0.00200587264654955</v>
      </c>
      <c r="P175" s="21" t="n">
        <f aca="false">P$5*4_Normalizacion!P173</f>
        <v>0.00135841219936972</v>
      </c>
      <c r="Q175" s="21" t="n">
        <f aca="false">Q$5*4_Normalizacion!Q173</f>
        <v>0.00571853143597797</v>
      </c>
    </row>
    <row r="176" customFormat="false" ht="15" hidden="false" customHeight="false" outlineLevel="0" collapsed="false">
      <c r="A176" s="15" t="n">
        <f aca="false">4_Normalizacion!A174</f>
        <v>169</v>
      </c>
      <c r="B176" s="16" t="n">
        <f aca="false">4_Normalizacion!B174</f>
        <v>17.145</v>
      </c>
      <c r="C176" s="21" t="n">
        <f aca="false">C$5*4_Normalizacion!C174</f>
        <v>0.00211491006743141</v>
      </c>
      <c r="D176" s="21" t="n">
        <f aca="false">D$5*4_Normalizacion!D174</f>
        <v>0.00016434498190068</v>
      </c>
      <c r="E176" s="21" t="n">
        <f aca="false">E$5*4_Normalizacion!E174</f>
        <v>0.00232117381706033</v>
      </c>
      <c r="F176" s="21" t="n">
        <f aca="false">F$5*4_Normalizacion!F174</f>
        <v>0.0020175467426038</v>
      </c>
      <c r="G176" s="21" t="n">
        <f aca="false">G$5*4_Normalizacion!G174</f>
        <v>0.000280339284607229</v>
      </c>
      <c r="H176" s="21" t="n">
        <f aca="false">H$5*4_Normalizacion!H174</f>
        <v>0.00679018357532303</v>
      </c>
      <c r="I176" s="21" t="n">
        <f aca="false">I$5*4_Normalizacion!I174</f>
        <v>0.0140543412710073</v>
      </c>
      <c r="J176" s="21" t="n">
        <f aca="false">J$5*4_Normalizacion!J174</f>
        <v>0.000340756055204318</v>
      </c>
      <c r="K176" s="21" t="n">
        <f aca="false">K$5*4_Normalizacion!K174</f>
        <v>3.90133374367575E-005</v>
      </c>
      <c r="L176" s="21" t="n">
        <f aca="false">L$5*4_Normalizacion!L174</f>
        <v>0.00146404347326236</v>
      </c>
      <c r="M176" s="21" t="n">
        <f aca="false">M$5*4_Normalizacion!M174</f>
        <v>0.000593649758356075</v>
      </c>
      <c r="N176" s="21" t="n">
        <f aca="false">N$5*4_Normalizacion!N174</f>
        <v>0.00151979606525836</v>
      </c>
      <c r="O176" s="21" t="n">
        <f aca="false">O$5*4_Normalizacion!O174</f>
        <v>0.00200587264654955</v>
      </c>
      <c r="P176" s="21" t="n">
        <f aca="false">P$5*4_Normalizacion!P174</f>
        <v>0.00135841219936972</v>
      </c>
      <c r="Q176" s="21" t="n">
        <f aca="false">Q$5*4_Normalizacion!Q174</f>
        <v>0.00857779715396695</v>
      </c>
    </row>
    <row r="177" customFormat="false" ht="15" hidden="false" customHeight="false" outlineLevel="0" collapsed="false">
      <c r="A177" s="15" t="n">
        <f aca="false">4_Normalizacion!A175</f>
        <v>170</v>
      </c>
      <c r="B177" s="16" t="n">
        <f aca="false">4_Normalizacion!B175</f>
        <v>17.245</v>
      </c>
      <c r="C177" s="21" t="n">
        <f aca="false">C$5*4_Normalizacion!C175</f>
        <v>0.00211491006743141</v>
      </c>
      <c r="D177" s="21" t="n">
        <f aca="false">D$5*4_Normalizacion!D175</f>
        <v>0.00016434498190068</v>
      </c>
      <c r="E177" s="21" t="n">
        <f aca="false">E$5*4_Normalizacion!E175</f>
        <v>0.00232117381706033</v>
      </c>
      <c r="F177" s="21" t="n">
        <f aca="false">F$5*4_Normalizacion!F175</f>
        <v>0.0020175467426038</v>
      </c>
      <c r="G177" s="21" t="n">
        <f aca="false">G$5*4_Normalizacion!G175</f>
        <v>0.000280339284607229</v>
      </c>
      <c r="H177" s="21" t="n">
        <f aca="false">H$5*4_Normalizacion!H175</f>
        <v>0.00679018357532303</v>
      </c>
      <c r="I177" s="21" t="n">
        <f aca="false">I$5*4_Normalizacion!I175</f>
        <v>0.0140543412710073</v>
      </c>
      <c r="J177" s="21" t="n">
        <f aca="false">J$5*4_Normalizacion!J175</f>
        <v>0.000340756055204318</v>
      </c>
      <c r="K177" s="21" t="n">
        <f aca="false">K$5*4_Normalizacion!K175</f>
        <v>3.90133374367575E-005</v>
      </c>
      <c r="L177" s="21" t="n">
        <f aca="false">L$5*4_Normalizacion!L175</f>
        <v>0.0014159105371551</v>
      </c>
      <c r="M177" s="21" t="n">
        <f aca="false">M$5*4_Normalizacion!M175</f>
        <v>0.000617404011039078</v>
      </c>
      <c r="N177" s="21" t="n">
        <f aca="false">N$5*4_Normalizacion!N175</f>
        <v>0.00151979606525836</v>
      </c>
      <c r="O177" s="21" t="n">
        <f aca="false">O$5*4_Normalizacion!O175</f>
        <v>0.00200587264654955</v>
      </c>
      <c r="P177" s="21" t="n">
        <f aca="false">P$5*4_Normalizacion!P175</f>
        <v>0.00135841219936972</v>
      </c>
      <c r="Q177" s="21" t="n">
        <f aca="false">Q$5*4_Normalizacion!Q175</f>
        <v>0.0114370628719559</v>
      </c>
    </row>
    <row r="178" customFormat="false" ht="15" hidden="false" customHeight="false" outlineLevel="0" collapsed="false">
      <c r="A178" s="15" t="n">
        <f aca="false">4_Normalizacion!A176</f>
        <v>171</v>
      </c>
      <c r="B178" s="16" t="n">
        <f aca="false">4_Normalizacion!B176</f>
        <v>17.345</v>
      </c>
      <c r="C178" s="21" t="n">
        <f aca="false">C$5*4_Normalizacion!C176</f>
        <v>0.00211491006743141</v>
      </c>
      <c r="D178" s="21" t="n">
        <f aca="false">D$5*4_Normalizacion!D176</f>
        <v>0.00016434498190068</v>
      </c>
      <c r="E178" s="21" t="n">
        <f aca="false">E$5*4_Normalizacion!E176</f>
        <v>0.00232117381706033</v>
      </c>
      <c r="F178" s="21" t="n">
        <f aca="false">F$5*4_Normalizacion!F176</f>
        <v>0.0020175467426038</v>
      </c>
      <c r="G178" s="21" t="n">
        <f aca="false">G$5*4_Normalizacion!G176</f>
        <v>0.000280339284607229</v>
      </c>
      <c r="H178" s="21" t="n">
        <f aca="false">H$5*4_Normalizacion!H176</f>
        <v>0.00679018357532303</v>
      </c>
      <c r="I178" s="21" t="n">
        <f aca="false">I$5*4_Normalizacion!I176</f>
        <v>0.0140543412710073</v>
      </c>
      <c r="J178" s="21" t="n">
        <f aca="false">J$5*4_Normalizacion!J176</f>
        <v>0.000340756055204318</v>
      </c>
      <c r="K178" s="21" t="n">
        <f aca="false">K$5*4_Normalizacion!K176</f>
        <v>3.90133374367575E-005</v>
      </c>
      <c r="L178" s="21" t="n">
        <f aca="false">L$5*4_Normalizacion!L176</f>
        <v>0.00136025682978109</v>
      </c>
      <c r="M178" s="21" t="n">
        <f aca="false">M$5*4_Normalizacion!M176</f>
        <v>0.000599433402487589</v>
      </c>
      <c r="N178" s="21" t="n">
        <f aca="false">N$5*4_Normalizacion!N176</f>
        <v>0.00151979606525836</v>
      </c>
      <c r="O178" s="21" t="n">
        <f aca="false">O$5*4_Normalizacion!O176</f>
        <v>0.00200587264654955</v>
      </c>
      <c r="P178" s="21" t="n">
        <f aca="false">P$5*4_Normalizacion!P176</f>
        <v>0.00135841219936972</v>
      </c>
      <c r="Q178" s="21" t="n">
        <f aca="false">Q$5*4_Normalizacion!Q176</f>
        <v>0.0142963285899449</v>
      </c>
    </row>
    <row r="179" customFormat="false" ht="15" hidden="false" customHeight="false" outlineLevel="0" collapsed="false">
      <c r="A179" s="15" t="n">
        <f aca="false">4_Normalizacion!A177</f>
        <v>172</v>
      </c>
      <c r="B179" s="16" t="n">
        <f aca="false">4_Normalizacion!B177</f>
        <v>17.445</v>
      </c>
      <c r="C179" s="21" t="n">
        <f aca="false">C$5*4_Normalizacion!C177</f>
        <v>0.00211491006743141</v>
      </c>
      <c r="D179" s="21" t="n">
        <f aca="false">D$5*4_Normalizacion!D177</f>
        <v>0.00016434498190068</v>
      </c>
      <c r="E179" s="21" t="n">
        <f aca="false">E$5*4_Normalizacion!E177</f>
        <v>0.00232117381706033</v>
      </c>
      <c r="F179" s="21" t="n">
        <f aca="false">F$5*4_Normalizacion!F177</f>
        <v>0.0020175467426038</v>
      </c>
      <c r="G179" s="21" t="n">
        <f aca="false">G$5*4_Normalizacion!G177</f>
        <v>0.000280339284607229</v>
      </c>
      <c r="H179" s="21" t="n">
        <f aca="false">H$5*4_Normalizacion!H177</f>
        <v>0.00679018357532303</v>
      </c>
      <c r="I179" s="21" t="n">
        <f aca="false">I$5*4_Normalizacion!I177</f>
        <v>0.0140543412710073</v>
      </c>
      <c r="J179" s="21" t="n">
        <f aca="false">J$5*4_Normalizacion!J177</f>
        <v>0.000340756055204318</v>
      </c>
      <c r="K179" s="21" t="n">
        <f aca="false">K$5*4_Normalizacion!K177</f>
        <v>3.90133374367575E-005</v>
      </c>
      <c r="L179" s="21" t="n">
        <f aca="false">L$5*4_Normalizacion!L177</f>
        <v>0.00148510163280928</v>
      </c>
      <c r="M179" s="21" t="n">
        <f aca="false">M$5*4_Normalizacion!M177</f>
        <v>0.000545934694271088</v>
      </c>
      <c r="N179" s="21" t="n">
        <f aca="false">N$5*4_Normalizacion!N177</f>
        <v>0.00151979606525836</v>
      </c>
      <c r="O179" s="21" t="n">
        <f aca="false">O$5*4_Normalizacion!O177</f>
        <v>0.00200587264654955</v>
      </c>
      <c r="P179" s="21" t="n">
        <f aca="false">P$5*4_Normalizacion!P177</f>
        <v>0.00135841219936972</v>
      </c>
      <c r="Q179" s="21" t="n">
        <f aca="false">Q$5*4_Normalizacion!Q177</f>
        <v>0.0142963285899449</v>
      </c>
    </row>
    <row r="180" customFormat="false" ht="15" hidden="false" customHeight="false" outlineLevel="0" collapsed="false">
      <c r="A180" s="15" t="n">
        <f aca="false">4_Normalizacion!A178</f>
        <v>173</v>
      </c>
      <c r="B180" s="16" t="n">
        <f aca="false">4_Normalizacion!B178</f>
        <v>17.546</v>
      </c>
      <c r="C180" s="21" t="n">
        <f aca="false">C$5*4_Normalizacion!C178</f>
        <v>0.00211491006743141</v>
      </c>
      <c r="D180" s="21" t="n">
        <f aca="false">D$5*4_Normalizacion!D178</f>
        <v>0.00016434498190068</v>
      </c>
      <c r="E180" s="21" t="n">
        <f aca="false">E$5*4_Normalizacion!E178</f>
        <v>0.00232117381706033</v>
      </c>
      <c r="F180" s="21" t="n">
        <f aca="false">F$5*4_Normalizacion!F178</f>
        <v>0.0020175467426038</v>
      </c>
      <c r="G180" s="21" t="n">
        <f aca="false">G$5*4_Normalizacion!G178</f>
        <v>0.000280339284607229</v>
      </c>
      <c r="H180" s="21" t="n">
        <f aca="false">H$5*4_Normalizacion!H178</f>
        <v>0.00679018357532303</v>
      </c>
      <c r="I180" s="21" t="n">
        <f aca="false">I$5*4_Normalizacion!I178</f>
        <v>0.0112434730168058</v>
      </c>
      <c r="J180" s="21" t="n">
        <f aca="false">J$5*4_Normalizacion!J178</f>
        <v>0.000340756055204318</v>
      </c>
      <c r="K180" s="21" t="n">
        <f aca="false">K$5*4_Normalizacion!K178</f>
        <v>3.90133374367575E-005</v>
      </c>
      <c r="L180" s="21" t="n">
        <f aca="false">L$5*4_Normalizacion!L178</f>
        <v>0.00155278857421011</v>
      </c>
      <c r="M180" s="21" t="n">
        <f aca="false">M$5*4_Normalizacion!M178</f>
        <v>0.000519288619522329</v>
      </c>
      <c r="N180" s="21" t="n">
        <f aca="false">N$5*4_Normalizacion!N178</f>
        <v>0.00151979606525836</v>
      </c>
      <c r="O180" s="21" t="n">
        <f aca="false">O$5*4_Normalizacion!O178</f>
        <v>0.00200587264654955</v>
      </c>
      <c r="P180" s="21" t="n">
        <f aca="false">P$5*4_Normalizacion!P178</f>
        <v>0.00135841219936972</v>
      </c>
      <c r="Q180" s="21" t="n">
        <f aca="false">Q$5*4_Normalizacion!Q178</f>
        <v>0.0142963285899449</v>
      </c>
    </row>
    <row r="181" customFormat="false" ht="15" hidden="false" customHeight="false" outlineLevel="0" collapsed="false">
      <c r="A181" s="15" t="n">
        <f aca="false">4_Normalizacion!A179</f>
        <v>174</v>
      </c>
      <c r="B181" s="16" t="n">
        <f aca="false">4_Normalizacion!B179</f>
        <v>17.646</v>
      </c>
      <c r="C181" s="21" t="n">
        <f aca="false">C$5*4_Normalizacion!C179</f>
        <v>0.00211491006743141</v>
      </c>
      <c r="D181" s="21" t="n">
        <f aca="false">D$5*4_Normalizacion!D179</f>
        <v>0.00016434498190068</v>
      </c>
      <c r="E181" s="21" t="n">
        <f aca="false">E$5*4_Normalizacion!E179</f>
        <v>0.00232117381706033</v>
      </c>
      <c r="F181" s="21" t="n">
        <f aca="false">F$5*4_Normalizacion!F179</f>
        <v>0.0020175467426038</v>
      </c>
      <c r="G181" s="21" t="n">
        <f aca="false">G$5*4_Normalizacion!G179</f>
        <v>0.000280339284607229</v>
      </c>
      <c r="H181" s="21" t="n">
        <f aca="false">H$5*4_Normalizacion!H179</f>
        <v>0.00679018357532303</v>
      </c>
      <c r="I181" s="21" t="n">
        <f aca="false">I$5*4_Normalizacion!I179</f>
        <v>0.0112434730168058</v>
      </c>
      <c r="J181" s="21" t="n">
        <f aca="false">J$5*4_Normalizacion!J179</f>
        <v>0.000340756055204318</v>
      </c>
      <c r="K181" s="21" t="n">
        <f aca="false">K$5*4_Normalizacion!K179</f>
        <v>3.90133374367575E-005</v>
      </c>
      <c r="L181" s="21" t="n">
        <f aca="false">L$5*4_Normalizacion!L179</f>
        <v>0.00167863614674054</v>
      </c>
      <c r="M181" s="21" t="n">
        <f aca="false">M$5*4_Normalizacion!M179</f>
        <v>0.000469507968247515</v>
      </c>
      <c r="N181" s="21" t="n">
        <f aca="false">N$5*4_Normalizacion!N179</f>
        <v>0.00151979606525836</v>
      </c>
      <c r="O181" s="21" t="n">
        <f aca="false">O$5*4_Normalizacion!O179</f>
        <v>0.00200587264654955</v>
      </c>
      <c r="P181" s="21" t="n">
        <f aca="false">P$5*4_Normalizacion!P179</f>
        <v>0.00135841219936972</v>
      </c>
      <c r="Q181" s="21" t="n">
        <f aca="false">Q$5*4_Normalizacion!Q179</f>
        <v>0.0142963285899449</v>
      </c>
    </row>
    <row r="182" customFormat="false" ht="15" hidden="false" customHeight="false" outlineLevel="0" collapsed="false">
      <c r="A182" s="15" t="n">
        <f aca="false">4_Normalizacion!A180</f>
        <v>175</v>
      </c>
      <c r="B182" s="16" t="n">
        <f aca="false">4_Normalizacion!B180</f>
        <v>17.746</v>
      </c>
      <c r="C182" s="21" t="n">
        <f aca="false">C$5*4_Normalizacion!C180</f>
        <v>0.00211491006743141</v>
      </c>
      <c r="D182" s="21" t="n">
        <f aca="false">D$5*4_Normalizacion!D180</f>
        <v>0.00016434498190068</v>
      </c>
      <c r="E182" s="21" t="n">
        <f aca="false">E$5*4_Normalizacion!E180</f>
        <v>0.00232117381706033</v>
      </c>
      <c r="F182" s="21" t="n">
        <f aca="false">F$5*4_Normalizacion!F180</f>
        <v>0.00161403739408304</v>
      </c>
      <c r="G182" s="21" t="n">
        <f aca="false">G$5*4_Normalizacion!G180</f>
        <v>0.000280339284607229</v>
      </c>
      <c r="H182" s="21" t="n">
        <f aca="false">H$5*4_Normalizacion!H180</f>
        <v>0.00679018357532303</v>
      </c>
      <c r="I182" s="21" t="n">
        <f aca="false">I$5*4_Normalizacion!I180</f>
        <v>0.0140543412710073</v>
      </c>
      <c r="J182" s="21" t="n">
        <f aca="false">J$5*4_Normalizacion!J180</f>
        <v>0.000340756055204318</v>
      </c>
      <c r="K182" s="21" t="n">
        <f aca="false">K$5*4_Normalizacion!K180</f>
        <v>3.90133374367575E-005</v>
      </c>
      <c r="L182" s="21" t="n">
        <f aca="false">L$5*4_Normalizacion!L180</f>
        <v>0.00174582170339025</v>
      </c>
      <c r="M182" s="21" t="n">
        <f aca="false">M$5*4_Normalizacion!M180</f>
        <v>0.000471366996718359</v>
      </c>
      <c r="N182" s="21" t="n">
        <f aca="false">N$5*4_Normalizacion!N180</f>
        <v>0.00151979606525836</v>
      </c>
      <c r="O182" s="21" t="n">
        <f aca="false">O$5*4_Normalizacion!O180</f>
        <v>0.00200587264654955</v>
      </c>
      <c r="P182" s="21" t="n">
        <f aca="false">P$5*4_Normalizacion!P180</f>
        <v>0.00135841219936972</v>
      </c>
      <c r="Q182" s="21" t="n">
        <f aca="false">Q$5*4_Normalizacion!Q180</f>
        <v>0.0142963285899449</v>
      </c>
    </row>
    <row r="183" customFormat="false" ht="15" hidden="false" customHeight="false" outlineLevel="0" collapsed="false">
      <c r="A183" s="15" t="n">
        <f aca="false">4_Normalizacion!A181</f>
        <v>176</v>
      </c>
      <c r="B183" s="16" t="n">
        <f aca="false">4_Normalizacion!B181</f>
        <v>17.846</v>
      </c>
      <c r="C183" s="21" t="n">
        <f aca="false">C$5*4_Normalizacion!C181</f>
        <v>0.00211491006743141</v>
      </c>
      <c r="D183" s="21" t="n">
        <f aca="false">D$5*4_Normalizacion!D181</f>
        <v>0.00016434498190068</v>
      </c>
      <c r="E183" s="21" t="n">
        <f aca="false">E$5*4_Normalizacion!E181</f>
        <v>0.00232117381706033</v>
      </c>
      <c r="F183" s="21" t="n">
        <f aca="false">F$5*4_Normalizacion!F181</f>
        <v>0.00121052804556228</v>
      </c>
      <c r="G183" s="21" t="n">
        <f aca="false">G$5*4_Normalizacion!G181</f>
        <v>0.000280339284607229</v>
      </c>
      <c r="H183" s="21" t="n">
        <f aca="false">H$5*4_Normalizacion!H181</f>
        <v>0.00679018357532303</v>
      </c>
      <c r="I183" s="21" t="n">
        <f aca="false">I$5*4_Normalizacion!I181</f>
        <v>0.0140543412710073</v>
      </c>
      <c r="J183" s="21" t="n">
        <f aca="false">J$5*4_Normalizacion!J181</f>
        <v>0.000255567041403239</v>
      </c>
      <c r="K183" s="21" t="n">
        <f aca="false">K$5*4_Normalizacion!K181</f>
        <v>3.90133374367575E-005</v>
      </c>
      <c r="L183" s="21" t="n">
        <f aca="false">L$5*4_Normalizacion!L181</f>
        <v>0.00178543109872852</v>
      </c>
      <c r="M183" s="21" t="n">
        <f aca="false">M$5*4_Normalizacion!M181</f>
        <v>0.000430468370359799</v>
      </c>
      <c r="N183" s="21" t="n">
        <f aca="false">N$5*4_Normalizacion!N181</f>
        <v>0.00151979606525836</v>
      </c>
      <c r="O183" s="21" t="n">
        <f aca="false">O$5*4_Normalizacion!O181</f>
        <v>0.00200587264654955</v>
      </c>
      <c r="P183" s="21" t="n">
        <f aca="false">P$5*4_Normalizacion!P181</f>
        <v>0.00135841219936972</v>
      </c>
      <c r="Q183" s="21" t="n">
        <f aca="false">Q$5*4_Normalizacion!Q181</f>
        <v>0.0142963285899449</v>
      </c>
    </row>
    <row r="184" customFormat="false" ht="15" hidden="false" customHeight="false" outlineLevel="0" collapsed="false">
      <c r="A184" s="15" t="n">
        <f aca="false">4_Normalizacion!A182</f>
        <v>177</v>
      </c>
      <c r="B184" s="16" t="n">
        <f aca="false">4_Normalizacion!B182</f>
        <v>17.946</v>
      </c>
      <c r="C184" s="21" t="n">
        <f aca="false">C$5*4_Normalizacion!C182</f>
        <v>0.00211491006743141</v>
      </c>
      <c r="D184" s="21" t="n">
        <f aca="false">D$5*4_Normalizacion!D182</f>
        <v>0.00016434498190068</v>
      </c>
      <c r="E184" s="21" t="n">
        <f aca="false">E$5*4_Normalizacion!E182</f>
        <v>0.00232117381706033</v>
      </c>
      <c r="F184" s="21" t="n">
        <f aca="false">F$5*4_Normalizacion!F182</f>
        <v>0.00040350934852076</v>
      </c>
      <c r="G184" s="21" t="n">
        <f aca="false">G$5*4_Normalizacion!G182</f>
        <v>0.000280339284607229</v>
      </c>
      <c r="H184" s="21" t="n">
        <f aca="false">H$5*4_Normalizacion!H182</f>
        <v>0.00679018357532303</v>
      </c>
      <c r="I184" s="21" t="n">
        <f aca="false">I$5*4_Normalizacion!I182</f>
        <v>0.0112434730168058</v>
      </c>
      <c r="J184" s="21" t="n">
        <f aca="false">J$5*4_Normalizacion!J182</f>
        <v>0.000255567041403239</v>
      </c>
      <c r="K184" s="21" t="n">
        <f aca="false">K$5*4_Normalizacion!K182</f>
        <v>3.90133374367575E-005</v>
      </c>
      <c r="L184" s="21" t="n">
        <f aca="false">L$5*4_Normalizacion!L182</f>
        <v>0.00182905157207572</v>
      </c>
      <c r="M184" s="21" t="n">
        <f aca="false">M$5*4_Normalizacion!M182</f>
        <v>0.000426130637261163</v>
      </c>
      <c r="N184" s="21" t="n">
        <f aca="false">N$5*4_Normalizacion!N182</f>
        <v>0.00151979606525836</v>
      </c>
      <c r="O184" s="21" t="n">
        <f aca="false">O$5*4_Normalizacion!O182</f>
        <v>0.00200587264654955</v>
      </c>
      <c r="P184" s="21" t="n">
        <f aca="false">P$5*4_Normalizacion!P182</f>
        <v>0.00135841219936972</v>
      </c>
      <c r="Q184" s="21" t="n">
        <f aca="false">Q$5*4_Normalizacion!Q182</f>
        <v>0.0142963285899449</v>
      </c>
    </row>
    <row r="185" customFormat="false" ht="15" hidden="false" customHeight="false" outlineLevel="0" collapsed="false">
      <c r="A185" s="15" t="n">
        <f aca="false">4_Normalizacion!A183</f>
        <v>178</v>
      </c>
      <c r="B185" s="16" t="n">
        <f aca="false">4_Normalizacion!B183</f>
        <v>18.047</v>
      </c>
      <c r="C185" s="21" t="n">
        <f aca="false">C$5*4_Normalizacion!C183</f>
        <v>0.00211491006743141</v>
      </c>
      <c r="D185" s="21" t="n">
        <f aca="false">D$5*4_Normalizacion!D183</f>
        <v>0.00016434498190068</v>
      </c>
      <c r="E185" s="21" t="n">
        <f aca="false">E$5*4_Normalizacion!E183</f>
        <v>0.00185693905364827</v>
      </c>
      <c r="F185" s="21" t="n">
        <f aca="false">F$5*4_Normalizacion!F183</f>
        <v>0.000807018697041519</v>
      </c>
      <c r="G185" s="21" t="n">
        <f aca="false">G$5*4_Normalizacion!G183</f>
        <v>0.000280339284607229</v>
      </c>
      <c r="H185" s="21" t="n">
        <f aca="false">H$5*4_Normalizacion!H183</f>
        <v>0.00679018357532303</v>
      </c>
      <c r="I185" s="21" t="n">
        <f aca="false">I$5*4_Normalizacion!I183</f>
        <v>0.00281086825420146</v>
      </c>
      <c r="J185" s="21" t="n">
        <f aca="false">J$5*4_Normalizacion!J183</f>
        <v>0.000255567041403239</v>
      </c>
      <c r="K185" s="21" t="n">
        <f aca="false">K$5*4_Normalizacion!K183</f>
        <v>3.90133374367575E-005</v>
      </c>
      <c r="L185" s="21" t="n">
        <f aca="false">L$5*4_Normalizacion!L183</f>
        <v>0.00189423158972096</v>
      </c>
      <c r="M185" s="21" t="n">
        <f aca="false">M$5*4_Normalizacion!M183</f>
        <v>0.000450504566101114</v>
      </c>
      <c r="N185" s="21" t="n">
        <f aca="false">N$5*4_Normalizacion!N183</f>
        <v>0.00151979606525836</v>
      </c>
      <c r="O185" s="21" t="n">
        <f aca="false">O$5*4_Normalizacion!O183</f>
        <v>0.00200587264654955</v>
      </c>
      <c r="P185" s="21" t="n">
        <f aca="false">P$5*4_Normalizacion!P183</f>
        <v>0.00135841219936972</v>
      </c>
      <c r="Q185" s="21" t="n">
        <f aca="false">Q$5*4_Normalizacion!Q183</f>
        <v>0.0114370628719559</v>
      </c>
    </row>
    <row r="186" customFormat="false" ht="15" hidden="false" customHeight="false" outlineLevel="0" collapsed="false">
      <c r="A186" s="15" t="n">
        <f aca="false">4_Normalizacion!A184</f>
        <v>179</v>
      </c>
      <c r="B186" s="16" t="n">
        <f aca="false">4_Normalizacion!B184</f>
        <v>18.147</v>
      </c>
      <c r="C186" s="21" t="n">
        <f aca="false">C$5*4_Normalizacion!C184</f>
        <v>0.00211491006743141</v>
      </c>
      <c r="D186" s="21" t="n">
        <f aca="false">D$5*4_Normalizacion!D184</f>
        <v>0.00016434498190068</v>
      </c>
      <c r="E186" s="21" t="n">
        <f aca="false">E$5*4_Normalizacion!E184</f>
        <v>0.00185693905364827</v>
      </c>
      <c r="F186" s="21" t="n">
        <f aca="false">F$5*4_Normalizacion!F184</f>
        <v>0.00161403739408304</v>
      </c>
      <c r="G186" s="21" t="n">
        <f aca="false">G$5*4_Normalizacion!G184</f>
        <v>0.000280339284607229</v>
      </c>
      <c r="H186" s="21" t="n">
        <f aca="false">H$5*4_Normalizacion!H184</f>
        <v>0.00679018357532303</v>
      </c>
      <c r="I186" s="21" t="n">
        <f aca="false">I$5*4_Normalizacion!I184</f>
        <v>0.00281086825420146</v>
      </c>
      <c r="J186" s="21" t="n">
        <f aca="false">J$5*4_Normalizacion!J184</f>
        <v>0.000255567041403239</v>
      </c>
      <c r="K186" s="21" t="n">
        <f aca="false">K$5*4_Normalizacion!K184</f>
        <v>3.90133374367575E-005</v>
      </c>
      <c r="L186" s="21" t="n">
        <f aca="false">L$5*4_Normalizacion!L184</f>
        <v>0.00189924543723213</v>
      </c>
      <c r="M186" s="21" t="n">
        <f aca="false">M$5*4_Normalizacion!M184</f>
        <v>0.000421379786724563</v>
      </c>
      <c r="N186" s="21" t="n">
        <f aca="false">N$5*4_Normalizacion!N184</f>
        <v>0.00151979606525836</v>
      </c>
      <c r="O186" s="21" t="n">
        <f aca="false">O$5*4_Normalizacion!O184</f>
        <v>0.00200587264654955</v>
      </c>
      <c r="P186" s="21" t="n">
        <f aca="false">P$5*4_Normalizacion!P184</f>
        <v>0.00135841219936972</v>
      </c>
      <c r="Q186" s="21" t="n">
        <f aca="false">Q$5*4_Normalizacion!Q184</f>
        <v>0.0114370628719559</v>
      </c>
    </row>
    <row r="187" customFormat="false" ht="15" hidden="false" customHeight="false" outlineLevel="0" collapsed="false">
      <c r="A187" s="15" t="n">
        <f aca="false">4_Normalizacion!A185</f>
        <v>180</v>
      </c>
      <c r="B187" s="16" t="n">
        <f aca="false">4_Normalizacion!B185</f>
        <v>18.247</v>
      </c>
      <c r="C187" s="21" t="n">
        <f aca="false">C$5*4_Normalizacion!C185</f>
        <v>0.00211491006743141</v>
      </c>
      <c r="D187" s="21" t="n">
        <f aca="false">D$5*4_Normalizacion!D185</f>
        <v>0.00016434498190068</v>
      </c>
      <c r="E187" s="21" t="n">
        <f aca="false">E$5*4_Normalizacion!E185</f>
        <v>0.00185693905364827</v>
      </c>
      <c r="F187" s="21" t="n">
        <f aca="false">F$5*4_Normalizacion!F185</f>
        <v>0.00161403739408304</v>
      </c>
      <c r="G187" s="21" t="n">
        <f aca="false">G$5*4_Normalizacion!G185</f>
        <v>0.000280339284607229</v>
      </c>
      <c r="H187" s="21" t="n">
        <f aca="false">H$5*4_Normalizacion!H185</f>
        <v>0.00679018357532303</v>
      </c>
      <c r="I187" s="21" t="n">
        <f aca="false">I$5*4_Normalizacion!I185</f>
        <v>0.00281086825420146</v>
      </c>
      <c r="J187" s="21" t="n">
        <f aca="false">J$5*4_Normalizacion!J185</f>
        <v>0.000255567041403239</v>
      </c>
      <c r="K187" s="21" t="n">
        <f aca="false">K$5*4_Normalizacion!K185</f>
        <v>3.90133374367575E-005</v>
      </c>
      <c r="L187" s="21" t="n">
        <f aca="false">L$5*4_Normalizacion!L185</f>
        <v>0.0018751789691785</v>
      </c>
      <c r="M187" s="21" t="n">
        <f aca="false">M$5*4_Normalizacion!M185</f>
        <v>0.000413117437965258</v>
      </c>
      <c r="N187" s="21" t="n">
        <f aca="false">N$5*4_Normalizacion!N185</f>
        <v>0.00151979606525836</v>
      </c>
      <c r="O187" s="21" t="n">
        <f aca="false">O$5*4_Normalizacion!O185</f>
        <v>0.00200587264654955</v>
      </c>
      <c r="P187" s="21" t="n">
        <f aca="false">P$5*4_Normalizacion!P185</f>
        <v>0.00135841219936972</v>
      </c>
      <c r="Q187" s="21" t="n">
        <f aca="false">Q$5*4_Normalizacion!Q185</f>
        <v>0.0142963285899449</v>
      </c>
    </row>
    <row r="188" customFormat="false" ht="15" hidden="false" customHeight="false" outlineLevel="0" collapsed="false">
      <c r="A188" s="15" t="n">
        <f aca="false">4_Normalizacion!A186</f>
        <v>181</v>
      </c>
      <c r="B188" s="16" t="n">
        <f aca="false">4_Normalizacion!B186</f>
        <v>18.347</v>
      </c>
      <c r="C188" s="21" t="n">
        <f aca="false">C$5*4_Normalizacion!C186</f>
        <v>0.00211491006743141</v>
      </c>
      <c r="D188" s="21" t="n">
        <f aca="false">D$5*4_Normalizacion!D186</f>
        <v>0.00016434498190068</v>
      </c>
      <c r="E188" s="21" t="n">
        <f aca="false">E$5*4_Normalizacion!E186</f>
        <v>0.00185693905364827</v>
      </c>
      <c r="F188" s="21" t="n">
        <f aca="false">F$5*4_Normalizacion!F186</f>
        <v>0.0020175467426038</v>
      </c>
      <c r="G188" s="21" t="n">
        <f aca="false">G$5*4_Normalizacion!G186</f>
        <v>0.000280339284607229</v>
      </c>
      <c r="H188" s="21" t="n">
        <f aca="false">H$5*4_Normalizacion!H186</f>
        <v>0.00679018357532303</v>
      </c>
      <c r="I188" s="21" t="n">
        <f aca="false">I$5*4_Normalizacion!I186</f>
        <v>0.00281086825420146</v>
      </c>
      <c r="J188" s="21" t="n">
        <f aca="false">J$5*4_Normalizacion!J186</f>
        <v>0.000255567041403239</v>
      </c>
      <c r="K188" s="21" t="n">
        <f aca="false">K$5*4_Normalizacion!K186</f>
        <v>3.90133374367575E-005</v>
      </c>
      <c r="L188" s="21" t="n">
        <f aca="false">L$5*4_Normalizacion!L186</f>
        <v>0.00182052803130672</v>
      </c>
      <c r="M188" s="21" t="n">
        <f aca="false">M$5*4_Normalizacion!M186</f>
        <v>0.00041332399668424</v>
      </c>
      <c r="N188" s="21" t="n">
        <f aca="false">N$5*4_Normalizacion!N186</f>
        <v>0.00151979606525836</v>
      </c>
      <c r="O188" s="21" t="n">
        <f aca="false">O$5*4_Normalizacion!O186</f>
        <v>0.00200587264654955</v>
      </c>
      <c r="P188" s="21" t="n">
        <f aca="false">P$5*4_Normalizacion!P186</f>
        <v>0.00135841219936972</v>
      </c>
      <c r="Q188" s="21" t="n">
        <f aca="false">Q$5*4_Normalizacion!Q186</f>
        <v>0.0142963285899449</v>
      </c>
    </row>
    <row r="189" customFormat="false" ht="15" hidden="false" customHeight="false" outlineLevel="0" collapsed="false">
      <c r="A189" s="15" t="n">
        <f aca="false">4_Normalizacion!A187</f>
        <v>182</v>
      </c>
      <c r="B189" s="16" t="n">
        <f aca="false">4_Normalizacion!B187</f>
        <v>18.448</v>
      </c>
      <c r="C189" s="21" t="n">
        <f aca="false">C$5*4_Normalizacion!C187</f>
        <v>0.00211491006743141</v>
      </c>
      <c r="D189" s="21" t="n">
        <f aca="false">D$5*4_Normalizacion!D187</f>
        <v>0.00016434498190068</v>
      </c>
      <c r="E189" s="21" t="n">
        <f aca="false">E$5*4_Normalizacion!E187</f>
        <v>0.00232117381706033</v>
      </c>
      <c r="F189" s="21" t="n">
        <f aca="false">F$5*4_Normalizacion!F187</f>
        <v>0.0020175467426038</v>
      </c>
      <c r="G189" s="21" t="n">
        <f aca="false">G$5*4_Normalizacion!G187</f>
        <v>0.000280339284607229</v>
      </c>
      <c r="H189" s="21" t="n">
        <f aca="false">H$5*4_Normalizacion!H187</f>
        <v>0.00679018357532303</v>
      </c>
      <c r="I189" s="21" t="n">
        <f aca="false">I$5*4_Normalizacion!I187</f>
        <v>0.0140543412710073</v>
      </c>
      <c r="J189" s="21" t="n">
        <f aca="false">J$5*4_Normalizacion!J187</f>
        <v>0.000255567041403239</v>
      </c>
      <c r="K189" s="21" t="n">
        <f aca="false">K$5*4_Normalizacion!K187</f>
        <v>3.90133374367575E-005</v>
      </c>
      <c r="L189" s="21" t="n">
        <f aca="false">L$5*4_Normalizacion!L187</f>
        <v>0.00189523435922319</v>
      </c>
      <c r="M189" s="21" t="n">
        <f aca="false">M$5*4_Normalizacion!M187</f>
        <v>0.000413117437965258</v>
      </c>
      <c r="N189" s="21" t="n">
        <f aca="false">N$5*4_Normalizacion!N187</f>
        <v>0.00151979606525836</v>
      </c>
      <c r="O189" s="21" t="n">
        <f aca="false">O$5*4_Normalizacion!O187</f>
        <v>0.00200587264654955</v>
      </c>
      <c r="P189" s="21" t="n">
        <f aca="false">P$5*4_Normalizacion!P187</f>
        <v>0.00135841219936972</v>
      </c>
      <c r="Q189" s="21" t="n">
        <f aca="false">Q$5*4_Normalizacion!Q187</f>
        <v>0.0142963285899449</v>
      </c>
    </row>
    <row r="190" customFormat="false" ht="15" hidden="false" customHeight="false" outlineLevel="0" collapsed="false">
      <c r="A190" s="15" t="n">
        <f aca="false">4_Normalizacion!A188</f>
        <v>183</v>
      </c>
      <c r="B190" s="16" t="n">
        <f aca="false">4_Normalizacion!B188</f>
        <v>18.549</v>
      </c>
      <c r="C190" s="21" t="n">
        <f aca="false">C$5*4_Normalizacion!C188</f>
        <v>0.00211491006743141</v>
      </c>
      <c r="D190" s="21" t="n">
        <f aca="false">D$5*4_Normalizacion!D188</f>
        <v>0.00016434498190068</v>
      </c>
      <c r="E190" s="21" t="n">
        <f aca="false">E$5*4_Normalizacion!E188</f>
        <v>0.00232117381706033</v>
      </c>
      <c r="F190" s="21" t="n">
        <f aca="false">F$5*4_Normalizacion!F188</f>
        <v>0.0020175467426038</v>
      </c>
      <c r="G190" s="21" t="n">
        <f aca="false">G$5*4_Normalizacion!G188</f>
        <v>0.000280339284607229</v>
      </c>
      <c r="H190" s="21" t="n">
        <f aca="false">H$5*4_Normalizacion!H188</f>
        <v>0.00679018357532303</v>
      </c>
      <c r="I190" s="21" t="n">
        <f aca="false">I$5*4_Normalizacion!I188</f>
        <v>0.0140543412710073</v>
      </c>
      <c r="J190" s="21" t="n">
        <f aca="false">J$5*4_Normalizacion!J188</f>
        <v>0.000255567041403239</v>
      </c>
      <c r="K190" s="21" t="n">
        <f aca="false">K$5*4_Normalizacion!K188</f>
        <v>3.90133374367575E-005</v>
      </c>
      <c r="L190" s="21" t="n">
        <f aca="false">L$5*4_Normalizacion!L188</f>
        <v>0.00186214296564945</v>
      </c>
      <c r="M190" s="21" t="n">
        <f aca="false">M$5*4_Normalizacion!M188</f>
        <v>0.000413117437965258</v>
      </c>
      <c r="N190" s="21" t="n">
        <f aca="false">N$5*4_Normalizacion!N188</f>
        <v>0.00151979606525836</v>
      </c>
      <c r="O190" s="21" t="n">
        <f aca="false">O$5*4_Normalizacion!O188</f>
        <v>0.00200587264654955</v>
      </c>
      <c r="P190" s="21" t="n">
        <f aca="false">P$5*4_Normalizacion!P188</f>
        <v>0.00135841219936972</v>
      </c>
      <c r="Q190" s="21" t="n">
        <f aca="false">Q$5*4_Normalizacion!Q188</f>
        <v>0.0142963285899449</v>
      </c>
    </row>
    <row r="191" customFormat="false" ht="15" hidden="false" customHeight="false" outlineLevel="0" collapsed="false">
      <c r="A191" s="15" t="n">
        <f aca="false">4_Normalizacion!A189</f>
        <v>184</v>
      </c>
      <c r="B191" s="16" t="n">
        <f aca="false">4_Normalizacion!B189</f>
        <v>18.65</v>
      </c>
      <c r="C191" s="21" t="n">
        <f aca="false">C$5*4_Normalizacion!C189</f>
        <v>0.00211491006743141</v>
      </c>
      <c r="D191" s="21" t="n">
        <f aca="false">D$5*4_Normalizacion!D189</f>
        <v>0.00016434498190068</v>
      </c>
      <c r="E191" s="21" t="n">
        <f aca="false">E$5*4_Normalizacion!E189</f>
        <v>0.00232117381706033</v>
      </c>
      <c r="F191" s="21" t="n">
        <f aca="false">F$5*4_Normalizacion!F189</f>
        <v>0.0020175467426038</v>
      </c>
      <c r="G191" s="21" t="n">
        <f aca="false">G$5*4_Normalizacion!G189</f>
        <v>0.000280339284607229</v>
      </c>
      <c r="H191" s="21" t="n">
        <f aca="false">H$5*4_Normalizacion!H189</f>
        <v>0.00679018357532303</v>
      </c>
      <c r="I191" s="21" t="n">
        <f aca="false">I$5*4_Normalizacion!I189</f>
        <v>0.0140543412710073</v>
      </c>
      <c r="J191" s="21" t="n">
        <f aca="false">J$5*4_Normalizacion!J189</f>
        <v>0.000255567041403239</v>
      </c>
      <c r="K191" s="21" t="n">
        <f aca="false">K$5*4_Normalizacion!K189</f>
        <v>3.90133374367575E-005</v>
      </c>
      <c r="L191" s="21" t="n">
        <f aca="false">L$5*4_Normalizacion!L189</f>
        <v>0.00186314573515169</v>
      </c>
      <c r="M191" s="21" t="n">
        <f aca="false">M$5*4_Normalizacion!M189</f>
        <v>0.000413117437965258</v>
      </c>
      <c r="N191" s="21" t="n">
        <f aca="false">N$5*4_Normalizacion!N189</f>
        <v>0.00151979606525836</v>
      </c>
      <c r="O191" s="21" t="n">
        <f aca="false">O$5*4_Normalizacion!O189</f>
        <v>0.00200587264654955</v>
      </c>
      <c r="P191" s="21" t="n">
        <f aca="false">P$5*4_Normalizacion!P189</f>
        <v>0.00135841219936972</v>
      </c>
      <c r="Q191" s="21" t="n">
        <f aca="false">Q$5*4_Normalizacion!Q189</f>
        <v>0.0142963285899449</v>
      </c>
    </row>
    <row r="192" customFormat="false" ht="15" hidden="false" customHeight="false" outlineLevel="0" collapsed="false">
      <c r="A192" s="15" t="n">
        <f aca="false">4_Normalizacion!A190</f>
        <v>185</v>
      </c>
      <c r="B192" s="16" t="n">
        <f aca="false">4_Normalizacion!B190</f>
        <v>18.75</v>
      </c>
      <c r="C192" s="21" t="n">
        <f aca="false">C$5*4_Normalizacion!C190</f>
        <v>0.00211491006743141</v>
      </c>
      <c r="D192" s="21" t="n">
        <f aca="false">D$5*4_Normalizacion!D190</f>
        <v>0.00016434498190068</v>
      </c>
      <c r="E192" s="21" t="n">
        <f aca="false">E$5*4_Normalizacion!E190</f>
        <v>0.00232117381706033</v>
      </c>
      <c r="F192" s="21" t="n">
        <f aca="false">F$5*4_Normalizacion!F190</f>
        <v>0.0020175467426038</v>
      </c>
      <c r="G192" s="21" t="n">
        <f aca="false">G$5*4_Normalizacion!G190</f>
        <v>0.000280339284607229</v>
      </c>
      <c r="H192" s="21" t="n">
        <f aca="false">H$5*4_Normalizacion!H190</f>
        <v>0.00679018357532303</v>
      </c>
      <c r="I192" s="21" t="n">
        <f aca="false">I$5*4_Normalizacion!I190</f>
        <v>0.0140543412710073</v>
      </c>
      <c r="J192" s="21" t="n">
        <f aca="false">J$5*4_Normalizacion!J190</f>
        <v>0.000255567041403239</v>
      </c>
      <c r="K192" s="21" t="n">
        <f aca="false">K$5*4_Normalizacion!K190</f>
        <v>3.90133374367575E-005</v>
      </c>
      <c r="L192" s="21" t="n">
        <f aca="false">L$5*4_Normalizacion!L190</f>
        <v>0.00186715681316063</v>
      </c>
      <c r="M192" s="21" t="n">
        <f aca="false">M$5*4_Normalizacion!M190</f>
        <v>0.000413117437965258</v>
      </c>
      <c r="N192" s="21" t="n">
        <f aca="false">N$5*4_Normalizacion!N190</f>
        <v>0.00151979606525836</v>
      </c>
      <c r="O192" s="21" t="n">
        <f aca="false">O$5*4_Normalizacion!O190</f>
        <v>0.00200587264654955</v>
      </c>
      <c r="P192" s="21" t="n">
        <f aca="false">P$5*4_Normalizacion!P190</f>
        <v>0.00135841219936972</v>
      </c>
      <c r="Q192" s="21" t="n">
        <f aca="false">Q$5*4_Normalizacion!Q190</f>
        <v>0.0142963285899449</v>
      </c>
    </row>
    <row r="193" customFormat="false" ht="15" hidden="false" customHeight="false" outlineLevel="0" collapsed="false">
      <c r="A193" s="15" t="n">
        <f aca="false">4_Normalizacion!A191</f>
        <v>186</v>
      </c>
      <c r="B193" s="16" t="n">
        <f aca="false">4_Normalizacion!B191</f>
        <v>18.851</v>
      </c>
      <c r="C193" s="21" t="n">
        <f aca="false">C$5*4_Normalizacion!C191</f>
        <v>0.00211491006743141</v>
      </c>
      <c r="D193" s="21" t="n">
        <f aca="false">D$5*4_Normalizacion!D191</f>
        <v>0.00016434498190068</v>
      </c>
      <c r="E193" s="21" t="n">
        <f aca="false">E$5*4_Normalizacion!E191</f>
        <v>0.00232117381706033</v>
      </c>
      <c r="F193" s="21" t="n">
        <f aca="false">F$5*4_Normalizacion!F191</f>
        <v>0.0020175467426038</v>
      </c>
      <c r="G193" s="21" t="n">
        <f aca="false">G$5*4_Normalizacion!G191</f>
        <v>0.000280339284607229</v>
      </c>
      <c r="H193" s="21" t="n">
        <f aca="false">H$5*4_Normalizacion!H191</f>
        <v>0.00679018357532303</v>
      </c>
      <c r="I193" s="21" t="n">
        <f aca="false">I$5*4_Normalizacion!I191</f>
        <v>0.0140543412710073</v>
      </c>
      <c r="J193" s="21" t="n">
        <f aca="false">J$5*4_Normalizacion!J191</f>
        <v>0.000255567041403239</v>
      </c>
      <c r="K193" s="21" t="n">
        <f aca="false">K$5*4_Normalizacion!K191</f>
        <v>3.90133374367575E-005</v>
      </c>
      <c r="L193" s="21" t="n">
        <f aca="false">L$5*4_Normalizacion!L191</f>
        <v>0.0018691623521651</v>
      </c>
      <c r="M193" s="21" t="n">
        <f aca="false">M$5*4_Normalizacion!M191</f>
        <v>0.000413117437965258</v>
      </c>
      <c r="N193" s="21" t="n">
        <f aca="false">N$5*4_Normalizacion!N191</f>
        <v>0.00151979606525836</v>
      </c>
      <c r="O193" s="21" t="n">
        <f aca="false">O$5*4_Normalizacion!O191</f>
        <v>0.00200587264654955</v>
      </c>
      <c r="P193" s="21" t="n">
        <f aca="false">P$5*4_Normalizacion!P191</f>
        <v>0.00135841219936972</v>
      </c>
      <c r="Q193" s="21" t="n">
        <f aca="false">Q$5*4_Normalizacion!Q191</f>
        <v>0.0142963285899449</v>
      </c>
    </row>
    <row r="194" customFormat="false" ht="15" hidden="false" customHeight="false" outlineLevel="0" collapsed="false">
      <c r="A194" s="15" t="n">
        <f aca="false">4_Normalizacion!A192</f>
        <v>187</v>
      </c>
      <c r="B194" s="16" t="n">
        <f aca="false">4_Normalizacion!B192</f>
        <v>18.951</v>
      </c>
      <c r="C194" s="21" t="n">
        <f aca="false">C$5*4_Normalizacion!C192</f>
        <v>0.00211491006743141</v>
      </c>
      <c r="D194" s="21" t="n">
        <f aca="false">D$5*4_Normalizacion!D192</f>
        <v>0.00016434498190068</v>
      </c>
      <c r="E194" s="21" t="n">
        <f aca="false">E$5*4_Normalizacion!E192</f>
        <v>0.00232117381706033</v>
      </c>
      <c r="F194" s="21" t="n">
        <f aca="false">F$5*4_Normalizacion!F192</f>
        <v>0.0020175467426038</v>
      </c>
      <c r="G194" s="21" t="n">
        <f aca="false">G$5*4_Normalizacion!G192</f>
        <v>0.000280339284607229</v>
      </c>
      <c r="H194" s="21" t="n">
        <f aca="false">H$5*4_Normalizacion!H192</f>
        <v>0.00679018357532303</v>
      </c>
      <c r="I194" s="21" t="n">
        <f aca="false">I$5*4_Normalizacion!I192</f>
        <v>0.0140543412710073</v>
      </c>
      <c r="J194" s="21" t="n">
        <f aca="false">J$5*4_Normalizacion!J192</f>
        <v>0.000255567041403239</v>
      </c>
      <c r="K194" s="21" t="n">
        <f aca="false">K$5*4_Normalizacion!K192</f>
        <v>3.90133374367575E-005</v>
      </c>
      <c r="L194" s="21" t="n">
        <f aca="false">L$5*4_Normalizacion!L192</f>
        <v>0.00186464988940504</v>
      </c>
      <c r="M194" s="21" t="n">
        <f aca="false">M$5*4_Normalizacion!M192</f>
        <v>0.000413117437965258</v>
      </c>
      <c r="N194" s="21" t="n">
        <f aca="false">N$5*4_Normalizacion!N192</f>
        <v>0.00151979606525836</v>
      </c>
      <c r="O194" s="21" t="n">
        <f aca="false">O$5*4_Normalizacion!O192</f>
        <v>0.00200587264654955</v>
      </c>
      <c r="P194" s="21" t="n">
        <f aca="false">P$5*4_Normalizacion!P192</f>
        <v>0.00135841219936972</v>
      </c>
      <c r="Q194" s="21" t="n">
        <f aca="false">Q$5*4_Normalizacion!Q192</f>
        <v>0.0142963285899449</v>
      </c>
    </row>
    <row r="195" customFormat="false" ht="15" hidden="false" customHeight="false" outlineLevel="0" collapsed="false">
      <c r="A195" s="15" t="n">
        <f aca="false">4_Normalizacion!A193</f>
        <v>188</v>
      </c>
      <c r="B195" s="16" t="n">
        <f aca="false">4_Normalizacion!B193</f>
        <v>19.05</v>
      </c>
      <c r="C195" s="21" t="n">
        <f aca="false">C$5*4_Normalizacion!C193</f>
        <v>0.00211491006743141</v>
      </c>
      <c r="D195" s="21" t="n">
        <f aca="false">D$5*4_Normalizacion!D193</f>
        <v>0.00016434498190068</v>
      </c>
      <c r="E195" s="21" t="n">
        <f aca="false">E$5*4_Normalizacion!E193</f>
        <v>0.00232117381706033</v>
      </c>
      <c r="F195" s="21" t="n">
        <f aca="false">F$5*4_Normalizacion!F193</f>
        <v>0.0020175467426038</v>
      </c>
      <c r="G195" s="21" t="n">
        <f aca="false">G$5*4_Normalizacion!G193</f>
        <v>0.000280339284607229</v>
      </c>
      <c r="H195" s="21" t="n">
        <f aca="false">H$5*4_Normalizacion!H193</f>
        <v>0.00679018357532303</v>
      </c>
      <c r="I195" s="21" t="n">
        <f aca="false">I$5*4_Normalizacion!I193</f>
        <v>0.0140543412710073</v>
      </c>
      <c r="J195" s="21" t="n">
        <f aca="false">J$5*4_Normalizacion!J193</f>
        <v>0.000255567041403239</v>
      </c>
      <c r="K195" s="21" t="n">
        <f aca="false">K$5*4_Normalizacion!K193</f>
        <v>3.90133374367575E-005</v>
      </c>
      <c r="L195" s="21" t="n">
        <f aca="false">L$5*4_Normalizacion!L193</f>
        <v>0.00184158619085365</v>
      </c>
      <c r="M195" s="21" t="n">
        <f aca="false">M$5*4_Normalizacion!M193</f>
        <v>0.000413117437965258</v>
      </c>
      <c r="N195" s="21" t="n">
        <f aca="false">N$5*4_Normalizacion!N193</f>
        <v>0.00151979606525836</v>
      </c>
      <c r="O195" s="21" t="n">
        <f aca="false">O$5*4_Normalizacion!O193</f>
        <v>0.00200587264654955</v>
      </c>
      <c r="P195" s="21" t="n">
        <f aca="false">P$5*4_Normalizacion!P193</f>
        <v>0.00135841219936972</v>
      </c>
      <c r="Q195" s="21" t="n">
        <f aca="false">Q$5*4_Normalizacion!Q193</f>
        <v>0.0142963285899449</v>
      </c>
    </row>
    <row r="196" customFormat="false" ht="15" hidden="false" customHeight="false" outlineLevel="0" collapsed="false">
      <c r="A196" s="15" t="n">
        <f aca="false">4_Normalizacion!A194</f>
        <v>189</v>
      </c>
      <c r="B196" s="16" t="n">
        <f aca="false">4_Normalizacion!B194</f>
        <v>19.149</v>
      </c>
      <c r="C196" s="21" t="n">
        <f aca="false">C$5*4_Normalizacion!C194</f>
        <v>0.00211491006743141</v>
      </c>
      <c r="D196" s="21" t="n">
        <f aca="false">D$5*4_Normalizacion!D194</f>
        <v>0.00016434498190068</v>
      </c>
      <c r="E196" s="21" t="n">
        <f aca="false">E$5*4_Normalizacion!E194</f>
        <v>0.00232117381706033</v>
      </c>
      <c r="F196" s="21" t="n">
        <f aca="false">F$5*4_Normalizacion!F194</f>
        <v>0.0020175467426038</v>
      </c>
      <c r="G196" s="21" t="n">
        <f aca="false">G$5*4_Normalizacion!G194</f>
        <v>0.000280339284607229</v>
      </c>
      <c r="H196" s="21" t="n">
        <f aca="false">H$5*4_Normalizacion!H194</f>
        <v>0.00679018357532303</v>
      </c>
      <c r="I196" s="21" t="n">
        <f aca="false">I$5*4_Normalizacion!I194</f>
        <v>0.0140543412710073</v>
      </c>
      <c r="J196" s="21" t="n">
        <f aca="false">J$5*4_Normalizacion!J194</f>
        <v>0.000255567041403239</v>
      </c>
      <c r="K196" s="21" t="n">
        <f aca="false">K$5*4_Normalizacion!K194</f>
        <v>3.90133374367575E-005</v>
      </c>
      <c r="L196" s="21" t="n">
        <f aca="false">L$5*4_Normalizacion!L194</f>
        <v>0.00177740894271064</v>
      </c>
      <c r="M196" s="21" t="n">
        <f aca="false">M$5*4_Normalizacion!M194</f>
        <v>0.000413117437965258</v>
      </c>
      <c r="N196" s="21" t="n">
        <f aca="false">N$5*4_Normalizacion!N194</f>
        <v>0.00151979606525836</v>
      </c>
      <c r="O196" s="21" t="n">
        <f aca="false">O$5*4_Normalizacion!O194</f>
        <v>0.00200587264654955</v>
      </c>
      <c r="P196" s="21" t="n">
        <f aca="false">P$5*4_Normalizacion!P194</f>
        <v>0.00135841219936972</v>
      </c>
      <c r="Q196" s="21" t="n">
        <f aca="false">Q$5*4_Normalizacion!Q194</f>
        <v>0.0142963285899449</v>
      </c>
    </row>
    <row r="197" customFormat="false" ht="15" hidden="false" customHeight="false" outlineLevel="0" collapsed="false">
      <c r="A197" s="15" t="n">
        <f aca="false">4_Normalizacion!A195</f>
        <v>190</v>
      </c>
      <c r="B197" s="16" t="n">
        <f aca="false">4_Normalizacion!B195</f>
        <v>19.248</v>
      </c>
      <c r="C197" s="21" t="n">
        <f aca="false">C$5*4_Normalizacion!C195</f>
        <v>0.00211491006743141</v>
      </c>
      <c r="D197" s="21" t="n">
        <f aca="false">D$5*4_Normalizacion!D195</f>
        <v>0.00016434498190068</v>
      </c>
      <c r="E197" s="21" t="n">
        <f aca="false">E$5*4_Normalizacion!E195</f>
        <v>0.00232117381706033</v>
      </c>
      <c r="F197" s="21" t="n">
        <f aca="false">F$5*4_Normalizacion!F195</f>
        <v>0.0020175467426038</v>
      </c>
      <c r="G197" s="21" t="n">
        <f aca="false">G$5*4_Normalizacion!G195</f>
        <v>0.000280339284607229</v>
      </c>
      <c r="H197" s="21" t="n">
        <f aca="false">H$5*4_Normalizacion!H195</f>
        <v>0.00679018357532303</v>
      </c>
      <c r="I197" s="21" t="n">
        <f aca="false">I$5*4_Normalizacion!I195</f>
        <v>0.0140543412710073</v>
      </c>
      <c r="J197" s="21" t="n">
        <f aca="false">J$5*4_Normalizacion!J195</f>
        <v>0.000255567041403239</v>
      </c>
      <c r="K197" s="21" t="n">
        <f aca="false">K$5*4_Normalizacion!K195</f>
        <v>3.90133374367575E-005</v>
      </c>
      <c r="L197" s="21" t="n">
        <f aca="false">L$5*4_Normalizacion!L195</f>
        <v>0.00178693525298187</v>
      </c>
      <c r="M197" s="21" t="n">
        <f aca="false">M$5*4_Normalizacion!M195</f>
        <v>0.000415802701312032</v>
      </c>
      <c r="N197" s="21" t="n">
        <f aca="false">N$5*4_Normalizacion!N195</f>
        <v>0.00151979606525836</v>
      </c>
      <c r="O197" s="21" t="n">
        <f aca="false">O$5*4_Normalizacion!O195</f>
        <v>0.00200587264654955</v>
      </c>
      <c r="P197" s="21" t="n">
        <f aca="false">P$5*4_Normalizacion!P195</f>
        <v>0.00135841219936972</v>
      </c>
      <c r="Q197" s="21" t="n">
        <f aca="false">Q$5*4_Normalizacion!Q195</f>
        <v>0.0142963285899449</v>
      </c>
    </row>
    <row r="198" customFormat="false" ht="15" hidden="false" customHeight="false" outlineLevel="0" collapsed="false">
      <c r="A198" s="15" t="n">
        <f aca="false">4_Normalizacion!A196</f>
        <v>191</v>
      </c>
      <c r="B198" s="16" t="n">
        <f aca="false">4_Normalizacion!B196</f>
        <v>19.347</v>
      </c>
      <c r="C198" s="21" t="n">
        <f aca="false">C$5*4_Normalizacion!C196</f>
        <v>0.00211491006743141</v>
      </c>
      <c r="D198" s="21" t="n">
        <f aca="false">D$5*4_Normalizacion!D196</f>
        <v>0.00016434498190068</v>
      </c>
      <c r="E198" s="21" t="n">
        <f aca="false">E$5*4_Normalizacion!E196</f>
        <v>0.00232117381706033</v>
      </c>
      <c r="F198" s="21" t="n">
        <f aca="false">F$5*4_Normalizacion!F196</f>
        <v>0.0020175467426038</v>
      </c>
      <c r="G198" s="21" t="n">
        <f aca="false">G$5*4_Normalizacion!G196</f>
        <v>0.000280339284607229</v>
      </c>
      <c r="H198" s="21" t="n">
        <f aca="false">H$5*4_Normalizacion!H196</f>
        <v>0.00679018357532303</v>
      </c>
      <c r="I198" s="21" t="n">
        <f aca="false">I$5*4_Normalizacion!I196</f>
        <v>0.0140543412710073</v>
      </c>
      <c r="J198" s="21" t="n">
        <f aca="false">J$5*4_Normalizacion!J196</f>
        <v>0.000255567041403239</v>
      </c>
      <c r="K198" s="21" t="n">
        <f aca="false">K$5*4_Normalizacion!K196</f>
        <v>3.90133374367575E-005</v>
      </c>
      <c r="L198" s="21" t="n">
        <f aca="false">L$5*4_Normalizacion!L196</f>
        <v>0.00167963891624278</v>
      </c>
      <c r="M198" s="21" t="n">
        <f aca="false">M$5*4_Normalizacion!M196</f>
        <v>0.000443688128374687</v>
      </c>
      <c r="N198" s="21" t="n">
        <f aca="false">N$5*4_Normalizacion!N196</f>
        <v>0.00151979606525836</v>
      </c>
      <c r="O198" s="21" t="n">
        <f aca="false">O$5*4_Normalizacion!O196</f>
        <v>0.00200587264654955</v>
      </c>
      <c r="P198" s="21" t="n">
        <f aca="false">P$5*4_Normalizacion!P196</f>
        <v>0.00135841219936972</v>
      </c>
      <c r="Q198" s="21" t="n">
        <f aca="false">Q$5*4_Normalizacion!Q196</f>
        <v>0.0142963285899449</v>
      </c>
    </row>
    <row r="199" customFormat="false" ht="15" hidden="false" customHeight="false" outlineLevel="0" collapsed="false">
      <c r="A199" s="15" t="n">
        <f aca="false">4_Normalizacion!A197</f>
        <v>192</v>
      </c>
      <c r="B199" s="16" t="n">
        <f aca="false">4_Normalizacion!B197</f>
        <v>19.447</v>
      </c>
      <c r="C199" s="21" t="n">
        <f aca="false">C$5*4_Normalizacion!C197</f>
        <v>0.00211491006743141</v>
      </c>
      <c r="D199" s="21" t="n">
        <f aca="false">D$5*4_Normalizacion!D197</f>
        <v>0.00016434498190068</v>
      </c>
      <c r="E199" s="21" t="n">
        <f aca="false">E$5*4_Normalizacion!E197</f>
        <v>0.00232117381706033</v>
      </c>
      <c r="F199" s="21" t="n">
        <f aca="false">F$5*4_Normalizacion!F197</f>
        <v>0.0020175467426038</v>
      </c>
      <c r="G199" s="21" t="n">
        <f aca="false">G$5*4_Normalizacion!G197</f>
        <v>0.000280339284607229</v>
      </c>
      <c r="H199" s="21" t="n">
        <f aca="false">H$5*4_Normalizacion!H197</f>
        <v>0.00679018357532303</v>
      </c>
      <c r="I199" s="21" t="n">
        <f aca="false">I$5*4_Normalizacion!I197</f>
        <v>0.0112434730168058</v>
      </c>
      <c r="J199" s="21" t="n">
        <f aca="false">J$5*4_Normalizacion!J197</f>
        <v>0.000255567041403239</v>
      </c>
      <c r="K199" s="21" t="n">
        <f aca="false">K$5*4_Normalizacion!K197</f>
        <v>3.90133374367575E-005</v>
      </c>
      <c r="L199" s="21" t="n">
        <f aca="false">L$5*4_Normalizacion!L197</f>
        <v>0.0015813675050238</v>
      </c>
      <c r="M199" s="21" t="n">
        <f aca="false">M$5*4_Normalizacion!M197</f>
        <v>0.000506275420226423</v>
      </c>
      <c r="N199" s="21" t="n">
        <f aca="false">N$5*4_Normalizacion!N197</f>
        <v>0.00151979606525836</v>
      </c>
      <c r="O199" s="21" t="n">
        <f aca="false">O$5*4_Normalizacion!O197</f>
        <v>0.00200587264654955</v>
      </c>
      <c r="P199" s="21" t="n">
        <f aca="false">P$5*4_Normalizacion!P197</f>
        <v>0.00135841219936972</v>
      </c>
      <c r="Q199" s="21" t="n">
        <f aca="false">Q$5*4_Normalizacion!Q197</f>
        <v>0.0142963285899449</v>
      </c>
    </row>
    <row r="200" customFormat="false" ht="15" hidden="false" customHeight="false" outlineLevel="0" collapsed="false">
      <c r="A200" s="15" t="n">
        <f aca="false">4_Normalizacion!A198</f>
        <v>193</v>
      </c>
      <c r="B200" s="16" t="n">
        <f aca="false">4_Normalizacion!B198</f>
        <v>19.547</v>
      </c>
      <c r="C200" s="21" t="n">
        <f aca="false">C$5*4_Normalizacion!C198</f>
        <v>0.00211491006743141</v>
      </c>
      <c r="D200" s="21" t="n">
        <f aca="false">D$5*4_Normalizacion!D198</f>
        <v>0.00016434498190068</v>
      </c>
      <c r="E200" s="21" t="n">
        <f aca="false">E$5*4_Normalizacion!E198</f>
        <v>0.00185693905364827</v>
      </c>
      <c r="F200" s="21" t="n">
        <f aca="false">F$5*4_Normalizacion!F198</f>
        <v>0.0020175467426038</v>
      </c>
      <c r="G200" s="21" t="n">
        <f aca="false">G$5*4_Normalizacion!G198</f>
        <v>0.000280339284607229</v>
      </c>
      <c r="H200" s="21" t="n">
        <f aca="false">H$5*4_Normalizacion!H198</f>
        <v>0.00679018357532303</v>
      </c>
      <c r="I200" s="21" t="n">
        <f aca="false">I$5*4_Normalizacion!I198</f>
        <v>0.00562173650840292</v>
      </c>
      <c r="J200" s="21" t="n">
        <f aca="false">J$5*4_Normalizacion!J198</f>
        <v>0.000255567041403239</v>
      </c>
      <c r="K200" s="21" t="n">
        <f aca="false">K$5*4_Normalizacion!K198</f>
        <v>3.90133374367575E-005</v>
      </c>
      <c r="L200" s="21" t="n">
        <f aca="false">L$5*4_Normalizacion!L198</f>
        <v>0.00131864189543836</v>
      </c>
      <c r="M200" s="21" t="n">
        <f aca="false">M$5*4_Normalizacion!M198</f>
        <v>0.000559980687161907</v>
      </c>
      <c r="N200" s="21" t="n">
        <f aca="false">N$5*4_Normalizacion!N198</f>
        <v>0.00151979606525836</v>
      </c>
      <c r="O200" s="21" t="n">
        <f aca="false">O$5*4_Normalizacion!O198</f>
        <v>0.00200587264654955</v>
      </c>
      <c r="P200" s="21" t="n">
        <f aca="false">P$5*4_Normalizacion!P198</f>
        <v>0.00135841219936972</v>
      </c>
      <c r="Q200" s="21" t="n">
        <f aca="false">Q$5*4_Normalizacion!Q198</f>
        <v>0.0142963285899449</v>
      </c>
    </row>
    <row r="201" customFormat="false" ht="15" hidden="false" customHeight="false" outlineLevel="0" collapsed="false">
      <c r="A201" s="15" t="n">
        <f aca="false">4_Normalizacion!A199</f>
        <v>194</v>
      </c>
      <c r="B201" s="16" t="n">
        <f aca="false">4_Normalizacion!B199</f>
        <v>19.647</v>
      </c>
      <c r="C201" s="21" t="n">
        <f aca="false">C$5*4_Normalizacion!C199</f>
        <v>0.00211491006743141</v>
      </c>
      <c r="D201" s="21" t="n">
        <f aca="false">D$5*4_Normalizacion!D199</f>
        <v>0.00016434498190068</v>
      </c>
      <c r="E201" s="21" t="n">
        <f aca="false">E$5*4_Normalizacion!E199</f>
        <v>0.00185693905364827</v>
      </c>
      <c r="F201" s="21" t="n">
        <f aca="false">F$5*4_Normalizacion!F199</f>
        <v>0.0020175467426038</v>
      </c>
      <c r="G201" s="21" t="n">
        <f aca="false">G$5*4_Normalizacion!G199</f>
        <v>0.000280339284607229</v>
      </c>
      <c r="H201" s="21" t="n">
        <f aca="false">H$5*4_Normalizacion!H199</f>
        <v>0.00679018357532303</v>
      </c>
      <c r="I201" s="21" t="n">
        <f aca="false">I$5*4_Normalizacion!I199</f>
        <v>0.00843260476260438</v>
      </c>
      <c r="J201" s="21" t="n">
        <f aca="false">J$5*4_Normalizacion!J199</f>
        <v>0.000255567041403239</v>
      </c>
      <c r="K201" s="21" t="n">
        <f aca="false">K$5*4_Normalizacion!K199</f>
        <v>3.90133374367575E-005</v>
      </c>
      <c r="L201" s="21" t="n">
        <f aca="false">L$5*4_Normalizacion!L199</f>
        <v>0.00113563646128056</v>
      </c>
      <c r="M201" s="21" t="n">
        <f aca="false">M$5*4_Normalizacion!M199</f>
        <v>0.000627938505707192</v>
      </c>
      <c r="N201" s="21" t="n">
        <f aca="false">N$5*4_Normalizacion!N199</f>
        <v>0.00151979606525836</v>
      </c>
      <c r="O201" s="21" t="n">
        <f aca="false">O$5*4_Normalizacion!O199</f>
        <v>0.00200587264654955</v>
      </c>
      <c r="P201" s="21" t="n">
        <f aca="false">P$5*4_Normalizacion!P199</f>
        <v>0.00135841219936972</v>
      </c>
      <c r="Q201" s="21" t="n">
        <f aca="false">Q$5*4_Normalizacion!Q199</f>
        <v>0.0142963285899449</v>
      </c>
    </row>
    <row r="202" customFormat="false" ht="15" hidden="false" customHeight="false" outlineLevel="0" collapsed="false">
      <c r="A202" s="15" t="n">
        <f aca="false">4_Normalizacion!A200</f>
        <v>195</v>
      </c>
      <c r="B202" s="16" t="n">
        <f aca="false">4_Normalizacion!B200</f>
        <v>19.748</v>
      </c>
      <c r="C202" s="21" t="n">
        <f aca="false">C$5*4_Normalizacion!C200</f>
        <v>0.00211491006743141</v>
      </c>
      <c r="D202" s="21" t="n">
        <f aca="false">D$5*4_Normalizacion!D200</f>
        <v>0.00016434498190068</v>
      </c>
      <c r="E202" s="21" t="n">
        <f aca="false">E$5*4_Normalizacion!E200</f>
        <v>0.00185693905364827</v>
      </c>
      <c r="F202" s="21" t="n">
        <f aca="false">F$5*4_Normalizacion!F200</f>
        <v>0.0020175467426038</v>
      </c>
      <c r="G202" s="21" t="n">
        <f aca="false">G$5*4_Normalizacion!G200</f>
        <v>0.000280339284607229</v>
      </c>
      <c r="H202" s="21" t="n">
        <f aca="false">H$5*4_Normalizacion!H200</f>
        <v>0.00679018357532303</v>
      </c>
      <c r="I202" s="21" t="n">
        <f aca="false">I$5*4_Normalizacion!I200</f>
        <v>0.00281086825420146</v>
      </c>
      <c r="J202" s="21" t="n">
        <f aca="false">J$5*4_Normalizacion!J200</f>
        <v>0.000255567041403239</v>
      </c>
      <c r="K202" s="21" t="n">
        <f aca="false">K$5*4_Normalizacion!K200</f>
        <v>3.90133374367575E-005</v>
      </c>
      <c r="L202" s="21" t="n">
        <f aca="false">L$5*4_Normalizacion!L200</f>
        <v>0.00108700214042219</v>
      </c>
      <c r="M202" s="21" t="n">
        <f aca="false">M$5*4_Normalizacion!M200</f>
        <v>0.000641571381160045</v>
      </c>
      <c r="N202" s="21" t="n">
        <f aca="false">N$5*4_Normalizacion!N200</f>
        <v>0.00151979606525836</v>
      </c>
      <c r="O202" s="21" t="n">
        <f aca="false">O$5*4_Normalizacion!O200</f>
        <v>0.00200587264654955</v>
      </c>
      <c r="P202" s="21" t="n">
        <f aca="false">P$5*4_Normalizacion!P200</f>
        <v>0.00135841219936972</v>
      </c>
      <c r="Q202" s="21" t="n">
        <f aca="false">Q$5*4_Normalizacion!Q200</f>
        <v>0.0142963285899449</v>
      </c>
    </row>
    <row r="203" customFormat="false" ht="15" hidden="false" customHeight="false" outlineLevel="0" collapsed="false">
      <c r="A203" s="15" t="n">
        <f aca="false">4_Normalizacion!A201</f>
        <v>196</v>
      </c>
      <c r="B203" s="16" t="n">
        <f aca="false">4_Normalizacion!B201</f>
        <v>19.849</v>
      </c>
      <c r="C203" s="21" t="n">
        <f aca="false">C$5*4_Normalizacion!C201</f>
        <v>0.00211491006743141</v>
      </c>
      <c r="D203" s="21" t="n">
        <f aca="false">D$5*4_Normalizacion!D201</f>
        <v>0.00016434498190068</v>
      </c>
      <c r="E203" s="21" t="n">
        <f aca="false">E$5*4_Normalizacion!E201</f>
        <v>0.00185693905364827</v>
      </c>
      <c r="F203" s="21" t="n">
        <f aca="false">F$5*4_Normalizacion!F201</f>
        <v>0.0020175467426038</v>
      </c>
      <c r="G203" s="21" t="n">
        <f aca="false">G$5*4_Normalizacion!G201</f>
        <v>0.000280339284607229</v>
      </c>
      <c r="H203" s="21" t="n">
        <f aca="false">H$5*4_Normalizacion!H201</f>
        <v>0.00679018357532303</v>
      </c>
      <c r="I203" s="21" t="n">
        <f aca="false">I$5*4_Normalizacion!I201</f>
        <v>0.00562173650840292</v>
      </c>
      <c r="J203" s="21" t="n">
        <f aca="false">J$5*4_Normalizacion!J201</f>
        <v>0.000255567041403239</v>
      </c>
      <c r="K203" s="21" t="n">
        <f aca="false">K$5*4_Normalizacion!K201</f>
        <v>3.90133374367575E-005</v>
      </c>
      <c r="L203" s="21" t="n">
        <f aca="false">L$5*4_Normalizacion!L201</f>
        <v>0.0011251073815071</v>
      </c>
      <c r="M203" s="21" t="n">
        <f aca="false">M$5*4_Normalizacion!M201</f>
        <v>0.000664912516405082</v>
      </c>
      <c r="N203" s="21" t="n">
        <f aca="false">N$5*4_Normalizacion!N201</f>
        <v>0.00151979606525836</v>
      </c>
      <c r="O203" s="21" t="n">
        <f aca="false">O$5*4_Normalizacion!O201</f>
        <v>0.00200587264654955</v>
      </c>
      <c r="P203" s="21" t="n">
        <f aca="false">P$5*4_Normalizacion!P201</f>
        <v>0.00135841219936972</v>
      </c>
      <c r="Q203" s="21" t="n">
        <f aca="false">Q$5*4_Normalizacion!Q201</f>
        <v>0.0142963285899449</v>
      </c>
    </row>
    <row r="204" customFormat="false" ht="15" hidden="false" customHeight="false" outlineLevel="0" collapsed="false">
      <c r="A204" s="15" t="n">
        <f aca="false">4_Normalizacion!A202</f>
        <v>197</v>
      </c>
      <c r="B204" s="16" t="n">
        <f aca="false">4_Normalizacion!B202</f>
        <v>19.95</v>
      </c>
      <c r="C204" s="21" t="n">
        <f aca="false">C$5*4_Normalizacion!C202</f>
        <v>0.00211491006743141</v>
      </c>
      <c r="D204" s="21" t="n">
        <f aca="false">D$5*4_Normalizacion!D202</f>
        <v>0.00016434498190068</v>
      </c>
      <c r="E204" s="21" t="n">
        <f aca="false">E$5*4_Normalizacion!E202</f>
        <v>0.00185693905364827</v>
      </c>
      <c r="F204" s="21" t="n">
        <f aca="false">F$5*4_Normalizacion!F202</f>
        <v>0.0020175467426038</v>
      </c>
      <c r="G204" s="21" t="n">
        <f aca="false">G$5*4_Normalizacion!G202</f>
        <v>0.000280339284607229</v>
      </c>
      <c r="H204" s="21" t="n">
        <f aca="false">H$5*4_Normalizacion!H202</f>
        <v>0.00679018357532303</v>
      </c>
      <c r="I204" s="21" t="n">
        <f aca="false">I$5*4_Normalizacion!I202</f>
        <v>0.00562173650840292</v>
      </c>
      <c r="J204" s="21" t="n">
        <f aca="false">J$5*4_Normalizacion!J202</f>
        <v>0.000255567041403239</v>
      </c>
      <c r="K204" s="21" t="n">
        <f aca="false">K$5*4_Normalizacion!K202</f>
        <v>3.90133374367575E-005</v>
      </c>
      <c r="L204" s="21" t="n">
        <f aca="false">L$5*4_Normalizacion!L202</f>
        <v>0.00117574724136994</v>
      </c>
      <c r="M204" s="21" t="n">
        <f aca="false">M$5*4_Normalizacion!M202</f>
        <v>0.00065375834558002</v>
      </c>
      <c r="N204" s="21" t="n">
        <f aca="false">N$5*4_Normalizacion!N202</f>
        <v>0.00151979606525836</v>
      </c>
      <c r="O204" s="21" t="n">
        <f aca="false">O$5*4_Normalizacion!O202</f>
        <v>0.00200587264654955</v>
      </c>
      <c r="P204" s="21" t="n">
        <f aca="false">P$5*4_Normalizacion!P202</f>
        <v>0.00135841219936972</v>
      </c>
      <c r="Q204" s="21" t="n">
        <f aca="false">Q$5*4_Normalizacion!Q202</f>
        <v>0.0142963285899449</v>
      </c>
    </row>
    <row r="205" customFormat="false" ht="15" hidden="false" customHeight="false" outlineLevel="0" collapsed="false">
      <c r="A205" s="15" t="n">
        <f aca="false">4_Normalizacion!A203</f>
        <v>198</v>
      </c>
      <c r="B205" s="16" t="n">
        <f aca="false">4_Normalizacion!B203</f>
        <v>20.05</v>
      </c>
      <c r="C205" s="21" t="n">
        <f aca="false">C$5*4_Normalizacion!C203</f>
        <v>0.00211491006743141</v>
      </c>
      <c r="D205" s="21" t="n">
        <f aca="false">D$5*4_Normalizacion!D203</f>
        <v>0.00016434498190068</v>
      </c>
      <c r="E205" s="21" t="n">
        <f aca="false">E$5*4_Normalizacion!E203</f>
        <v>0.00185693905364827</v>
      </c>
      <c r="F205" s="21" t="n">
        <f aca="false">F$5*4_Normalizacion!F203</f>
        <v>0.0020175467426038</v>
      </c>
      <c r="G205" s="21" t="n">
        <f aca="false">G$5*4_Normalizacion!G203</f>
        <v>0.000280339284607229</v>
      </c>
      <c r="H205" s="21" t="n">
        <f aca="false">H$5*4_Normalizacion!H203</f>
        <v>0.00679018357532303</v>
      </c>
      <c r="I205" s="21" t="n">
        <f aca="false">I$5*4_Normalizacion!I203</f>
        <v>0.00281086825420146</v>
      </c>
      <c r="J205" s="21" t="n">
        <f aca="false">J$5*4_Normalizacion!J203</f>
        <v>0.000255567041403239</v>
      </c>
      <c r="K205" s="21" t="n">
        <f aca="false">K$5*4_Normalizacion!K203</f>
        <v>3.90133374367575E-005</v>
      </c>
      <c r="L205" s="21" t="n">
        <f aca="false">L$5*4_Normalizacion!L203</f>
        <v>0.000890960702735347</v>
      </c>
      <c r="M205" s="21" t="n">
        <f aca="false">M$5*4_Normalizacion!M203</f>
        <v>0.000709942317143295</v>
      </c>
      <c r="N205" s="21" t="n">
        <f aca="false">N$5*4_Normalizacion!N203</f>
        <v>0.00151979606525836</v>
      </c>
      <c r="O205" s="21" t="n">
        <f aca="false">O$5*4_Normalizacion!O203</f>
        <v>0.00200587264654955</v>
      </c>
      <c r="P205" s="21" t="n">
        <f aca="false">P$5*4_Normalizacion!P203</f>
        <v>0.00135841219936972</v>
      </c>
      <c r="Q205" s="21" t="n">
        <f aca="false">Q$5*4_Normalizacion!Q203</f>
        <v>0.0142963285899449</v>
      </c>
    </row>
    <row r="206" customFormat="false" ht="15" hidden="false" customHeight="false" outlineLevel="0" collapsed="false">
      <c r="A206" s="15" t="n">
        <f aca="false">4_Normalizacion!A204</f>
        <v>199</v>
      </c>
      <c r="B206" s="16" t="n">
        <f aca="false">4_Normalizacion!B204</f>
        <v>20.15</v>
      </c>
      <c r="C206" s="21" t="n">
        <f aca="false">C$5*4_Normalizacion!C204</f>
        <v>0.00211491006743141</v>
      </c>
      <c r="D206" s="21" t="n">
        <f aca="false">D$5*4_Normalizacion!D204</f>
        <v>0.00020543122737585</v>
      </c>
      <c r="E206" s="21" t="n">
        <f aca="false">E$5*4_Normalizacion!E204</f>
        <v>0.00185693905364827</v>
      </c>
      <c r="F206" s="21" t="n">
        <f aca="false">F$5*4_Normalizacion!F204</f>
        <v>0.0020175467426038</v>
      </c>
      <c r="G206" s="21" t="n">
        <f aca="false">G$5*4_Normalizacion!G204</f>
        <v>0.000280339284607229</v>
      </c>
      <c r="H206" s="21" t="n">
        <f aca="false">H$5*4_Normalizacion!H204</f>
        <v>0.00679018357532303</v>
      </c>
      <c r="I206" s="21" t="n">
        <f aca="false">I$5*4_Normalizacion!I204</f>
        <v>0.00281086825420146</v>
      </c>
      <c r="J206" s="21" t="n">
        <f aca="false">J$5*4_Normalizacion!J204</f>
        <v>0.000255567041403239</v>
      </c>
      <c r="K206" s="21" t="n">
        <f aca="false">K$5*4_Normalizacion!K204</f>
        <v>3.90133374367575E-005</v>
      </c>
      <c r="L206" s="21" t="n">
        <f aca="false">L$5*4_Normalizacion!L204</f>
        <v>0.000694919265048504</v>
      </c>
      <c r="M206" s="21" t="n">
        <f aca="false">M$5*4_Normalizacion!M204</f>
        <v>0.000807024915065131</v>
      </c>
      <c r="N206" s="21" t="n">
        <f aca="false">N$5*4_Normalizacion!N204</f>
        <v>0.00151979606525836</v>
      </c>
      <c r="O206" s="21" t="n">
        <f aca="false">O$5*4_Normalizacion!O204</f>
        <v>0.00200587264654955</v>
      </c>
      <c r="P206" s="21" t="n">
        <f aca="false">P$5*4_Normalizacion!P204</f>
        <v>0.00135841219936972</v>
      </c>
      <c r="Q206" s="21" t="n">
        <f aca="false">Q$5*4_Normalizacion!Q204</f>
        <v>0.00285926571798898</v>
      </c>
    </row>
    <row r="207" customFormat="false" ht="15" hidden="false" customHeight="false" outlineLevel="0" collapsed="false">
      <c r="A207" s="15" t="n">
        <f aca="false">4_Normalizacion!A205</f>
        <v>200</v>
      </c>
      <c r="B207" s="16" t="n">
        <f aca="false">4_Normalizacion!B205</f>
        <v>20.248</v>
      </c>
      <c r="C207" s="21" t="n">
        <f aca="false">C$5*4_Normalizacion!C205</f>
        <v>0.00211491006743141</v>
      </c>
      <c r="D207" s="21" t="n">
        <f aca="false">D$5*4_Normalizacion!D205</f>
        <v>0.00020543122737585</v>
      </c>
      <c r="E207" s="21" t="n">
        <f aca="false">E$5*4_Normalizacion!E205</f>
        <v>0.00185693905364827</v>
      </c>
      <c r="F207" s="21" t="n">
        <f aca="false">F$5*4_Normalizacion!F205</f>
        <v>0.0020175467426038</v>
      </c>
      <c r="G207" s="21" t="n">
        <f aca="false">G$5*4_Normalizacion!G205</f>
        <v>0.000280339284607229</v>
      </c>
      <c r="H207" s="21" t="n">
        <f aca="false">H$5*4_Normalizacion!H205</f>
        <v>0.00679018357532303</v>
      </c>
      <c r="I207" s="21" t="n">
        <f aca="false">I$5*4_Normalizacion!I205</f>
        <v>0.00281086825420146</v>
      </c>
      <c r="J207" s="21" t="n">
        <f aca="false">J$5*4_Normalizacion!J205</f>
        <v>0.000255567041403239</v>
      </c>
      <c r="K207" s="21" t="n">
        <f aca="false">K$5*4_Normalizacion!K205</f>
        <v>3.1210669949406E-005</v>
      </c>
      <c r="L207" s="21" t="n">
        <f aca="false">L$5*4_Normalizacion!L205</f>
        <v>0.000633248940661082</v>
      </c>
      <c r="M207" s="21" t="n">
        <f aca="false">M$5*4_Normalizacion!M205</f>
        <v>0.000826234875930515</v>
      </c>
      <c r="N207" s="21" t="n">
        <f aca="false">N$5*4_Normalizacion!N205</f>
        <v>0.00151979606525836</v>
      </c>
      <c r="O207" s="21" t="n">
        <f aca="false">O$5*4_Normalizacion!O205</f>
        <v>0.00200587264654955</v>
      </c>
      <c r="P207" s="21" t="n">
        <f aca="false">P$5*4_Normalizacion!P205</f>
        <v>0.00135841219936972</v>
      </c>
      <c r="Q207" s="21" t="n">
        <f aca="false">Q$5*4_Normalizacion!Q205</f>
        <v>0.00285926571798898</v>
      </c>
    </row>
    <row r="208" customFormat="false" ht="15" hidden="false" customHeight="false" outlineLevel="0" collapsed="false">
      <c r="A208" s="15" t="n">
        <f aca="false">4_Normalizacion!A206</f>
        <v>201</v>
      </c>
      <c r="B208" s="16" t="n">
        <f aca="false">4_Normalizacion!B206</f>
        <v>20.347</v>
      </c>
      <c r="C208" s="21" t="n">
        <f aca="false">C$5*4_Normalizacion!C206</f>
        <v>0.00211491006743141</v>
      </c>
      <c r="D208" s="21" t="n">
        <f aca="false">D$5*4_Normalizacion!D206</f>
        <v>0.00020543122737585</v>
      </c>
      <c r="E208" s="21" t="n">
        <f aca="false">E$5*4_Normalizacion!E206</f>
        <v>0.00185693905364827</v>
      </c>
      <c r="F208" s="21" t="n">
        <f aca="false">F$5*4_Normalizacion!F206</f>
        <v>0.0020175467426038</v>
      </c>
      <c r="G208" s="21" t="n">
        <f aca="false">G$5*4_Normalizacion!G206</f>
        <v>0.000280339284607229</v>
      </c>
      <c r="H208" s="21" t="n">
        <f aca="false">H$5*4_Normalizacion!H206</f>
        <v>0.00679018357532303</v>
      </c>
      <c r="I208" s="21" t="n">
        <f aca="false">I$5*4_Normalizacion!I206</f>
        <v>0.00281086825420146</v>
      </c>
      <c r="J208" s="21" t="n">
        <f aca="false">J$5*4_Normalizacion!J206</f>
        <v>0.000255567041403239</v>
      </c>
      <c r="K208" s="21" t="n">
        <f aca="false">K$5*4_Normalizacion!K206</f>
        <v>3.1210669949406E-005</v>
      </c>
      <c r="L208" s="21" t="n">
        <f aca="false">L$5*4_Normalizacion!L206</f>
        <v>0.000600157547087344</v>
      </c>
      <c r="M208" s="21" t="n">
        <f aca="false">M$5*4_Normalizacion!M206</f>
        <v>0.000826234875930515</v>
      </c>
      <c r="N208" s="21" t="n">
        <f aca="false">N$5*4_Normalizacion!N206</f>
        <v>0.00151979606525836</v>
      </c>
      <c r="O208" s="21" t="n">
        <f aca="false">O$5*4_Normalizacion!O206</f>
        <v>0.00200587264654955</v>
      </c>
      <c r="P208" s="21" t="n">
        <f aca="false">P$5*4_Normalizacion!P206</f>
        <v>0.00135841219936972</v>
      </c>
      <c r="Q208" s="21" t="n">
        <f aca="false">Q$5*4_Normalizacion!Q206</f>
        <v>0.00285926571798898</v>
      </c>
    </row>
    <row r="209" customFormat="false" ht="15" hidden="false" customHeight="false" outlineLevel="0" collapsed="false">
      <c r="A209" s="15" t="n">
        <f aca="false">4_Normalizacion!A207</f>
        <v>202</v>
      </c>
      <c r="B209" s="16" t="n">
        <f aca="false">4_Normalizacion!B207</f>
        <v>20.445</v>
      </c>
      <c r="C209" s="21" t="n">
        <f aca="false">C$5*4_Normalizacion!C207</f>
        <v>0.00211491006743141</v>
      </c>
      <c r="D209" s="21" t="n">
        <f aca="false">D$5*4_Normalizacion!D207</f>
        <v>0.00020543122737585</v>
      </c>
      <c r="E209" s="21" t="n">
        <f aca="false">E$5*4_Normalizacion!E207</f>
        <v>0.00185693905364827</v>
      </c>
      <c r="F209" s="21" t="n">
        <f aca="false">F$5*4_Normalizacion!F207</f>
        <v>0.0020175467426038</v>
      </c>
      <c r="G209" s="21" t="n">
        <f aca="false">G$5*4_Normalizacion!G207</f>
        <v>0.000280339284607229</v>
      </c>
      <c r="H209" s="21" t="n">
        <f aca="false">H$5*4_Normalizacion!H207</f>
        <v>0.00679018357532303</v>
      </c>
      <c r="I209" s="21" t="n">
        <f aca="false">I$5*4_Normalizacion!I207</f>
        <v>0.00281086825420146</v>
      </c>
      <c r="J209" s="21" t="n">
        <f aca="false">J$5*4_Normalizacion!J207</f>
        <v>0.000255567041403239</v>
      </c>
      <c r="K209" s="21" t="n">
        <f aca="false">K$5*4_Normalizacion!K207</f>
        <v>3.1210669949406E-005</v>
      </c>
      <c r="L209" s="21" t="n">
        <f aca="false">L$5*4_Normalizacion!L207</f>
        <v>0.000580102157042654</v>
      </c>
      <c r="M209" s="21" t="n">
        <f aca="false">M$5*4_Normalizacion!M207</f>
        <v>0.000826234875930515</v>
      </c>
      <c r="N209" s="21" t="n">
        <f aca="false">N$5*4_Normalizacion!N207</f>
        <v>0.00151979606525836</v>
      </c>
      <c r="O209" s="21" t="n">
        <f aca="false">O$5*4_Normalizacion!O207</f>
        <v>0.00200587264654955</v>
      </c>
      <c r="P209" s="21" t="n">
        <f aca="false">P$5*4_Normalizacion!P207</f>
        <v>0.00135841219936972</v>
      </c>
      <c r="Q209" s="21" t="n">
        <f aca="false">Q$5*4_Normalizacion!Q207</f>
        <v>0.00285926571798898</v>
      </c>
    </row>
    <row r="210" customFormat="false" ht="15" hidden="false" customHeight="false" outlineLevel="0" collapsed="false">
      <c r="A210" s="15" t="n">
        <f aca="false">4_Normalizacion!A208</f>
        <v>203</v>
      </c>
      <c r="B210" s="16" t="n">
        <f aca="false">4_Normalizacion!B208</f>
        <v>20.543</v>
      </c>
      <c r="C210" s="21" t="n">
        <f aca="false">C$5*4_Normalizacion!C208</f>
        <v>0.00211491006743141</v>
      </c>
      <c r="D210" s="21" t="n">
        <f aca="false">D$5*4_Normalizacion!D208</f>
        <v>0.00020543122737585</v>
      </c>
      <c r="E210" s="21" t="n">
        <f aca="false">E$5*4_Normalizacion!E208</f>
        <v>0.00185693905364827</v>
      </c>
      <c r="F210" s="21" t="n">
        <f aca="false">F$5*4_Normalizacion!F208</f>
        <v>0.0020175467426038</v>
      </c>
      <c r="G210" s="21" t="n">
        <f aca="false">G$5*4_Normalizacion!G208</f>
        <v>0.000280339284607229</v>
      </c>
      <c r="H210" s="21" t="n">
        <f aca="false">H$5*4_Normalizacion!H208</f>
        <v>0.00679018357532303</v>
      </c>
      <c r="I210" s="21" t="n">
        <f aca="false">I$5*4_Normalizacion!I208</f>
        <v>0.00281086825420146</v>
      </c>
      <c r="J210" s="21" t="n">
        <f aca="false">J$5*4_Normalizacion!J208</f>
        <v>0.000255567041403239</v>
      </c>
      <c r="K210" s="21" t="n">
        <f aca="false">K$5*4_Normalizacion!K208</f>
        <v>3.1210669949406E-005</v>
      </c>
      <c r="L210" s="21" t="n">
        <f aca="false">L$5*4_Normalizacion!L208</f>
        <v>0.000611188011611924</v>
      </c>
      <c r="M210" s="21" t="n">
        <f aca="false">M$5*4_Normalizacion!M208</f>
        <v>0.000826234875930515</v>
      </c>
      <c r="N210" s="21" t="n">
        <f aca="false">N$5*4_Normalizacion!N208</f>
        <v>0.00151979606525836</v>
      </c>
      <c r="O210" s="21" t="n">
        <f aca="false">O$5*4_Normalizacion!O208</f>
        <v>0.00200587264654955</v>
      </c>
      <c r="P210" s="21" t="n">
        <f aca="false">P$5*4_Normalizacion!P208</f>
        <v>0.00135841219936972</v>
      </c>
      <c r="Q210" s="21" t="n">
        <f aca="false">Q$5*4_Normalizacion!Q208</f>
        <v>0.00285926571798898</v>
      </c>
    </row>
    <row r="211" customFormat="false" ht="15" hidden="false" customHeight="false" outlineLevel="0" collapsed="false">
      <c r="A211" s="15" t="n">
        <f aca="false">4_Normalizacion!A209</f>
        <v>204</v>
      </c>
      <c r="B211" s="16" t="n">
        <f aca="false">4_Normalizacion!B209</f>
        <v>20.641</v>
      </c>
      <c r="C211" s="21" t="n">
        <f aca="false">C$5*4_Normalizacion!C209</f>
        <v>0.00211491006743141</v>
      </c>
      <c r="D211" s="21" t="n">
        <f aca="false">D$5*4_Normalizacion!D209</f>
        <v>0.00020543122737585</v>
      </c>
      <c r="E211" s="21" t="n">
        <f aca="false">E$5*4_Normalizacion!E209</f>
        <v>0.00185693905364827</v>
      </c>
      <c r="F211" s="21" t="n">
        <f aca="false">F$5*4_Normalizacion!F209</f>
        <v>0.0020175467426038</v>
      </c>
      <c r="G211" s="21" t="n">
        <f aca="false">G$5*4_Normalizacion!G209</f>
        <v>0.000280339284607229</v>
      </c>
      <c r="H211" s="21" t="n">
        <f aca="false">H$5*4_Normalizacion!H209</f>
        <v>0.00679018357532303</v>
      </c>
      <c r="I211" s="21" t="n">
        <f aca="false">I$5*4_Normalizacion!I209</f>
        <v>0.00281086825420146</v>
      </c>
      <c r="J211" s="21" t="n">
        <f aca="false">J$5*4_Normalizacion!J209</f>
        <v>0.000255567041403239</v>
      </c>
      <c r="K211" s="21" t="n">
        <f aca="false">K$5*4_Normalizacion!K209</f>
        <v>3.1210669949406E-005</v>
      </c>
      <c r="L211" s="21" t="n">
        <f aca="false">L$5*4_Normalizacion!L209</f>
        <v>0.000639766942425607</v>
      </c>
      <c r="M211" s="21" t="n">
        <f aca="false">M$5*4_Normalizacion!M209</f>
        <v>0.000826234875930515</v>
      </c>
      <c r="N211" s="21" t="n">
        <f aca="false">N$5*4_Normalizacion!N209</f>
        <v>0.00151979606525836</v>
      </c>
      <c r="O211" s="21" t="n">
        <f aca="false">O$5*4_Normalizacion!O209</f>
        <v>0.00200587264654955</v>
      </c>
      <c r="P211" s="21" t="n">
        <f aca="false">P$5*4_Normalizacion!P209</f>
        <v>0.00135841219936972</v>
      </c>
      <c r="Q211" s="21" t="n">
        <f aca="false">Q$5*4_Normalizacion!Q209</f>
        <v>0.00285926571798898</v>
      </c>
    </row>
    <row r="212" customFormat="false" ht="15" hidden="false" customHeight="false" outlineLevel="0" collapsed="false">
      <c r="A212" s="15" t="n">
        <f aca="false">4_Normalizacion!A210</f>
        <v>205</v>
      </c>
      <c r="B212" s="16" t="n">
        <f aca="false">4_Normalizacion!B210</f>
        <v>20.74</v>
      </c>
      <c r="C212" s="21" t="n">
        <f aca="false">C$5*4_Normalizacion!C210</f>
        <v>0.00211491006743141</v>
      </c>
      <c r="D212" s="21" t="n">
        <f aca="false">D$5*4_Normalizacion!D210</f>
        <v>0.00020543122737585</v>
      </c>
      <c r="E212" s="21" t="n">
        <f aca="false">E$5*4_Normalizacion!E210</f>
        <v>0.00185693905364827</v>
      </c>
      <c r="F212" s="21" t="n">
        <f aca="false">F$5*4_Normalizacion!F210</f>
        <v>0.0020175467426038</v>
      </c>
      <c r="G212" s="21" t="n">
        <f aca="false">G$5*4_Normalizacion!G210</f>
        <v>0.000280339284607229</v>
      </c>
      <c r="H212" s="21" t="n">
        <f aca="false">H$5*4_Normalizacion!H210</f>
        <v>0.00679018357532303</v>
      </c>
      <c r="I212" s="21" t="n">
        <f aca="false">I$5*4_Normalizacion!I210</f>
        <v>0.00281086825420146</v>
      </c>
      <c r="J212" s="21" t="n">
        <f aca="false">J$5*4_Normalizacion!J210</f>
        <v>0.000255567041403239</v>
      </c>
      <c r="K212" s="21" t="n">
        <f aca="false">K$5*4_Normalizacion!K210</f>
        <v>3.1210669949406E-005</v>
      </c>
      <c r="L212" s="21" t="n">
        <f aca="false">L$5*4_Normalizacion!L210</f>
        <v>0.000632246171158848</v>
      </c>
      <c r="M212" s="21" t="n">
        <f aca="false">M$5*4_Normalizacion!M210</f>
        <v>0.000826234875930515</v>
      </c>
      <c r="N212" s="21" t="n">
        <f aca="false">N$5*4_Normalizacion!N210</f>
        <v>0.00151979606525836</v>
      </c>
      <c r="O212" s="21" t="n">
        <f aca="false">O$5*4_Normalizacion!O210</f>
        <v>0.00200587264654955</v>
      </c>
      <c r="P212" s="21" t="n">
        <f aca="false">P$5*4_Normalizacion!P210</f>
        <v>0.00135841219936972</v>
      </c>
      <c r="Q212" s="21" t="n">
        <f aca="false">Q$5*4_Normalizacion!Q210</f>
        <v>0.00285926571798898</v>
      </c>
    </row>
    <row r="213" customFormat="false" ht="15" hidden="false" customHeight="false" outlineLevel="0" collapsed="false">
      <c r="A213" s="15" t="n">
        <f aca="false">4_Normalizacion!A211</f>
        <v>206</v>
      </c>
      <c r="B213" s="16" t="n">
        <f aca="false">4_Normalizacion!B211</f>
        <v>20.84</v>
      </c>
      <c r="C213" s="21" t="n">
        <f aca="false">C$5*4_Normalizacion!C211</f>
        <v>0.00211491006743141</v>
      </c>
      <c r="D213" s="21" t="n">
        <f aca="false">D$5*4_Normalizacion!D211</f>
        <v>0.00020543122737585</v>
      </c>
      <c r="E213" s="21" t="n">
        <f aca="false">E$5*4_Normalizacion!E211</f>
        <v>0.00185693905364827</v>
      </c>
      <c r="F213" s="21" t="n">
        <f aca="false">F$5*4_Normalizacion!F211</f>
        <v>0.0020175467426038</v>
      </c>
      <c r="G213" s="21" t="n">
        <f aca="false">G$5*4_Normalizacion!G211</f>
        <v>0.000280339284607229</v>
      </c>
      <c r="H213" s="21" t="n">
        <f aca="false">H$5*4_Normalizacion!H211</f>
        <v>0.00679018357532303</v>
      </c>
      <c r="I213" s="21" t="n">
        <f aca="false">I$5*4_Normalizacion!I211</f>
        <v>0.00281086825420146</v>
      </c>
      <c r="J213" s="21" t="n">
        <f aca="false">J$5*4_Normalizacion!J211</f>
        <v>0.000255567041403239</v>
      </c>
      <c r="K213" s="21" t="n">
        <f aca="false">K$5*4_Normalizacion!K211</f>
        <v>3.1210669949406E-005</v>
      </c>
      <c r="L213" s="21" t="n">
        <f aca="false">L$5*4_Normalizacion!L211</f>
        <v>0.000610686626860806</v>
      </c>
      <c r="M213" s="21" t="n">
        <f aca="false">M$5*4_Normalizacion!M211</f>
        <v>0.000780791957754337</v>
      </c>
      <c r="N213" s="21" t="n">
        <f aca="false">N$5*4_Normalizacion!N211</f>
        <v>0.00151979606525836</v>
      </c>
      <c r="O213" s="21" t="n">
        <f aca="false">O$5*4_Normalizacion!O211</f>
        <v>0.00200587264654955</v>
      </c>
      <c r="P213" s="21" t="n">
        <f aca="false">P$5*4_Normalizacion!P211</f>
        <v>0.00135841219936972</v>
      </c>
      <c r="Q213" s="21" t="n">
        <f aca="false">Q$5*4_Normalizacion!Q211</f>
        <v>0.00285926571798898</v>
      </c>
    </row>
    <row r="214" customFormat="false" ht="15" hidden="false" customHeight="false" outlineLevel="0" collapsed="false">
      <c r="A214" s="15" t="n">
        <f aca="false">4_Normalizacion!A212</f>
        <v>207</v>
      </c>
      <c r="B214" s="16" t="n">
        <f aca="false">4_Normalizacion!B212</f>
        <v>20.939</v>
      </c>
      <c r="C214" s="21" t="n">
        <f aca="false">C$5*4_Normalizacion!C212</f>
        <v>0.00211491006743141</v>
      </c>
      <c r="D214" s="21" t="n">
        <f aca="false">D$5*4_Normalizacion!D212</f>
        <v>0.00020543122737585</v>
      </c>
      <c r="E214" s="21" t="n">
        <f aca="false">E$5*4_Normalizacion!E212</f>
        <v>0.00185693905364827</v>
      </c>
      <c r="F214" s="21" t="n">
        <f aca="false">F$5*4_Normalizacion!F212</f>
        <v>0.0020175467426038</v>
      </c>
      <c r="G214" s="21" t="n">
        <f aca="false">G$5*4_Normalizacion!G212</f>
        <v>0.000280339284607229</v>
      </c>
      <c r="H214" s="21" t="n">
        <f aca="false">H$5*4_Normalizacion!H212</f>
        <v>0.00679018357532303</v>
      </c>
      <c r="I214" s="21" t="n">
        <f aca="false">I$5*4_Normalizacion!I212</f>
        <v>0.00562173650840292</v>
      </c>
      <c r="J214" s="21" t="n">
        <f aca="false">J$5*4_Normalizacion!J212</f>
        <v>0.000255567041403239</v>
      </c>
      <c r="K214" s="21" t="n">
        <f aca="false">K$5*4_Normalizacion!K212</f>
        <v>3.1210669949406E-005</v>
      </c>
      <c r="L214" s="21" t="n">
        <f aca="false">L$5*4_Normalizacion!L212</f>
        <v>0.000764110360702684</v>
      </c>
      <c r="M214" s="21" t="n">
        <f aca="false">M$5*4_Normalizacion!M212</f>
        <v>0.000663879722810169</v>
      </c>
      <c r="N214" s="21" t="n">
        <f aca="false">N$5*4_Normalizacion!N212</f>
        <v>0.00151979606525836</v>
      </c>
      <c r="O214" s="21" t="n">
        <f aca="false">O$5*4_Normalizacion!O212</f>
        <v>0.00200587264654955</v>
      </c>
      <c r="P214" s="21" t="n">
        <f aca="false">P$5*4_Normalizacion!P212</f>
        <v>0.00135841219936972</v>
      </c>
      <c r="Q214" s="21" t="n">
        <f aca="false">Q$5*4_Normalizacion!Q212</f>
        <v>0.00285926571798898</v>
      </c>
    </row>
    <row r="215" customFormat="false" ht="15" hidden="false" customHeight="false" outlineLevel="0" collapsed="false">
      <c r="A215" s="15" t="n">
        <f aca="false">4_Normalizacion!A213</f>
        <v>208</v>
      </c>
      <c r="B215" s="16" t="n">
        <f aca="false">4_Normalizacion!B213</f>
        <v>21.04</v>
      </c>
      <c r="C215" s="21" t="n">
        <f aca="false">C$5*4_Normalizacion!C213</f>
        <v>0.00211491006743141</v>
      </c>
      <c r="D215" s="21" t="n">
        <f aca="false">D$5*4_Normalizacion!D213</f>
        <v>0.00020543122737585</v>
      </c>
      <c r="E215" s="21" t="n">
        <f aca="false">E$5*4_Normalizacion!E213</f>
        <v>0.00232117381706033</v>
      </c>
      <c r="F215" s="21" t="n">
        <f aca="false">F$5*4_Normalizacion!F213</f>
        <v>0.0020175467426038</v>
      </c>
      <c r="G215" s="21" t="n">
        <f aca="false">G$5*4_Normalizacion!G213</f>
        <v>0.000280339284607229</v>
      </c>
      <c r="H215" s="21" t="n">
        <f aca="false">H$5*4_Normalizacion!H213</f>
        <v>0.00509263768149227</v>
      </c>
      <c r="I215" s="21" t="n">
        <f aca="false">I$5*4_Normalizacion!I213</f>
        <v>0.0112434730168058</v>
      </c>
      <c r="J215" s="21" t="n">
        <f aca="false">J$5*4_Normalizacion!J213</f>
        <v>0.000255567041403239</v>
      </c>
      <c r="K215" s="21" t="n">
        <f aca="false">K$5*4_Normalizacion!K213</f>
        <v>3.1210669949406E-005</v>
      </c>
      <c r="L215" s="21" t="n">
        <f aca="false">L$5*4_Normalizacion!L213</f>
        <v>0.000761603436947097</v>
      </c>
      <c r="M215" s="21" t="n">
        <f aca="false">M$5*4_Normalizacion!M213</f>
        <v>0.000738034302924933</v>
      </c>
      <c r="N215" s="21" t="n">
        <f aca="false">N$5*4_Normalizacion!N213</f>
        <v>0.00151979606525836</v>
      </c>
      <c r="O215" s="21" t="n">
        <f aca="false">O$5*4_Normalizacion!O213</f>
        <v>0.00200587264654955</v>
      </c>
      <c r="P215" s="21" t="n">
        <f aca="false">P$5*4_Normalizacion!P213</f>
        <v>0.00135841219936972</v>
      </c>
      <c r="Q215" s="21" t="n">
        <f aca="false">Q$5*4_Normalizacion!Q213</f>
        <v>0.0142963285899449</v>
      </c>
    </row>
    <row r="216" customFormat="false" ht="15" hidden="false" customHeight="false" outlineLevel="0" collapsed="false">
      <c r="A216" s="15" t="n">
        <f aca="false">4_Normalizacion!A214</f>
        <v>209</v>
      </c>
      <c r="B216" s="16" t="n">
        <f aca="false">4_Normalizacion!B214</f>
        <v>21.14</v>
      </c>
      <c r="C216" s="21" t="n">
        <f aca="false">C$5*4_Normalizacion!C214</f>
        <v>0.00211491006743141</v>
      </c>
      <c r="D216" s="21" t="n">
        <f aca="false">D$5*4_Normalizacion!D214</f>
        <v>0.00020543122737585</v>
      </c>
      <c r="E216" s="21" t="n">
        <f aca="false">E$5*4_Normalizacion!E214</f>
        <v>0.00232117381706033</v>
      </c>
      <c r="F216" s="21" t="n">
        <f aca="false">F$5*4_Normalizacion!F214</f>
        <v>0.0020175467426038</v>
      </c>
      <c r="G216" s="21" t="n">
        <f aca="false">G$5*4_Normalizacion!G214</f>
        <v>0.000280339284607229</v>
      </c>
      <c r="H216" s="21" t="n">
        <f aca="false">H$5*4_Normalizacion!H214</f>
        <v>0.00509263768149227</v>
      </c>
      <c r="I216" s="21" t="n">
        <f aca="false">I$5*4_Normalizacion!I214</f>
        <v>0.0140543412710073</v>
      </c>
      <c r="J216" s="21" t="n">
        <f aca="false">J$5*4_Normalizacion!J214</f>
        <v>0.000255567041403239</v>
      </c>
      <c r="K216" s="21" t="n">
        <f aca="false">K$5*4_Normalizacion!K214</f>
        <v>3.1210669949406E-005</v>
      </c>
      <c r="L216" s="21" t="n">
        <f aca="false">L$5*4_Normalizacion!L214</f>
        <v>0.000594140930073937</v>
      </c>
      <c r="M216" s="21" t="n">
        <f aca="false">M$5*4_Normalizacion!M214</f>
        <v>0.000826234875930515</v>
      </c>
      <c r="N216" s="21" t="n">
        <f aca="false">N$5*4_Normalizacion!N214</f>
        <v>0.00151979606525836</v>
      </c>
      <c r="O216" s="21" t="n">
        <f aca="false">O$5*4_Normalizacion!O214</f>
        <v>0.00200587264654955</v>
      </c>
      <c r="P216" s="21" t="n">
        <f aca="false">P$5*4_Normalizacion!P214</f>
        <v>0.00135841219936972</v>
      </c>
      <c r="Q216" s="21" t="n">
        <f aca="false">Q$5*4_Normalizacion!Q214</f>
        <v>0.00285926571798898</v>
      </c>
    </row>
    <row r="217" customFormat="false" ht="15" hidden="false" customHeight="false" outlineLevel="0" collapsed="false">
      <c r="A217" s="15" t="n">
        <f aca="false">4_Normalizacion!A215</f>
        <v>210</v>
      </c>
      <c r="B217" s="16" t="n">
        <f aca="false">4_Normalizacion!B215</f>
        <v>21.24</v>
      </c>
      <c r="C217" s="21" t="n">
        <f aca="false">C$5*4_Normalizacion!C215</f>
        <v>0.00211491006743141</v>
      </c>
      <c r="D217" s="21" t="n">
        <f aca="false">D$5*4_Normalizacion!D215</f>
        <v>0.00020543122737585</v>
      </c>
      <c r="E217" s="21" t="n">
        <f aca="false">E$5*4_Normalizacion!E215</f>
        <v>0.00232117381706033</v>
      </c>
      <c r="F217" s="21" t="n">
        <f aca="false">F$5*4_Normalizacion!F215</f>
        <v>0.0020175467426038</v>
      </c>
      <c r="G217" s="21" t="n">
        <f aca="false">G$5*4_Normalizacion!G215</f>
        <v>0.000280339284607229</v>
      </c>
      <c r="H217" s="21" t="n">
        <f aca="false">H$5*4_Normalizacion!H215</f>
        <v>0.00509263768149227</v>
      </c>
      <c r="I217" s="21" t="n">
        <f aca="false">I$5*4_Normalizacion!I215</f>
        <v>0.0140543412710073</v>
      </c>
      <c r="J217" s="21" t="n">
        <f aca="false">J$5*4_Normalizacion!J215</f>
        <v>0.000255567041403239</v>
      </c>
      <c r="K217" s="21" t="n">
        <f aca="false">K$5*4_Normalizacion!K215</f>
        <v>3.1210669949406E-005</v>
      </c>
      <c r="L217" s="21" t="n">
        <f aca="false">L$5*4_Normalizacion!L215</f>
        <v>0.000604168625096282</v>
      </c>
      <c r="M217" s="21" t="n">
        <f aca="false">M$5*4_Normalizacion!M215</f>
        <v>0.000798969125024808</v>
      </c>
      <c r="N217" s="21" t="n">
        <f aca="false">N$5*4_Normalizacion!N215</f>
        <v>0.00151979606525836</v>
      </c>
      <c r="O217" s="21" t="n">
        <f aca="false">O$5*4_Normalizacion!O215</f>
        <v>0.00200587264654955</v>
      </c>
      <c r="P217" s="21" t="n">
        <f aca="false">P$5*4_Normalizacion!P215</f>
        <v>0.00135841219936972</v>
      </c>
      <c r="Q217" s="21" t="n">
        <f aca="false">Q$5*4_Normalizacion!Q215</f>
        <v>0.0142963285899449</v>
      </c>
    </row>
    <row r="218" customFormat="false" ht="15" hidden="false" customHeight="false" outlineLevel="0" collapsed="false">
      <c r="A218" s="15" t="n">
        <f aca="false">4_Normalizacion!A216</f>
        <v>211</v>
      </c>
      <c r="B218" s="16" t="n">
        <f aca="false">4_Normalizacion!B216</f>
        <v>21.341</v>
      </c>
      <c r="C218" s="21" t="n">
        <f aca="false">C$5*4_Normalizacion!C216</f>
        <v>0.00211491006743141</v>
      </c>
      <c r="D218" s="21" t="n">
        <f aca="false">D$5*4_Normalizacion!D216</f>
        <v>0.00020543122737585</v>
      </c>
      <c r="E218" s="21" t="n">
        <f aca="false">E$5*4_Normalizacion!E216</f>
        <v>0.00232117381706033</v>
      </c>
      <c r="F218" s="21" t="n">
        <f aca="false">F$5*4_Normalizacion!F216</f>
        <v>0.0020175467426038</v>
      </c>
      <c r="G218" s="21" t="n">
        <f aca="false">G$5*4_Normalizacion!G216</f>
        <v>0.000280339284607229</v>
      </c>
      <c r="H218" s="21" t="n">
        <f aca="false">H$5*4_Normalizacion!H216</f>
        <v>0.00509263768149227</v>
      </c>
      <c r="I218" s="21" t="n">
        <f aca="false">I$5*4_Normalizacion!I216</f>
        <v>0.0140543412710073</v>
      </c>
      <c r="J218" s="21" t="n">
        <f aca="false">J$5*4_Normalizacion!J216</f>
        <v>0.000255567041403239</v>
      </c>
      <c r="K218" s="21" t="n">
        <f aca="false">K$5*4_Normalizacion!K216</f>
        <v>3.1210669949406E-005</v>
      </c>
      <c r="L218" s="21" t="n">
        <f aca="false">L$5*4_Normalizacion!L216</f>
        <v>0.000654307100208007</v>
      </c>
      <c r="M218" s="21" t="n">
        <f aca="false">M$5*4_Normalizacion!M216</f>
        <v>0.000747742562717116</v>
      </c>
      <c r="N218" s="21" t="n">
        <f aca="false">N$5*4_Normalizacion!N216</f>
        <v>0.00151979606525836</v>
      </c>
      <c r="O218" s="21" t="n">
        <f aca="false">O$5*4_Normalizacion!O216</f>
        <v>0.00200587264654955</v>
      </c>
      <c r="P218" s="21" t="n">
        <f aca="false">P$5*4_Normalizacion!P216</f>
        <v>0.00135841219936972</v>
      </c>
      <c r="Q218" s="21" t="n">
        <f aca="false">Q$5*4_Normalizacion!Q216</f>
        <v>0.0142963285899449</v>
      </c>
    </row>
    <row r="219" customFormat="false" ht="15" hidden="false" customHeight="false" outlineLevel="0" collapsed="false">
      <c r="A219" s="15" t="n">
        <f aca="false">4_Normalizacion!A217</f>
        <v>212</v>
      </c>
      <c r="B219" s="16" t="n">
        <f aca="false">4_Normalizacion!B217</f>
        <v>21.441</v>
      </c>
      <c r="C219" s="21" t="n">
        <f aca="false">C$5*4_Normalizacion!C217</f>
        <v>0.00211491006743141</v>
      </c>
      <c r="D219" s="21" t="n">
        <f aca="false">D$5*4_Normalizacion!D217</f>
        <v>0.00020543122737585</v>
      </c>
      <c r="E219" s="21" t="n">
        <f aca="false">E$5*4_Normalizacion!E217</f>
        <v>0.00232117381706033</v>
      </c>
      <c r="F219" s="21" t="n">
        <f aca="false">F$5*4_Normalizacion!F217</f>
        <v>0.0020175467426038</v>
      </c>
      <c r="G219" s="21" t="n">
        <f aca="false">G$5*4_Normalizacion!G217</f>
        <v>0.000280339284607229</v>
      </c>
      <c r="H219" s="21" t="n">
        <f aca="false">H$5*4_Normalizacion!H217</f>
        <v>0.00509263768149227</v>
      </c>
      <c r="I219" s="21" t="n">
        <f aca="false">I$5*4_Normalizacion!I217</f>
        <v>0.0140543412710073</v>
      </c>
      <c r="J219" s="21" t="n">
        <f aca="false">J$5*4_Normalizacion!J217</f>
        <v>0.000255567041403239</v>
      </c>
      <c r="K219" s="21" t="n">
        <f aca="false">K$5*4_Normalizacion!K217</f>
        <v>3.1210669949406E-005</v>
      </c>
      <c r="L219" s="21" t="n">
        <f aca="false">L$5*4_Normalizacion!L217</f>
        <v>0.000750071587671401</v>
      </c>
      <c r="M219" s="21" t="n">
        <f aca="false">M$5*4_Normalizacion!M217</f>
        <v>0.000715312843836844</v>
      </c>
      <c r="N219" s="21" t="n">
        <f aca="false">N$5*4_Normalizacion!N217</f>
        <v>0.00151979606525836</v>
      </c>
      <c r="O219" s="21" t="n">
        <f aca="false">O$5*4_Normalizacion!O217</f>
        <v>0.00200587264654955</v>
      </c>
      <c r="P219" s="21" t="n">
        <f aca="false">P$5*4_Normalizacion!P217</f>
        <v>0.00135841219936972</v>
      </c>
      <c r="Q219" s="21" t="n">
        <f aca="false">Q$5*4_Normalizacion!Q217</f>
        <v>0.0142963285899449</v>
      </c>
    </row>
    <row r="220" customFormat="false" ht="15" hidden="false" customHeight="false" outlineLevel="0" collapsed="false">
      <c r="A220" s="15" t="n">
        <f aca="false">4_Normalizacion!A218</f>
        <v>213</v>
      </c>
      <c r="B220" s="16" t="n">
        <f aca="false">4_Normalizacion!B218</f>
        <v>21.542</v>
      </c>
      <c r="C220" s="21" t="n">
        <f aca="false">C$5*4_Normalizacion!C218</f>
        <v>0.00211491006743141</v>
      </c>
      <c r="D220" s="21" t="n">
        <f aca="false">D$5*4_Normalizacion!D218</f>
        <v>0.00020543122737585</v>
      </c>
      <c r="E220" s="21" t="n">
        <f aca="false">E$5*4_Normalizacion!E218</f>
        <v>0.00232117381706033</v>
      </c>
      <c r="F220" s="21" t="n">
        <f aca="false">F$5*4_Normalizacion!F218</f>
        <v>0.0020175467426038</v>
      </c>
      <c r="G220" s="21" t="n">
        <f aca="false">G$5*4_Normalizacion!G218</f>
        <v>0.000280339284607229</v>
      </c>
      <c r="H220" s="21" t="n">
        <f aca="false">H$5*4_Normalizacion!H218</f>
        <v>0.00509263768149227</v>
      </c>
      <c r="I220" s="21" t="n">
        <f aca="false">I$5*4_Normalizacion!I218</f>
        <v>0.0140543412710073</v>
      </c>
      <c r="J220" s="21" t="n">
        <f aca="false">J$5*4_Normalizacion!J218</f>
        <v>0.000255567041403239</v>
      </c>
      <c r="K220" s="21" t="n">
        <f aca="false">K$5*4_Normalizacion!K218</f>
        <v>3.1210669949406E-005</v>
      </c>
      <c r="L220" s="21" t="n">
        <f aca="false">L$5*4_Normalizacion!L218</f>
        <v>0.000959149028887293</v>
      </c>
      <c r="M220" s="21" t="n">
        <f aca="false">M$5*4_Normalizacion!M218</f>
        <v>0.000692797943467737</v>
      </c>
      <c r="N220" s="21" t="n">
        <f aca="false">N$5*4_Normalizacion!N218</f>
        <v>0.00151979606525836</v>
      </c>
      <c r="O220" s="21" t="n">
        <f aca="false">O$5*4_Normalizacion!O218</f>
        <v>0.00200587264654955</v>
      </c>
      <c r="P220" s="21" t="n">
        <f aca="false">P$5*4_Normalizacion!P218</f>
        <v>0.00135841219936972</v>
      </c>
      <c r="Q220" s="21" t="n">
        <f aca="false">Q$5*4_Normalizacion!Q218</f>
        <v>0.0142963285899449</v>
      </c>
    </row>
    <row r="221" customFormat="false" ht="15" hidden="false" customHeight="false" outlineLevel="0" collapsed="false">
      <c r="A221" s="15" t="n">
        <f aca="false">4_Normalizacion!A219</f>
        <v>214</v>
      </c>
      <c r="B221" s="16" t="n">
        <f aca="false">4_Normalizacion!B219</f>
        <v>21.642</v>
      </c>
      <c r="C221" s="21" t="n">
        <f aca="false">C$5*4_Normalizacion!C219</f>
        <v>0.00211491006743141</v>
      </c>
      <c r="D221" s="21" t="n">
        <f aca="false">D$5*4_Normalizacion!D219</f>
        <v>0.00020543122737585</v>
      </c>
      <c r="E221" s="21" t="n">
        <f aca="false">E$5*4_Normalizacion!E219</f>
        <v>0.00232117381706033</v>
      </c>
      <c r="F221" s="21" t="n">
        <f aca="false">F$5*4_Normalizacion!F219</f>
        <v>0.0020175467426038</v>
      </c>
      <c r="G221" s="21" t="n">
        <f aca="false">G$5*4_Normalizacion!G219</f>
        <v>0.000280339284607229</v>
      </c>
      <c r="H221" s="21" t="n">
        <f aca="false">H$5*4_Normalizacion!H219</f>
        <v>0.00509263768149227</v>
      </c>
      <c r="I221" s="21" t="n">
        <f aca="false">I$5*4_Normalizacion!I219</f>
        <v>0.0140543412710073</v>
      </c>
      <c r="J221" s="21" t="n">
        <f aca="false">J$5*4_Normalizacion!J219</f>
        <v>0.000255567041403239</v>
      </c>
      <c r="K221" s="21" t="n">
        <f aca="false">K$5*4_Normalizacion!K219</f>
        <v>3.1210669949406E-005</v>
      </c>
      <c r="L221" s="21" t="n">
        <f aca="false">L$5*4_Normalizacion!L219</f>
        <v>0.00160543397307742</v>
      </c>
      <c r="M221" s="21" t="n">
        <f aca="false">M$5*4_Normalizacion!M219</f>
        <v>0.000465789911305828</v>
      </c>
      <c r="N221" s="21" t="n">
        <f aca="false">N$5*4_Normalizacion!N219</f>
        <v>0.00151979606525836</v>
      </c>
      <c r="O221" s="21" t="n">
        <f aca="false">O$5*4_Normalizacion!O219</f>
        <v>0.00200587264654955</v>
      </c>
      <c r="P221" s="21" t="n">
        <f aca="false">P$5*4_Normalizacion!P219</f>
        <v>0.00135841219936972</v>
      </c>
      <c r="Q221" s="21" t="n">
        <f aca="false">Q$5*4_Normalizacion!Q219</f>
        <v>0.00285926571798898</v>
      </c>
    </row>
    <row r="222" customFormat="false" ht="15" hidden="false" customHeight="false" outlineLevel="0" collapsed="false">
      <c r="A222" s="15" t="n">
        <f aca="false">4_Normalizacion!A220</f>
        <v>215</v>
      </c>
      <c r="B222" s="16" t="n">
        <f aca="false">4_Normalizacion!B220</f>
        <v>21.743</v>
      </c>
      <c r="C222" s="21" t="n">
        <f aca="false">C$5*4_Normalizacion!C220</f>
        <v>0.00211491006743141</v>
      </c>
      <c r="D222" s="21" t="n">
        <f aca="false">D$5*4_Normalizacion!D220</f>
        <v>0.00020543122737585</v>
      </c>
      <c r="E222" s="21" t="n">
        <f aca="false">E$5*4_Normalizacion!E220</f>
        <v>0.00232117381706033</v>
      </c>
      <c r="F222" s="21" t="n">
        <f aca="false">F$5*4_Normalizacion!F220</f>
        <v>0.0020175467426038</v>
      </c>
      <c r="G222" s="21" t="n">
        <f aca="false">G$5*4_Normalizacion!G220</f>
        <v>0.000280339284607229</v>
      </c>
      <c r="H222" s="21" t="n">
        <f aca="false">H$5*4_Normalizacion!H220</f>
        <v>0.00509263768149227</v>
      </c>
      <c r="I222" s="21" t="n">
        <f aca="false">I$5*4_Normalizacion!I220</f>
        <v>0.0140543412710073</v>
      </c>
      <c r="J222" s="21" t="n">
        <f aca="false">J$5*4_Normalizacion!J220</f>
        <v>0.000255567041403239</v>
      </c>
      <c r="K222" s="21" t="n">
        <f aca="false">K$5*4_Normalizacion!K220</f>
        <v>3.1210669949406E-005</v>
      </c>
      <c r="L222" s="21" t="n">
        <f aca="false">L$5*4_Normalizacion!L220</f>
        <v>0.00182102941605784</v>
      </c>
      <c r="M222" s="21" t="n">
        <f aca="false">M$5*4_Normalizacion!M220</f>
        <v>0.000455875092794662</v>
      </c>
      <c r="N222" s="21" t="n">
        <f aca="false">N$5*4_Normalizacion!N220</f>
        <v>0.00151979606525836</v>
      </c>
      <c r="O222" s="21" t="n">
        <f aca="false">O$5*4_Normalizacion!O220</f>
        <v>0.00200587264654955</v>
      </c>
      <c r="P222" s="21" t="n">
        <f aca="false">P$5*4_Normalizacion!P220</f>
        <v>0.00135841219936972</v>
      </c>
      <c r="Q222" s="21" t="n">
        <f aca="false">Q$5*4_Normalizacion!Q220</f>
        <v>0.0142963285899449</v>
      </c>
    </row>
    <row r="223" customFormat="false" ht="15" hidden="false" customHeight="false" outlineLevel="0" collapsed="false">
      <c r="A223" s="15" t="n">
        <f aca="false">4_Normalizacion!A221</f>
        <v>216</v>
      </c>
      <c r="B223" s="16" t="n">
        <f aca="false">4_Normalizacion!B221</f>
        <v>21.843</v>
      </c>
      <c r="C223" s="21" t="n">
        <f aca="false">C$5*4_Normalizacion!C221</f>
        <v>0.00211491006743141</v>
      </c>
      <c r="D223" s="21" t="n">
        <f aca="false">D$5*4_Normalizacion!D221</f>
        <v>0.00020543122737585</v>
      </c>
      <c r="E223" s="21" t="n">
        <f aca="false">E$5*4_Normalizacion!E221</f>
        <v>0.00232117381706033</v>
      </c>
      <c r="F223" s="21" t="n">
        <f aca="false">F$5*4_Normalizacion!F221</f>
        <v>0.0020175467426038</v>
      </c>
      <c r="G223" s="21" t="n">
        <f aca="false">G$5*4_Normalizacion!G221</f>
        <v>0.000280339284607229</v>
      </c>
      <c r="H223" s="21" t="n">
        <f aca="false">H$5*4_Normalizacion!H221</f>
        <v>0.00509263768149227</v>
      </c>
      <c r="I223" s="21" t="n">
        <f aca="false">I$5*4_Normalizacion!I221</f>
        <v>0.0140543412710073</v>
      </c>
      <c r="J223" s="21" t="n">
        <f aca="false">J$5*4_Normalizacion!J221</f>
        <v>0.000255567041403239</v>
      </c>
      <c r="K223" s="21" t="n">
        <f aca="false">K$5*4_Normalizacion!K221</f>
        <v>3.1210669949406E-005</v>
      </c>
      <c r="L223" s="21" t="n">
        <f aca="false">L$5*4_Normalizacion!L221</f>
        <v>0.00117374170236547</v>
      </c>
      <c r="M223" s="21" t="n">
        <f aca="false">M$5*4_Normalizacion!M221</f>
        <v>0.000766539406144536</v>
      </c>
      <c r="N223" s="21" t="n">
        <f aca="false">N$5*4_Normalizacion!N221</f>
        <v>0.00151979606525836</v>
      </c>
      <c r="O223" s="21" t="n">
        <f aca="false">O$5*4_Normalizacion!O221</f>
        <v>0.00200587264654955</v>
      </c>
      <c r="P223" s="21" t="n">
        <f aca="false">P$5*4_Normalizacion!P221</f>
        <v>0.00135841219936972</v>
      </c>
      <c r="Q223" s="21" t="n">
        <f aca="false">Q$5*4_Normalizacion!Q221</f>
        <v>0.00285926571798898</v>
      </c>
    </row>
    <row r="224" customFormat="false" ht="15" hidden="false" customHeight="false" outlineLevel="0" collapsed="false">
      <c r="A224" s="15" t="n">
        <f aca="false">4_Normalizacion!A222</f>
        <v>217</v>
      </c>
      <c r="B224" s="16" t="n">
        <f aca="false">4_Normalizacion!B222</f>
        <v>21.944</v>
      </c>
      <c r="C224" s="21" t="n">
        <f aca="false">C$5*4_Normalizacion!C222</f>
        <v>0.00211491006743141</v>
      </c>
      <c r="D224" s="21" t="n">
        <f aca="false">D$5*4_Normalizacion!D222</f>
        <v>0.00020543122737585</v>
      </c>
      <c r="E224" s="21" t="n">
        <f aca="false">E$5*4_Normalizacion!E222</f>
        <v>0.00232117381706033</v>
      </c>
      <c r="F224" s="21" t="n">
        <f aca="false">F$5*4_Normalizacion!F222</f>
        <v>0.0020175467426038</v>
      </c>
      <c r="G224" s="21" t="n">
        <f aca="false">G$5*4_Normalizacion!G222</f>
        <v>0.000280339284607229</v>
      </c>
      <c r="H224" s="21" t="n">
        <f aca="false">H$5*4_Normalizacion!H222</f>
        <v>0.00509263768149227</v>
      </c>
      <c r="I224" s="21" t="n">
        <f aca="false">I$5*4_Normalizacion!I222</f>
        <v>0.0140543412710073</v>
      </c>
      <c r="J224" s="21" t="n">
        <f aca="false">J$5*4_Normalizacion!J222</f>
        <v>0.000255567041403239</v>
      </c>
      <c r="K224" s="21" t="n">
        <f aca="false">K$5*4_Normalizacion!K222</f>
        <v>3.1210669949406E-005</v>
      </c>
      <c r="L224" s="21" t="n">
        <f aca="false">L$5*4_Normalizacion!L222</f>
        <v>0.00159189658479726</v>
      </c>
      <c r="M224" s="21" t="n">
        <f aca="false">M$5*4_Normalizacion!M222</f>
        <v>0.000629797534178035</v>
      </c>
      <c r="N224" s="21" t="n">
        <f aca="false">N$5*4_Normalizacion!N222</f>
        <v>0.00151979606525836</v>
      </c>
      <c r="O224" s="21" t="n">
        <f aca="false">O$5*4_Normalizacion!O222</f>
        <v>0.00200587264654955</v>
      </c>
      <c r="P224" s="21" t="n">
        <f aca="false">P$5*4_Normalizacion!P222</f>
        <v>0.00135841219936972</v>
      </c>
      <c r="Q224" s="21" t="n">
        <f aca="false">Q$5*4_Normalizacion!Q222</f>
        <v>0.0142963285899449</v>
      </c>
    </row>
    <row r="225" customFormat="false" ht="15" hidden="false" customHeight="false" outlineLevel="0" collapsed="false">
      <c r="A225" s="15" t="n">
        <f aca="false">4_Normalizacion!A223</f>
        <v>218</v>
      </c>
      <c r="B225" s="16" t="n">
        <f aca="false">4_Normalizacion!B223</f>
        <v>22.045</v>
      </c>
      <c r="C225" s="21" t="n">
        <f aca="false">C$5*4_Normalizacion!C223</f>
        <v>0.00211491006743141</v>
      </c>
      <c r="D225" s="21" t="n">
        <f aca="false">D$5*4_Normalizacion!D223</f>
        <v>0.00016434498190068</v>
      </c>
      <c r="E225" s="21" t="n">
        <f aca="false">E$5*4_Normalizacion!E223</f>
        <v>0.00232117381706033</v>
      </c>
      <c r="F225" s="21" t="n">
        <f aca="false">F$5*4_Normalizacion!F223</f>
        <v>0.0020175467426038</v>
      </c>
      <c r="G225" s="21" t="n">
        <f aca="false">G$5*4_Normalizacion!G223</f>
        <v>0.000280339284607229</v>
      </c>
      <c r="H225" s="21" t="n">
        <f aca="false">H$5*4_Normalizacion!H223</f>
        <v>0.00509263768149227</v>
      </c>
      <c r="I225" s="21" t="n">
        <f aca="false">I$5*4_Normalizacion!I223</f>
        <v>0.0140543412710073</v>
      </c>
      <c r="J225" s="21" t="n">
        <f aca="false">J$5*4_Normalizacion!J223</f>
        <v>0.000255567041403239</v>
      </c>
      <c r="K225" s="21" t="n">
        <f aca="false">K$5*4_Normalizacion!K223</f>
        <v>3.90133374367575E-005</v>
      </c>
      <c r="L225" s="21" t="n">
        <f aca="false">L$5*4_Normalizacion!L223</f>
        <v>0.00180398233451985</v>
      </c>
      <c r="M225" s="21" t="n">
        <f aca="false">M$5*4_Normalizacion!M223</f>
        <v>0.000414769907717119</v>
      </c>
      <c r="N225" s="21" t="n">
        <f aca="false">N$5*4_Normalizacion!N223</f>
        <v>0.00151979606525836</v>
      </c>
      <c r="O225" s="21" t="n">
        <f aca="false">O$5*4_Normalizacion!O223</f>
        <v>0.00200587264654955</v>
      </c>
      <c r="P225" s="21" t="n">
        <f aca="false">P$5*4_Normalizacion!P223</f>
        <v>0.00135841219936972</v>
      </c>
      <c r="Q225" s="21" t="n">
        <f aca="false">Q$5*4_Normalizacion!Q223</f>
        <v>0.0142963285899449</v>
      </c>
    </row>
    <row r="226" customFormat="false" ht="15" hidden="false" customHeight="false" outlineLevel="0" collapsed="false">
      <c r="A226" s="15" t="n">
        <f aca="false">4_Normalizacion!A224</f>
        <v>219</v>
      </c>
      <c r="B226" s="16" t="n">
        <f aca="false">4_Normalizacion!B224</f>
        <v>22.146</v>
      </c>
      <c r="C226" s="21" t="n">
        <f aca="false">C$5*4_Normalizacion!C224</f>
        <v>0.00211491006743141</v>
      </c>
      <c r="D226" s="21" t="n">
        <f aca="false">D$5*4_Normalizacion!D224</f>
        <v>0.00016434498190068</v>
      </c>
      <c r="E226" s="21" t="n">
        <f aca="false">E$5*4_Normalizacion!E224</f>
        <v>0.00232117381706033</v>
      </c>
      <c r="F226" s="21" t="n">
        <f aca="false">F$5*4_Normalizacion!F224</f>
        <v>0.0020175467426038</v>
      </c>
      <c r="G226" s="21" t="n">
        <f aca="false">G$5*4_Normalizacion!G224</f>
        <v>0.000280339284607229</v>
      </c>
      <c r="H226" s="21" t="n">
        <f aca="false">H$5*4_Normalizacion!H224</f>
        <v>0.00509263768149227</v>
      </c>
      <c r="I226" s="21" t="n">
        <f aca="false">I$5*4_Normalizacion!I224</f>
        <v>0.0140543412710073</v>
      </c>
      <c r="J226" s="21" t="n">
        <f aca="false">J$5*4_Normalizacion!J224</f>
        <v>0.000255567041403239</v>
      </c>
      <c r="K226" s="21" t="n">
        <f aca="false">K$5*4_Normalizacion!K224</f>
        <v>3.90133374367575E-005</v>
      </c>
      <c r="L226" s="21" t="n">
        <f aca="false">L$5*4_Normalizacion!L224</f>
        <v>0.00179545879375086</v>
      </c>
      <c r="M226" s="21" t="n">
        <f aca="false">M$5*4_Normalizacion!M224</f>
        <v>0.000413117437965258</v>
      </c>
      <c r="N226" s="21" t="n">
        <f aca="false">N$5*4_Normalizacion!N224</f>
        <v>0.00151979606525836</v>
      </c>
      <c r="O226" s="21" t="n">
        <f aca="false">O$5*4_Normalizacion!O224</f>
        <v>0.00200587264654955</v>
      </c>
      <c r="P226" s="21" t="n">
        <f aca="false">P$5*4_Normalizacion!P224</f>
        <v>0.00135841219936972</v>
      </c>
      <c r="Q226" s="21" t="n">
        <f aca="false">Q$5*4_Normalizacion!Q224</f>
        <v>0.0142963285899449</v>
      </c>
    </row>
    <row r="227" customFormat="false" ht="15" hidden="false" customHeight="false" outlineLevel="0" collapsed="false">
      <c r="A227" s="15" t="n">
        <f aca="false">4_Normalizacion!A225</f>
        <v>220</v>
      </c>
      <c r="B227" s="16" t="n">
        <f aca="false">4_Normalizacion!B225</f>
        <v>22.247</v>
      </c>
      <c r="C227" s="21" t="n">
        <f aca="false">C$5*4_Normalizacion!C225</f>
        <v>0.00211491006743141</v>
      </c>
      <c r="D227" s="21" t="n">
        <f aca="false">D$5*4_Normalizacion!D225</f>
        <v>0.00016434498190068</v>
      </c>
      <c r="E227" s="21" t="n">
        <f aca="false">E$5*4_Normalizacion!E225</f>
        <v>0.00232117381706033</v>
      </c>
      <c r="F227" s="21" t="n">
        <f aca="false">F$5*4_Normalizacion!F225</f>
        <v>0.0020175467426038</v>
      </c>
      <c r="G227" s="21" t="n">
        <f aca="false">G$5*4_Normalizacion!G225</f>
        <v>0.000280339284607229</v>
      </c>
      <c r="H227" s="21" t="n">
        <f aca="false">H$5*4_Normalizacion!H225</f>
        <v>0.00509263768149227</v>
      </c>
      <c r="I227" s="21" t="n">
        <f aca="false">I$5*4_Normalizacion!I225</f>
        <v>0.0140543412710073</v>
      </c>
      <c r="J227" s="21" t="n">
        <f aca="false">J$5*4_Normalizacion!J225</f>
        <v>0.000255567041403239</v>
      </c>
      <c r="K227" s="21" t="n">
        <f aca="false">K$5*4_Normalizacion!K225</f>
        <v>3.90133374367575E-005</v>
      </c>
      <c r="L227" s="21" t="n">
        <f aca="false">L$5*4_Normalizacion!L225</f>
        <v>0.00184108480610253</v>
      </c>
      <c r="M227" s="21" t="n">
        <f aca="false">M$5*4_Normalizacion!M225</f>
        <v>0.000413117437965258</v>
      </c>
      <c r="N227" s="21" t="n">
        <f aca="false">N$5*4_Normalizacion!N225</f>
        <v>0.00151979606525836</v>
      </c>
      <c r="O227" s="21" t="n">
        <f aca="false">O$5*4_Normalizacion!O225</f>
        <v>0.00200587264654955</v>
      </c>
      <c r="P227" s="21" t="n">
        <f aca="false">P$5*4_Normalizacion!P225</f>
        <v>0.00135841219936972</v>
      </c>
      <c r="Q227" s="21" t="n">
        <f aca="false">Q$5*4_Normalizacion!Q225</f>
        <v>0.0142963285899449</v>
      </c>
    </row>
    <row r="228" customFormat="false" ht="15" hidden="false" customHeight="false" outlineLevel="0" collapsed="false">
      <c r="A228" s="15" t="n">
        <f aca="false">4_Normalizacion!A226</f>
        <v>221</v>
      </c>
      <c r="B228" s="16" t="n">
        <f aca="false">4_Normalizacion!B226</f>
        <v>22.348</v>
      </c>
      <c r="C228" s="21" t="n">
        <f aca="false">C$5*4_Normalizacion!C226</f>
        <v>0.00211491006743141</v>
      </c>
      <c r="D228" s="21" t="n">
        <f aca="false">D$5*4_Normalizacion!D226</f>
        <v>0.00016434498190068</v>
      </c>
      <c r="E228" s="21" t="n">
        <f aca="false">E$5*4_Normalizacion!E226</f>
        <v>0.00232117381706033</v>
      </c>
      <c r="F228" s="21" t="n">
        <f aca="false">F$5*4_Normalizacion!F226</f>
        <v>0.0020175467426038</v>
      </c>
      <c r="G228" s="21" t="n">
        <f aca="false">G$5*4_Normalizacion!G226</f>
        <v>0.000280339284607229</v>
      </c>
      <c r="H228" s="21" t="n">
        <f aca="false">H$5*4_Normalizacion!H226</f>
        <v>0.00509263768149227</v>
      </c>
      <c r="I228" s="21" t="n">
        <f aca="false">I$5*4_Normalizacion!I226</f>
        <v>0.0140543412710073</v>
      </c>
      <c r="J228" s="21" t="n">
        <f aca="false">J$5*4_Normalizacion!J226</f>
        <v>0.000255567041403239</v>
      </c>
      <c r="K228" s="21" t="n">
        <f aca="false">K$5*4_Normalizacion!K226</f>
        <v>3.90133374367575E-005</v>
      </c>
      <c r="L228" s="21" t="n">
        <f aca="false">L$5*4_Normalizacion!L226</f>
        <v>0.00186966373691621</v>
      </c>
      <c r="M228" s="21" t="n">
        <f aca="false">M$5*4_Normalizacion!M226</f>
        <v>0.000413117437965258</v>
      </c>
      <c r="N228" s="21" t="n">
        <f aca="false">N$5*4_Normalizacion!N226</f>
        <v>0.00151979606525836</v>
      </c>
      <c r="O228" s="21" t="n">
        <f aca="false">O$5*4_Normalizacion!O226</f>
        <v>0.00200587264654955</v>
      </c>
      <c r="P228" s="21" t="n">
        <f aca="false">P$5*4_Normalizacion!P226</f>
        <v>0.00135841219936972</v>
      </c>
      <c r="Q228" s="21" t="n">
        <f aca="false">Q$5*4_Normalizacion!Q226</f>
        <v>0.0142963285899449</v>
      </c>
    </row>
    <row r="229" customFormat="false" ht="15" hidden="false" customHeight="false" outlineLevel="0" collapsed="false">
      <c r="A229" s="15" t="n">
        <f aca="false">4_Normalizacion!A227</f>
        <v>222</v>
      </c>
      <c r="B229" s="16" t="n">
        <f aca="false">4_Normalizacion!B227</f>
        <v>22.45</v>
      </c>
      <c r="C229" s="21" t="n">
        <f aca="false">C$5*4_Normalizacion!C227</f>
        <v>0.00211491006743141</v>
      </c>
      <c r="D229" s="21" t="n">
        <f aca="false">D$5*4_Normalizacion!D227</f>
        <v>0.00016434498190068</v>
      </c>
      <c r="E229" s="21" t="n">
        <f aca="false">E$5*4_Normalizacion!E227</f>
        <v>0.00232117381706033</v>
      </c>
      <c r="F229" s="21" t="n">
        <f aca="false">F$5*4_Normalizacion!F227</f>
        <v>0.0020175467426038</v>
      </c>
      <c r="G229" s="21" t="n">
        <f aca="false">G$5*4_Normalizacion!G227</f>
        <v>0.000280339284607229</v>
      </c>
      <c r="H229" s="21" t="n">
        <f aca="false">H$5*4_Normalizacion!H227</f>
        <v>0.00509263768149227</v>
      </c>
      <c r="I229" s="21" t="n">
        <f aca="false">I$5*4_Normalizacion!I227</f>
        <v>0.0112434730168058</v>
      </c>
      <c r="J229" s="21" t="n">
        <f aca="false">J$5*4_Normalizacion!J227</f>
        <v>0.000255567041403239</v>
      </c>
      <c r="K229" s="21" t="n">
        <f aca="false">K$5*4_Normalizacion!K227</f>
        <v>3.90133374367575E-005</v>
      </c>
      <c r="L229" s="21" t="n">
        <f aca="false">L$5*4_Normalizacion!L227</f>
        <v>0.00180598787352432</v>
      </c>
      <c r="M229" s="21" t="n">
        <f aca="false">M$5*4_Normalizacion!M227</f>
        <v>0.000413117437965258</v>
      </c>
      <c r="N229" s="21" t="n">
        <f aca="false">N$5*4_Normalizacion!N227</f>
        <v>0.00151979606525836</v>
      </c>
      <c r="O229" s="21" t="n">
        <f aca="false">O$5*4_Normalizacion!O227</f>
        <v>0.00200587264654955</v>
      </c>
      <c r="P229" s="21" t="n">
        <f aca="false">P$5*4_Normalizacion!P227</f>
        <v>0.00135841219936972</v>
      </c>
      <c r="Q229" s="21" t="n">
        <f aca="false">Q$5*4_Normalizacion!Q227</f>
        <v>0.0142963285899449</v>
      </c>
    </row>
    <row r="230" customFormat="false" ht="15" hidden="false" customHeight="false" outlineLevel="0" collapsed="false">
      <c r="A230" s="15" t="n">
        <f aca="false">4_Normalizacion!A228</f>
        <v>223</v>
      </c>
      <c r="B230" s="16" t="n">
        <f aca="false">4_Normalizacion!B228</f>
        <v>22.552</v>
      </c>
      <c r="C230" s="21" t="n">
        <f aca="false">C$5*4_Normalizacion!C228</f>
        <v>0.00211491006743141</v>
      </c>
      <c r="D230" s="21" t="n">
        <f aca="false">D$5*4_Normalizacion!D228</f>
        <v>0.00016434498190068</v>
      </c>
      <c r="E230" s="21" t="n">
        <f aca="false">E$5*4_Normalizacion!E228</f>
        <v>0.00232117381706033</v>
      </c>
      <c r="F230" s="21" t="n">
        <f aca="false">F$5*4_Normalizacion!F228</f>
        <v>0.0020175467426038</v>
      </c>
      <c r="G230" s="21" t="n">
        <f aca="false">G$5*4_Normalizacion!G228</f>
        <v>0.000280339284607229</v>
      </c>
      <c r="H230" s="21" t="n">
        <f aca="false">H$5*4_Normalizacion!H228</f>
        <v>0.00509263768149227</v>
      </c>
      <c r="I230" s="21" t="n">
        <f aca="false">I$5*4_Normalizacion!I228</f>
        <v>0.0112434730168058</v>
      </c>
      <c r="J230" s="21" t="n">
        <f aca="false">J$5*4_Normalizacion!J228</f>
        <v>0.000255567041403239</v>
      </c>
      <c r="K230" s="21" t="n">
        <f aca="false">K$5*4_Normalizacion!K228</f>
        <v>3.90133374367575E-005</v>
      </c>
      <c r="L230" s="21" t="n">
        <f aca="false">L$5*4_Normalizacion!L228</f>
        <v>0.0017733978647017</v>
      </c>
      <c r="M230" s="21" t="n">
        <f aca="false">M$5*4_Normalizacion!M228</f>
        <v>0.000413117437965258</v>
      </c>
      <c r="N230" s="21" t="n">
        <f aca="false">N$5*4_Normalizacion!N228</f>
        <v>0.00151979606525836</v>
      </c>
      <c r="O230" s="21" t="n">
        <f aca="false">O$5*4_Normalizacion!O228</f>
        <v>0.00200587264654955</v>
      </c>
      <c r="P230" s="21" t="n">
        <f aca="false">P$5*4_Normalizacion!P228</f>
        <v>0.00135841219936972</v>
      </c>
      <c r="Q230" s="21" t="n">
        <f aca="false">Q$5*4_Normalizacion!Q228</f>
        <v>0.0142963285899449</v>
      </c>
    </row>
    <row r="231" customFormat="false" ht="15" hidden="false" customHeight="false" outlineLevel="0" collapsed="false">
      <c r="A231" s="15" t="n">
        <f aca="false">4_Normalizacion!A229</f>
        <v>224</v>
      </c>
      <c r="B231" s="16" t="n">
        <f aca="false">4_Normalizacion!B229</f>
        <v>22.653</v>
      </c>
      <c r="C231" s="21" t="n">
        <f aca="false">C$5*4_Normalizacion!C229</f>
        <v>0.00211491006743141</v>
      </c>
      <c r="D231" s="21" t="n">
        <f aca="false">D$5*4_Normalizacion!D229</f>
        <v>0.00016434498190068</v>
      </c>
      <c r="E231" s="21" t="n">
        <f aca="false">E$5*4_Normalizacion!E229</f>
        <v>0.00232117381706033</v>
      </c>
      <c r="F231" s="21" t="n">
        <f aca="false">F$5*4_Normalizacion!F229</f>
        <v>0.0020175467426038</v>
      </c>
      <c r="G231" s="21" t="n">
        <f aca="false">G$5*4_Normalizacion!G229</f>
        <v>0.000280339284607229</v>
      </c>
      <c r="H231" s="21" t="n">
        <f aca="false">H$5*4_Normalizacion!H229</f>
        <v>0.00509263768149227</v>
      </c>
      <c r="I231" s="21" t="n">
        <f aca="false">I$5*4_Normalizacion!I229</f>
        <v>0.0112434730168058</v>
      </c>
      <c r="J231" s="21" t="n">
        <f aca="false">J$5*4_Normalizacion!J229</f>
        <v>0.000255567041403239</v>
      </c>
      <c r="K231" s="21" t="n">
        <f aca="false">K$5*4_Normalizacion!K229</f>
        <v>3.90133374367575E-005</v>
      </c>
      <c r="L231" s="21" t="n">
        <f aca="false">L$5*4_Normalizacion!L229</f>
        <v>0.00180799341252879</v>
      </c>
      <c r="M231" s="21" t="n">
        <f aca="false">M$5*4_Normalizacion!M229</f>
        <v>0.000413117437965258</v>
      </c>
      <c r="N231" s="21" t="n">
        <f aca="false">N$5*4_Normalizacion!N229</f>
        <v>0.00151979606525836</v>
      </c>
      <c r="O231" s="21" t="n">
        <f aca="false">O$5*4_Normalizacion!O229</f>
        <v>0.00200587264654955</v>
      </c>
      <c r="P231" s="21" t="n">
        <f aca="false">P$5*4_Normalizacion!P229</f>
        <v>0.00135841219936972</v>
      </c>
      <c r="Q231" s="21" t="n">
        <f aca="false">Q$5*4_Normalizacion!Q229</f>
        <v>0.0142963285899449</v>
      </c>
    </row>
    <row r="232" customFormat="false" ht="15" hidden="false" customHeight="false" outlineLevel="0" collapsed="false">
      <c r="A232" s="15" t="n">
        <f aca="false">4_Normalizacion!A230</f>
        <v>225</v>
      </c>
      <c r="B232" s="16" t="n">
        <f aca="false">4_Normalizacion!B230</f>
        <v>22.754</v>
      </c>
      <c r="C232" s="21" t="n">
        <f aca="false">C$5*4_Normalizacion!C230</f>
        <v>0.00211491006743141</v>
      </c>
      <c r="D232" s="21" t="n">
        <f aca="false">D$5*4_Normalizacion!D230</f>
        <v>0.00016434498190068</v>
      </c>
      <c r="E232" s="21" t="n">
        <f aca="false">E$5*4_Normalizacion!E230</f>
        <v>0.00232117381706033</v>
      </c>
      <c r="F232" s="21" t="n">
        <f aca="false">F$5*4_Normalizacion!F230</f>
        <v>0.0020175467426038</v>
      </c>
      <c r="G232" s="21" t="n">
        <f aca="false">G$5*4_Normalizacion!G230</f>
        <v>0.000280339284607229</v>
      </c>
      <c r="H232" s="21" t="n">
        <f aca="false">H$5*4_Normalizacion!H230</f>
        <v>0.00509263768149227</v>
      </c>
      <c r="I232" s="21" t="n">
        <f aca="false">I$5*4_Normalizacion!I230</f>
        <v>0.0112434730168058</v>
      </c>
      <c r="J232" s="21" t="n">
        <f aca="false">J$5*4_Normalizacion!J230</f>
        <v>0.000255567041403239</v>
      </c>
      <c r="K232" s="21" t="n">
        <f aca="false">K$5*4_Normalizacion!K230</f>
        <v>3.90133374367575E-005</v>
      </c>
      <c r="L232" s="21" t="n">
        <f aca="false">L$5*4_Normalizacion!L230</f>
        <v>0.00180799341252879</v>
      </c>
      <c r="M232" s="21" t="n">
        <f aca="false">M$5*4_Normalizacion!M230</f>
        <v>0.000413117437965258</v>
      </c>
      <c r="N232" s="21" t="n">
        <f aca="false">N$5*4_Normalizacion!N230</f>
        <v>0.00151979606525836</v>
      </c>
      <c r="O232" s="21" t="n">
        <f aca="false">O$5*4_Normalizacion!O230</f>
        <v>0.00200587264654955</v>
      </c>
      <c r="P232" s="21" t="n">
        <f aca="false">P$5*4_Normalizacion!P230</f>
        <v>0.00135841219936972</v>
      </c>
      <c r="Q232" s="21" t="n">
        <f aca="false">Q$5*4_Normalizacion!Q230</f>
        <v>0.0142963285899449</v>
      </c>
    </row>
    <row r="233" customFormat="false" ht="15" hidden="false" customHeight="false" outlineLevel="0" collapsed="false">
      <c r="A233" s="15" t="n">
        <f aca="false">4_Normalizacion!A231</f>
        <v>226</v>
      </c>
      <c r="B233" s="16" t="n">
        <f aca="false">4_Normalizacion!B231</f>
        <v>22.854</v>
      </c>
      <c r="C233" s="21" t="n">
        <f aca="false">C$5*4_Normalizacion!C231</f>
        <v>0.00211491006743141</v>
      </c>
      <c r="D233" s="21" t="n">
        <f aca="false">D$5*4_Normalizacion!D231</f>
        <v>0.00016434498190068</v>
      </c>
      <c r="E233" s="21" t="n">
        <f aca="false">E$5*4_Normalizacion!E231</f>
        <v>0.00232117381706033</v>
      </c>
      <c r="F233" s="21" t="n">
        <f aca="false">F$5*4_Normalizacion!F231</f>
        <v>0.0020175467426038</v>
      </c>
      <c r="G233" s="21" t="n">
        <f aca="false">G$5*4_Normalizacion!G231</f>
        <v>0.000280339284607229</v>
      </c>
      <c r="H233" s="21" t="n">
        <f aca="false">H$5*4_Normalizacion!H231</f>
        <v>0.00509263768149227</v>
      </c>
      <c r="I233" s="21" t="n">
        <f aca="false">I$5*4_Normalizacion!I231</f>
        <v>0.00843260476260438</v>
      </c>
      <c r="J233" s="21" t="n">
        <f aca="false">J$5*4_Normalizacion!J231</f>
        <v>0.000255567041403239</v>
      </c>
      <c r="K233" s="21" t="n">
        <f aca="false">K$5*4_Normalizacion!K231</f>
        <v>3.90133374367575E-005</v>
      </c>
      <c r="L233" s="21" t="n">
        <f aca="false">L$5*4_Normalizacion!L231</f>
        <v>0.00184509588411147</v>
      </c>
      <c r="M233" s="21" t="n">
        <f aca="false">M$5*4_Normalizacion!M231</f>
        <v>0.000413117437965258</v>
      </c>
      <c r="N233" s="21" t="n">
        <f aca="false">N$5*4_Normalizacion!N231</f>
        <v>0.00151979606525836</v>
      </c>
      <c r="O233" s="21" t="n">
        <f aca="false">O$5*4_Normalizacion!O231</f>
        <v>0.00200587264654955</v>
      </c>
      <c r="P233" s="21" t="n">
        <f aca="false">P$5*4_Normalizacion!P231</f>
        <v>0.00135841219936972</v>
      </c>
      <c r="Q233" s="21" t="n">
        <f aca="false">Q$5*4_Normalizacion!Q231</f>
        <v>0.0142963285899449</v>
      </c>
    </row>
    <row r="234" customFormat="false" ht="15" hidden="false" customHeight="false" outlineLevel="0" collapsed="false">
      <c r="A234" s="15" t="n">
        <f aca="false">4_Normalizacion!A232</f>
        <v>227</v>
      </c>
      <c r="B234" s="16" t="n">
        <f aca="false">4_Normalizacion!B232</f>
        <v>22.953</v>
      </c>
      <c r="C234" s="21" t="n">
        <f aca="false">C$5*4_Normalizacion!C232</f>
        <v>0.00211491006743141</v>
      </c>
      <c r="D234" s="21" t="n">
        <f aca="false">D$5*4_Normalizacion!D232</f>
        <v>0.00016434498190068</v>
      </c>
      <c r="E234" s="21" t="n">
        <f aca="false">E$5*4_Normalizacion!E232</f>
        <v>0.00185693905364827</v>
      </c>
      <c r="F234" s="21" t="n">
        <f aca="false">F$5*4_Normalizacion!F232</f>
        <v>0.0020175467426038</v>
      </c>
      <c r="G234" s="21" t="n">
        <f aca="false">G$5*4_Normalizacion!G232</f>
        <v>0.000280339284607229</v>
      </c>
      <c r="H234" s="21" t="n">
        <f aca="false">H$5*4_Normalizacion!H232</f>
        <v>0.00509263768149227</v>
      </c>
      <c r="I234" s="21" t="n">
        <f aca="false">I$5*4_Normalizacion!I232</f>
        <v>0.00843260476260438</v>
      </c>
      <c r="J234" s="21" t="n">
        <f aca="false">J$5*4_Normalizacion!J232</f>
        <v>0.000255567041403239</v>
      </c>
      <c r="K234" s="21" t="n">
        <f aca="false">K$5*4_Normalizacion!K232</f>
        <v>3.90133374367575E-005</v>
      </c>
      <c r="L234" s="21" t="n">
        <f aca="false">L$5*4_Normalizacion!L232</f>
        <v>0.00191679390352123</v>
      </c>
      <c r="M234" s="21" t="n">
        <f aca="false">M$5*4_Normalizacion!M232</f>
        <v>0.000413117437965258</v>
      </c>
      <c r="N234" s="21" t="n">
        <f aca="false">N$5*4_Normalizacion!N232</f>
        <v>0.00151979606525836</v>
      </c>
      <c r="O234" s="21" t="n">
        <f aca="false">O$5*4_Normalizacion!O232</f>
        <v>0.00200587264654955</v>
      </c>
      <c r="P234" s="21" t="n">
        <f aca="false">P$5*4_Normalizacion!P232</f>
        <v>0.00135841219936972</v>
      </c>
      <c r="Q234" s="21" t="n">
        <f aca="false">Q$5*4_Normalizacion!Q232</f>
        <v>0.0142963285899449</v>
      </c>
    </row>
    <row r="235" customFormat="false" ht="15" hidden="false" customHeight="false" outlineLevel="0" collapsed="false">
      <c r="A235" s="15" t="n">
        <f aca="false">4_Normalizacion!A233</f>
        <v>228</v>
      </c>
      <c r="B235" s="16" t="n">
        <f aca="false">4_Normalizacion!B233</f>
        <v>23.051</v>
      </c>
      <c r="C235" s="21" t="n">
        <f aca="false">C$5*4_Normalizacion!C233</f>
        <v>0.00211491006743141</v>
      </c>
      <c r="D235" s="21" t="n">
        <f aca="false">D$5*4_Normalizacion!D233</f>
        <v>0.00016434498190068</v>
      </c>
      <c r="E235" s="21" t="n">
        <f aca="false">E$5*4_Normalizacion!E233</f>
        <v>0.00185693905364827</v>
      </c>
      <c r="F235" s="21" t="n">
        <f aca="false">F$5*4_Normalizacion!F233</f>
        <v>0.0020175467426038</v>
      </c>
      <c r="G235" s="21" t="n">
        <f aca="false">G$5*4_Normalizacion!G233</f>
        <v>0.000280339284607229</v>
      </c>
      <c r="H235" s="21" t="n">
        <f aca="false">H$5*4_Normalizacion!H233</f>
        <v>0.00509263768149227</v>
      </c>
      <c r="I235" s="21" t="n">
        <f aca="false">I$5*4_Normalizacion!I233</f>
        <v>0.00843260476260438</v>
      </c>
      <c r="J235" s="21" t="n">
        <f aca="false">J$5*4_Normalizacion!J233</f>
        <v>0.000255567041403239</v>
      </c>
      <c r="K235" s="21" t="n">
        <f aca="false">K$5*4_Normalizacion!K233</f>
        <v>3.90133374367575E-005</v>
      </c>
      <c r="L235" s="21" t="n">
        <f aca="false">L$5*4_Normalizacion!L233</f>
        <v>0.00191178005601006</v>
      </c>
      <c r="M235" s="21" t="n">
        <f aca="false">M$5*4_Normalizacion!M233</f>
        <v>0.000413117437965258</v>
      </c>
      <c r="N235" s="21" t="n">
        <f aca="false">N$5*4_Normalizacion!N233</f>
        <v>0.00151979606525836</v>
      </c>
      <c r="O235" s="21" t="n">
        <f aca="false">O$5*4_Normalizacion!O233</f>
        <v>0.00200587264654955</v>
      </c>
      <c r="P235" s="21" t="n">
        <f aca="false">P$5*4_Normalizacion!P233</f>
        <v>0.00135841219936972</v>
      </c>
      <c r="Q235" s="21" t="n">
        <f aca="false">Q$5*4_Normalizacion!Q233</f>
        <v>0.0142963285899449</v>
      </c>
    </row>
    <row r="236" customFormat="false" ht="15" hidden="false" customHeight="false" outlineLevel="0" collapsed="false">
      <c r="A236" s="15" t="n">
        <f aca="false">4_Normalizacion!A234</f>
        <v>229</v>
      </c>
      <c r="B236" s="16" t="n">
        <f aca="false">4_Normalizacion!B234</f>
        <v>23.147</v>
      </c>
      <c r="C236" s="21" t="n">
        <f aca="false">C$5*4_Normalizacion!C234</f>
        <v>0.00211491006743141</v>
      </c>
      <c r="D236" s="21" t="n">
        <f aca="false">D$5*4_Normalizacion!D234</f>
        <v>0.00016434498190068</v>
      </c>
      <c r="E236" s="21" t="n">
        <f aca="false">E$5*4_Normalizacion!E234</f>
        <v>0.00185693905364827</v>
      </c>
      <c r="F236" s="21" t="n">
        <f aca="false">F$5*4_Normalizacion!F234</f>
        <v>0.0020175467426038</v>
      </c>
      <c r="G236" s="21" t="n">
        <f aca="false">G$5*4_Normalizacion!G234</f>
        <v>0.000280339284607229</v>
      </c>
      <c r="H236" s="21" t="n">
        <f aca="false">H$5*4_Normalizacion!H234</f>
        <v>0.00509263768149227</v>
      </c>
      <c r="I236" s="21" t="n">
        <f aca="false">I$5*4_Normalizacion!I234</f>
        <v>0.00843260476260438</v>
      </c>
      <c r="J236" s="21" t="n">
        <f aca="false">J$5*4_Normalizacion!J234</f>
        <v>0.000255567041403239</v>
      </c>
      <c r="K236" s="21" t="n">
        <f aca="false">K$5*4_Normalizacion!K234</f>
        <v>3.90133374367575E-005</v>
      </c>
      <c r="L236" s="21" t="n">
        <f aca="false">L$5*4_Normalizacion!L234</f>
        <v>0.0018460986536137</v>
      </c>
      <c r="M236" s="21" t="n">
        <f aca="false">M$5*4_Normalizacion!M234</f>
        <v>0.000413117437965258</v>
      </c>
      <c r="N236" s="21" t="n">
        <f aca="false">N$5*4_Normalizacion!N234</f>
        <v>0.00151979606525836</v>
      </c>
      <c r="O236" s="21" t="n">
        <f aca="false">O$5*4_Normalizacion!O234</f>
        <v>0.00200587264654955</v>
      </c>
      <c r="P236" s="21" t="n">
        <f aca="false">P$5*4_Normalizacion!P234</f>
        <v>0.00135841219936972</v>
      </c>
      <c r="Q236" s="21" t="n">
        <f aca="false">Q$5*4_Normalizacion!Q234</f>
        <v>0.0142963285899449</v>
      </c>
    </row>
    <row r="237" customFormat="false" ht="15" hidden="false" customHeight="false" outlineLevel="0" collapsed="false">
      <c r="A237" s="15" t="n">
        <f aca="false">4_Normalizacion!A235</f>
        <v>230</v>
      </c>
      <c r="B237" s="16" t="n">
        <f aca="false">4_Normalizacion!B235</f>
        <v>23.244</v>
      </c>
      <c r="C237" s="21" t="n">
        <f aca="false">C$5*4_Normalizacion!C235</f>
        <v>0.00211491006743141</v>
      </c>
      <c r="D237" s="21" t="n">
        <f aca="false">D$5*4_Normalizacion!D235</f>
        <v>0.00016434498190068</v>
      </c>
      <c r="E237" s="21" t="n">
        <f aca="false">E$5*4_Normalizacion!E235</f>
        <v>0.00185693905364827</v>
      </c>
      <c r="F237" s="21" t="n">
        <f aca="false">F$5*4_Normalizacion!F235</f>
        <v>0.0020175467426038</v>
      </c>
      <c r="G237" s="21" t="n">
        <f aca="false">G$5*4_Normalizacion!G235</f>
        <v>0.000280339284607229</v>
      </c>
      <c r="H237" s="21" t="n">
        <f aca="false">H$5*4_Normalizacion!H235</f>
        <v>0.00509263768149227</v>
      </c>
      <c r="I237" s="21" t="n">
        <f aca="false">I$5*4_Normalizacion!I235</f>
        <v>0.00562173650840292</v>
      </c>
      <c r="J237" s="21" t="n">
        <f aca="false">J$5*4_Normalizacion!J235</f>
        <v>0.000255567041403239</v>
      </c>
      <c r="K237" s="21" t="n">
        <f aca="false">K$5*4_Normalizacion!K235</f>
        <v>3.90133374367575E-005</v>
      </c>
      <c r="L237" s="21" t="n">
        <f aca="false">L$5*4_Normalizacion!L235</f>
        <v>0.00189272743546761</v>
      </c>
      <c r="M237" s="21" t="n">
        <f aca="false">M$5*4_Normalizacion!M235</f>
        <v>0.000413117437965258</v>
      </c>
      <c r="N237" s="21" t="n">
        <f aca="false">N$5*4_Normalizacion!N235</f>
        <v>0.00151979606525836</v>
      </c>
      <c r="O237" s="21" t="n">
        <f aca="false">O$5*4_Normalizacion!O235</f>
        <v>0.00200587264654955</v>
      </c>
      <c r="P237" s="21" t="n">
        <f aca="false">P$5*4_Normalizacion!P235</f>
        <v>0.00135841219936972</v>
      </c>
      <c r="Q237" s="21" t="n">
        <f aca="false">Q$5*4_Normalizacion!Q235</f>
        <v>0.0142963285899449</v>
      </c>
    </row>
    <row r="238" customFormat="false" ht="15" hidden="false" customHeight="false" outlineLevel="0" collapsed="false">
      <c r="A238" s="15" t="n">
        <f aca="false">4_Normalizacion!A236</f>
        <v>231</v>
      </c>
      <c r="B238" s="16" t="n">
        <f aca="false">4_Normalizacion!B236</f>
        <v>23.342</v>
      </c>
      <c r="C238" s="21" t="n">
        <f aca="false">C$5*4_Normalizacion!C236</f>
        <v>0.00211491006743141</v>
      </c>
      <c r="D238" s="21" t="n">
        <f aca="false">D$5*4_Normalizacion!D236</f>
        <v>0.00016434498190068</v>
      </c>
      <c r="E238" s="21" t="n">
        <f aca="false">E$5*4_Normalizacion!E236</f>
        <v>0.00185693905364827</v>
      </c>
      <c r="F238" s="21" t="n">
        <f aca="false">F$5*4_Normalizacion!F236</f>
        <v>0.0020175467426038</v>
      </c>
      <c r="G238" s="21" t="n">
        <f aca="false">G$5*4_Normalizacion!G236</f>
        <v>0.000280339284607229</v>
      </c>
      <c r="H238" s="21" t="n">
        <f aca="false">H$5*4_Normalizacion!H236</f>
        <v>0.00509263768149227</v>
      </c>
      <c r="I238" s="21" t="n">
        <f aca="false">I$5*4_Normalizacion!I236</f>
        <v>0.00562173650840292</v>
      </c>
      <c r="J238" s="21" t="n">
        <f aca="false">J$5*4_Normalizacion!J236</f>
        <v>0.000255567041403239</v>
      </c>
      <c r="K238" s="21" t="n">
        <f aca="false">K$5*4_Normalizacion!K236</f>
        <v>3.90133374367575E-005</v>
      </c>
      <c r="L238" s="21" t="n">
        <f aca="false">L$5*4_Normalizacion!L236</f>
        <v>0.00192431467478799</v>
      </c>
      <c r="M238" s="21" t="n">
        <f aca="false">M$5*4_Normalizacion!M236</f>
        <v>0.000413117437965258</v>
      </c>
      <c r="N238" s="21" t="n">
        <f aca="false">N$5*4_Normalizacion!N236</f>
        <v>0.00151979606525836</v>
      </c>
      <c r="O238" s="21" t="n">
        <f aca="false">O$5*4_Normalizacion!O236</f>
        <v>0.00200587264654955</v>
      </c>
      <c r="P238" s="21" t="n">
        <f aca="false">P$5*4_Normalizacion!P236</f>
        <v>0.00135841219936972</v>
      </c>
      <c r="Q238" s="21" t="n">
        <f aca="false">Q$5*4_Normalizacion!Q236</f>
        <v>0.0142963285899449</v>
      </c>
    </row>
    <row r="239" customFormat="false" ht="15" hidden="false" customHeight="false" outlineLevel="0" collapsed="false">
      <c r="A239" s="15" t="n">
        <f aca="false">4_Normalizacion!A237</f>
        <v>232</v>
      </c>
      <c r="B239" s="16" t="n">
        <f aca="false">4_Normalizacion!B237</f>
        <v>23.441</v>
      </c>
      <c r="C239" s="21" t="n">
        <f aca="false">C$5*4_Normalizacion!C237</f>
        <v>0.00211491006743141</v>
      </c>
      <c r="D239" s="21" t="n">
        <f aca="false">D$5*4_Normalizacion!D237</f>
        <v>0.00016434498190068</v>
      </c>
      <c r="E239" s="21" t="n">
        <f aca="false">E$5*4_Normalizacion!E237</f>
        <v>0.00185693905364827</v>
      </c>
      <c r="F239" s="21" t="n">
        <f aca="false">F$5*4_Normalizacion!F237</f>
        <v>0.0020175467426038</v>
      </c>
      <c r="G239" s="21" t="n">
        <f aca="false">G$5*4_Normalizacion!G237</f>
        <v>0.000280339284607229</v>
      </c>
      <c r="H239" s="21" t="n">
        <f aca="false">H$5*4_Normalizacion!H237</f>
        <v>0.00509263768149227</v>
      </c>
      <c r="I239" s="21" t="n">
        <f aca="false">I$5*4_Normalizacion!I237</f>
        <v>0.00562173650840292</v>
      </c>
      <c r="J239" s="21" t="n">
        <f aca="false">J$5*4_Normalizacion!J237</f>
        <v>0.000255567041403239</v>
      </c>
      <c r="K239" s="21" t="n">
        <f aca="false">K$5*4_Normalizacion!K237</f>
        <v>3.90133374367575E-005</v>
      </c>
      <c r="L239" s="21" t="n">
        <f aca="false">L$5*4_Normalizacion!L237</f>
        <v>0.00196693237863296</v>
      </c>
      <c r="M239" s="21" t="n">
        <f aca="false">M$5*4_Normalizacion!M237</f>
        <v>0.000413117437965258</v>
      </c>
      <c r="N239" s="21" t="n">
        <f aca="false">N$5*4_Normalizacion!N237</f>
        <v>0.00151979606525836</v>
      </c>
      <c r="O239" s="21" t="n">
        <f aca="false">O$5*4_Normalizacion!O237</f>
        <v>0.00200587264654955</v>
      </c>
      <c r="P239" s="21" t="n">
        <f aca="false">P$5*4_Normalizacion!P237</f>
        <v>0.00135841219936972</v>
      </c>
      <c r="Q239" s="21" t="n">
        <f aca="false">Q$5*4_Normalizacion!Q237</f>
        <v>0.0142963285899449</v>
      </c>
    </row>
    <row r="240" customFormat="false" ht="15" hidden="false" customHeight="false" outlineLevel="0" collapsed="false">
      <c r="A240" s="15" t="n">
        <f aca="false">4_Normalizacion!A238</f>
        <v>233</v>
      </c>
      <c r="B240" s="16" t="n">
        <f aca="false">4_Normalizacion!B238</f>
        <v>23.54</v>
      </c>
      <c r="C240" s="21" t="n">
        <f aca="false">C$5*4_Normalizacion!C238</f>
        <v>0.00211491006743141</v>
      </c>
      <c r="D240" s="21" t="n">
        <f aca="false">D$5*4_Normalizacion!D238</f>
        <v>0.00016434498190068</v>
      </c>
      <c r="E240" s="21" t="n">
        <f aca="false">E$5*4_Normalizacion!E238</f>
        <v>0.00185693905364827</v>
      </c>
      <c r="F240" s="21" t="n">
        <f aca="false">F$5*4_Normalizacion!F238</f>
        <v>0.0020175467426038</v>
      </c>
      <c r="G240" s="21" t="n">
        <f aca="false">G$5*4_Normalizacion!G238</f>
        <v>0.000280339284607229</v>
      </c>
      <c r="H240" s="21" t="n">
        <f aca="false">H$5*4_Normalizacion!H238</f>
        <v>0.00509263768149227</v>
      </c>
      <c r="I240" s="21" t="n">
        <f aca="false">I$5*4_Normalizacion!I238</f>
        <v>0.00562173650840292</v>
      </c>
      <c r="J240" s="21" t="n">
        <f aca="false">J$5*4_Normalizacion!J238</f>
        <v>0.000255567041403239</v>
      </c>
      <c r="K240" s="21" t="n">
        <f aca="false">K$5*4_Normalizacion!K238</f>
        <v>3.90133374367575E-005</v>
      </c>
      <c r="L240" s="21" t="n">
        <f aca="false">L$5*4_Normalizacion!L238</f>
        <v>0.00196793514813519</v>
      </c>
      <c r="M240" s="21" t="n">
        <f aca="false">M$5*4_Normalizacion!M238</f>
        <v>0.000413117437965258</v>
      </c>
      <c r="N240" s="21" t="n">
        <f aca="false">N$5*4_Normalizacion!N238</f>
        <v>0.00151979606525836</v>
      </c>
      <c r="O240" s="21" t="n">
        <f aca="false">O$5*4_Normalizacion!O238</f>
        <v>0.00200587264654955</v>
      </c>
      <c r="P240" s="21" t="n">
        <f aca="false">P$5*4_Normalizacion!P238</f>
        <v>0.00135841219936972</v>
      </c>
      <c r="Q240" s="21" t="n">
        <f aca="false">Q$5*4_Normalizacion!Q238</f>
        <v>0.0142963285899449</v>
      </c>
    </row>
    <row r="241" customFormat="false" ht="15" hidden="false" customHeight="false" outlineLevel="0" collapsed="false">
      <c r="A241" s="15" t="n">
        <f aca="false">4_Normalizacion!A239</f>
        <v>234</v>
      </c>
      <c r="B241" s="16" t="n">
        <f aca="false">4_Normalizacion!B239</f>
        <v>23.64</v>
      </c>
      <c r="C241" s="21" t="n">
        <f aca="false">C$5*4_Normalizacion!C239</f>
        <v>0.00211491006743141</v>
      </c>
      <c r="D241" s="21" t="n">
        <f aca="false">D$5*4_Normalizacion!D239</f>
        <v>0.00020543122737585</v>
      </c>
      <c r="E241" s="21" t="n">
        <f aca="false">E$5*4_Normalizacion!E239</f>
        <v>0.00185693905364827</v>
      </c>
      <c r="F241" s="21" t="n">
        <f aca="false">F$5*4_Normalizacion!F239</f>
        <v>0.0020175467426038</v>
      </c>
      <c r="G241" s="21" t="n">
        <f aca="false">G$5*4_Normalizacion!G239</f>
        <v>0.000280339284607229</v>
      </c>
      <c r="H241" s="21" t="n">
        <f aca="false">H$5*4_Normalizacion!H239</f>
        <v>0.00509263768149227</v>
      </c>
      <c r="I241" s="21" t="n">
        <f aca="false">I$5*4_Normalizacion!I239</f>
        <v>0.00281086825420146</v>
      </c>
      <c r="J241" s="21" t="n">
        <f aca="false">J$5*4_Normalizacion!J239</f>
        <v>0.000255567041403239</v>
      </c>
      <c r="K241" s="21" t="n">
        <f aca="false">K$5*4_Normalizacion!K239</f>
        <v>3.90133374367575E-005</v>
      </c>
      <c r="L241" s="21" t="n">
        <f aca="false">L$5*4_Normalizacion!L239</f>
        <v>0.00195790745311285</v>
      </c>
      <c r="M241" s="21" t="n">
        <f aca="false">M$5*4_Normalizacion!M239</f>
        <v>0.000413117437965258</v>
      </c>
      <c r="N241" s="21" t="n">
        <f aca="false">N$5*4_Normalizacion!N239</f>
        <v>0.00151979606525836</v>
      </c>
      <c r="O241" s="21" t="n">
        <f aca="false">O$5*4_Normalizacion!O239</f>
        <v>0.00200587264654955</v>
      </c>
      <c r="P241" s="21" t="n">
        <f aca="false">P$5*4_Normalizacion!P239</f>
        <v>0.00135841219936972</v>
      </c>
      <c r="Q241" s="21" t="n">
        <f aca="false">Q$5*4_Normalizacion!Q239</f>
        <v>0.0142963285899449</v>
      </c>
    </row>
    <row r="242" customFormat="false" ht="15" hidden="false" customHeight="false" outlineLevel="0" collapsed="false">
      <c r="A242" s="15" t="n">
        <f aca="false">4_Normalizacion!A240</f>
        <v>235</v>
      </c>
      <c r="B242" s="16" t="n">
        <f aca="false">4_Normalizacion!B240</f>
        <v>23.74</v>
      </c>
      <c r="C242" s="21" t="n">
        <f aca="false">C$5*4_Normalizacion!C240</f>
        <v>0.00211491006743141</v>
      </c>
      <c r="D242" s="21" t="n">
        <f aca="false">D$5*4_Normalizacion!D240</f>
        <v>0.00020543122737585</v>
      </c>
      <c r="E242" s="21" t="n">
        <f aca="false">E$5*4_Normalizacion!E240</f>
        <v>0.00185693905364827</v>
      </c>
      <c r="F242" s="21" t="n">
        <f aca="false">F$5*4_Normalizacion!F240</f>
        <v>0.0020175467426038</v>
      </c>
      <c r="G242" s="21" t="n">
        <f aca="false">G$5*4_Normalizacion!G240</f>
        <v>0.000280339284607229</v>
      </c>
      <c r="H242" s="21" t="n">
        <f aca="false">H$5*4_Normalizacion!H240</f>
        <v>0.00509263768149227</v>
      </c>
      <c r="I242" s="21" t="n">
        <f aca="false">I$5*4_Normalizacion!I240</f>
        <v>0.00281086825420146</v>
      </c>
      <c r="J242" s="21" t="n">
        <f aca="false">J$5*4_Normalizacion!J240</f>
        <v>0.000255567041403239</v>
      </c>
      <c r="K242" s="21" t="n">
        <f aca="false">K$5*4_Normalizacion!K240</f>
        <v>3.90133374367575E-005</v>
      </c>
      <c r="L242" s="21" t="n">
        <f aca="false">L$5*4_Normalizacion!L240</f>
        <v>0.00198598499917541</v>
      </c>
      <c r="M242" s="21" t="n">
        <f aca="false">M$5*4_Normalizacion!M240</f>
        <v>0.000414150231560171</v>
      </c>
      <c r="N242" s="21" t="n">
        <f aca="false">N$5*4_Normalizacion!N240</f>
        <v>0.00151979606525836</v>
      </c>
      <c r="O242" s="21" t="n">
        <f aca="false">O$5*4_Normalizacion!O240</f>
        <v>0.00200587264654955</v>
      </c>
      <c r="P242" s="21" t="n">
        <f aca="false">P$5*4_Normalizacion!P240</f>
        <v>0.00135841219936972</v>
      </c>
      <c r="Q242" s="21" t="n">
        <f aca="false">Q$5*4_Normalizacion!Q240</f>
        <v>0.0142963285899449</v>
      </c>
    </row>
    <row r="243" customFormat="false" ht="15" hidden="false" customHeight="false" outlineLevel="0" collapsed="false">
      <c r="A243" s="15" t="n">
        <f aca="false">4_Normalizacion!A241</f>
        <v>236</v>
      </c>
      <c r="B243" s="16" t="n">
        <f aca="false">4_Normalizacion!B241</f>
        <v>23.84</v>
      </c>
      <c r="C243" s="21" t="n">
        <f aca="false">C$5*4_Normalizacion!C241</f>
        <v>0.00211491006743141</v>
      </c>
      <c r="D243" s="21" t="n">
        <f aca="false">D$5*4_Normalizacion!D241</f>
        <v>0.00020543122737585</v>
      </c>
      <c r="E243" s="21" t="n">
        <f aca="false">E$5*4_Normalizacion!E241</f>
        <v>0.00185693905364827</v>
      </c>
      <c r="F243" s="21" t="n">
        <f aca="false">F$5*4_Normalizacion!F241</f>
        <v>0.0020175467426038</v>
      </c>
      <c r="G243" s="21" t="n">
        <f aca="false">G$5*4_Normalizacion!G241</f>
        <v>0.000280339284607229</v>
      </c>
      <c r="H243" s="21" t="n">
        <f aca="false">H$5*4_Normalizacion!H241</f>
        <v>0.00509263768149227</v>
      </c>
      <c r="I243" s="21" t="n">
        <f aca="false">I$5*4_Normalizacion!I241</f>
        <v>0.00281086825420146</v>
      </c>
      <c r="J243" s="21" t="n">
        <f aca="false">J$5*4_Normalizacion!J241</f>
        <v>0.000255567041403239</v>
      </c>
      <c r="K243" s="21" t="n">
        <f aca="false">K$5*4_Normalizacion!K241</f>
        <v>3.90133374367575E-005</v>
      </c>
      <c r="L243" s="21" t="n">
        <f aca="false">L$5*4_Normalizacion!L241</f>
        <v>0.00198748915342877</v>
      </c>
      <c r="M243" s="21" t="n">
        <f aca="false">M$5*4_Normalizacion!M241</f>
        <v>0.000500078658656945</v>
      </c>
      <c r="N243" s="21" t="n">
        <f aca="false">N$5*4_Normalizacion!N241</f>
        <v>0.00151979606525836</v>
      </c>
      <c r="O243" s="21" t="n">
        <f aca="false">O$5*4_Normalizacion!O241</f>
        <v>0.00200587264654955</v>
      </c>
      <c r="P243" s="21" t="n">
        <f aca="false">P$5*4_Normalizacion!P241</f>
        <v>0.00135841219936972</v>
      </c>
      <c r="Q243" s="21" t="n">
        <f aca="false">Q$5*4_Normalizacion!Q241</f>
        <v>0.0142963285899449</v>
      </c>
    </row>
    <row r="244" customFormat="false" ht="15" hidden="false" customHeight="false" outlineLevel="0" collapsed="false">
      <c r="A244" s="15" t="n">
        <f aca="false">4_Normalizacion!A242</f>
        <v>237</v>
      </c>
      <c r="B244" s="16" t="n">
        <f aca="false">4_Normalizacion!B242</f>
        <v>23.941</v>
      </c>
      <c r="C244" s="21" t="n">
        <f aca="false">C$5*4_Normalizacion!C242</f>
        <v>0.00211491006743141</v>
      </c>
      <c r="D244" s="21" t="n">
        <f aca="false">D$5*4_Normalizacion!D242</f>
        <v>0.00020543122737585</v>
      </c>
      <c r="E244" s="21" t="n">
        <f aca="false">E$5*4_Normalizacion!E242</f>
        <v>0.00185693905364827</v>
      </c>
      <c r="F244" s="21" t="n">
        <f aca="false">F$5*4_Normalizacion!F242</f>
        <v>0.0020175467426038</v>
      </c>
      <c r="G244" s="21" t="n">
        <f aca="false">G$5*4_Normalizacion!G242</f>
        <v>0.000280339284607229</v>
      </c>
      <c r="H244" s="21" t="n">
        <f aca="false">H$5*4_Normalizacion!H242</f>
        <v>0.00509263768149227</v>
      </c>
      <c r="I244" s="21" t="n">
        <f aca="false">I$5*4_Normalizacion!I242</f>
        <v>0.00281086825420146</v>
      </c>
      <c r="J244" s="21" t="n">
        <f aca="false">J$5*4_Normalizacion!J242</f>
        <v>0.000255567041403239</v>
      </c>
      <c r="K244" s="21" t="n">
        <f aca="false">K$5*4_Normalizacion!K242</f>
        <v>3.90133374367575E-005</v>
      </c>
      <c r="L244" s="21" t="n">
        <f aca="false">L$5*4_Normalizacion!L242</f>
        <v>0.00199450853994441</v>
      </c>
      <c r="M244" s="21" t="n">
        <f aca="false">M$5*4_Normalizacion!M242</f>
        <v>0.000457114445108558</v>
      </c>
      <c r="N244" s="21" t="n">
        <f aca="false">N$5*4_Normalizacion!N242</f>
        <v>0.00151979606525836</v>
      </c>
      <c r="O244" s="21" t="n">
        <f aca="false">O$5*4_Normalizacion!O242</f>
        <v>0.00200587264654955</v>
      </c>
      <c r="P244" s="21" t="n">
        <f aca="false">P$5*4_Normalizacion!P242</f>
        <v>0.00135841219936972</v>
      </c>
      <c r="Q244" s="21" t="n">
        <f aca="false">Q$5*4_Normalizacion!Q242</f>
        <v>0.0142963285899449</v>
      </c>
    </row>
    <row r="245" customFormat="false" ht="15" hidden="false" customHeight="false" outlineLevel="0" collapsed="false">
      <c r="A245" s="15" t="n">
        <f aca="false">4_Normalizacion!A243</f>
        <v>238</v>
      </c>
      <c r="B245" s="16" t="n">
        <f aca="false">4_Normalizacion!B243</f>
        <v>24.041</v>
      </c>
      <c r="C245" s="21" t="n">
        <f aca="false">C$5*4_Normalizacion!C243</f>
        <v>0.00211491006743141</v>
      </c>
      <c r="D245" s="21" t="n">
        <f aca="false">D$5*4_Normalizacion!D243</f>
        <v>0.00020543122737585</v>
      </c>
      <c r="E245" s="21" t="n">
        <f aca="false">E$5*4_Normalizacion!E243</f>
        <v>0.00185693905364827</v>
      </c>
      <c r="F245" s="21" t="n">
        <f aca="false">F$5*4_Normalizacion!F243</f>
        <v>0.0020175467426038</v>
      </c>
      <c r="G245" s="21" t="n">
        <f aca="false">G$5*4_Normalizacion!G243</f>
        <v>0.000280339284607229</v>
      </c>
      <c r="H245" s="21" t="n">
        <f aca="false">H$5*4_Normalizacion!H243</f>
        <v>0.00509263768149227</v>
      </c>
      <c r="I245" s="21" t="n">
        <f aca="false">I$5*4_Normalizacion!I243</f>
        <v>0.00281086825420146</v>
      </c>
      <c r="J245" s="21" t="n">
        <f aca="false">J$5*4_Normalizacion!J243</f>
        <v>0.000255567041403239</v>
      </c>
      <c r="K245" s="21" t="n">
        <f aca="false">K$5*4_Normalizacion!K243</f>
        <v>3.90133374367575E-005</v>
      </c>
      <c r="L245" s="21" t="n">
        <f aca="false">L$5*4_Normalizacion!L243</f>
        <v>0.00199601269419776</v>
      </c>
      <c r="M245" s="21" t="n">
        <f aca="false">M$5*4_Normalizacion!M243</f>
        <v>0.000556882306377167</v>
      </c>
      <c r="N245" s="21" t="n">
        <f aca="false">N$5*4_Normalizacion!N243</f>
        <v>0.00303959213051672</v>
      </c>
      <c r="O245" s="21" t="n">
        <f aca="false">O$5*4_Normalizacion!O243</f>
        <v>0.00200587264654955</v>
      </c>
      <c r="P245" s="21" t="n">
        <f aca="false">P$5*4_Normalizacion!P243</f>
        <v>0.00135841219936972</v>
      </c>
      <c r="Q245" s="21" t="n">
        <f aca="false">Q$5*4_Normalizacion!Q243</f>
        <v>0.0142963285899449</v>
      </c>
    </row>
    <row r="246" customFormat="false" ht="15" hidden="false" customHeight="false" outlineLevel="0" collapsed="false">
      <c r="A246" s="15" t="n">
        <f aca="false">4_Normalizacion!A244</f>
        <v>239</v>
      </c>
      <c r="B246" s="16" t="n">
        <f aca="false">4_Normalizacion!B244</f>
        <v>24.141</v>
      </c>
      <c r="C246" s="21" t="n">
        <f aca="false">C$5*4_Normalizacion!C244</f>
        <v>0.00211491006743141</v>
      </c>
      <c r="D246" s="21" t="n">
        <f aca="false">D$5*4_Normalizacion!D244</f>
        <v>0.00020543122737585</v>
      </c>
      <c r="E246" s="21" t="n">
        <f aca="false">E$5*4_Normalizacion!E244</f>
        <v>0.00185693905364827</v>
      </c>
      <c r="F246" s="21" t="n">
        <f aca="false">F$5*4_Normalizacion!F244</f>
        <v>0.0020175467426038</v>
      </c>
      <c r="G246" s="21" t="n">
        <f aca="false">G$5*4_Normalizacion!G244</f>
        <v>0.000280339284607229</v>
      </c>
      <c r="H246" s="21" t="n">
        <f aca="false">H$5*4_Normalizacion!H244</f>
        <v>0.00509263768149227</v>
      </c>
      <c r="I246" s="21" t="n">
        <f aca="false">I$5*4_Normalizacion!I244</f>
        <v>0.00281086825420146</v>
      </c>
      <c r="J246" s="21" t="n">
        <f aca="false">J$5*4_Normalizacion!J244</f>
        <v>0.000255567041403239</v>
      </c>
      <c r="K246" s="21" t="n">
        <f aca="false">K$5*4_Normalizacion!K244</f>
        <v>3.90133374367575E-005</v>
      </c>
      <c r="L246" s="21" t="n">
        <f aca="false">L$5*4_Normalizacion!L244</f>
        <v>0.00182153080080896</v>
      </c>
      <c r="M246" s="21" t="n">
        <f aca="false">M$5*4_Normalizacion!M244</f>
        <v>0.000639092676532254</v>
      </c>
      <c r="N246" s="21" t="n">
        <f aca="false">N$5*4_Normalizacion!N244</f>
        <v>0.00303959213051672</v>
      </c>
      <c r="O246" s="21" t="n">
        <f aca="false">O$5*4_Normalizacion!O244</f>
        <v>0.00200587264654955</v>
      </c>
      <c r="P246" s="21" t="n">
        <f aca="false">P$5*4_Normalizacion!P244</f>
        <v>0.00135841219936972</v>
      </c>
      <c r="Q246" s="21" t="n">
        <f aca="false">Q$5*4_Normalizacion!Q244</f>
        <v>0.0142963285899449</v>
      </c>
    </row>
    <row r="247" customFormat="false" ht="15" hidden="false" customHeight="false" outlineLevel="0" collapsed="false">
      <c r="A247" s="15" t="n">
        <f aca="false">4_Normalizacion!A245</f>
        <v>240</v>
      </c>
      <c r="B247" s="16" t="n">
        <f aca="false">4_Normalizacion!B245</f>
        <v>24.241</v>
      </c>
      <c r="C247" s="21" t="n">
        <f aca="false">C$5*4_Normalizacion!C245</f>
        <v>0.00211491006743141</v>
      </c>
      <c r="D247" s="21" t="n">
        <f aca="false">D$5*4_Normalizacion!D245</f>
        <v>0.00020543122737585</v>
      </c>
      <c r="E247" s="21" t="n">
        <f aca="false">E$5*4_Normalizacion!E245</f>
        <v>0.00185693905364827</v>
      </c>
      <c r="F247" s="21" t="n">
        <f aca="false">F$5*4_Normalizacion!F245</f>
        <v>0.0020175467426038</v>
      </c>
      <c r="G247" s="21" t="n">
        <f aca="false">G$5*4_Normalizacion!G245</f>
        <v>0.000280339284607229</v>
      </c>
      <c r="H247" s="21" t="n">
        <f aca="false">H$5*4_Normalizacion!H245</f>
        <v>0.00509263768149227</v>
      </c>
      <c r="I247" s="21" t="n">
        <f aca="false">I$5*4_Normalizacion!I245</f>
        <v>0.00281086825420146</v>
      </c>
      <c r="J247" s="21" t="n">
        <f aca="false">J$5*4_Normalizacion!J245</f>
        <v>0.000255567041403239</v>
      </c>
      <c r="K247" s="21" t="n">
        <f aca="false">K$5*4_Normalizacion!K245</f>
        <v>3.90133374367575E-005</v>
      </c>
      <c r="L247" s="21" t="n">
        <f aca="false">L$5*4_Normalizacion!L245</f>
        <v>0.00151368056362297</v>
      </c>
      <c r="M247" s="21" t="n">
        <f aca="false">M$5*4_Normalizacion!M245</f>
        <v>0.000797936331429895</v>
      </c>
      <c r="N247" s="21" t="n">
        <f aca="false">N$5*4_Normalizacion!N245</f>
        <v>0.00303959213051672</v>
      </c>
      <c r="O247" s="21" t="n">
        <f aca="false">O$5*4_Normalizacion!O245</f>
        <v>0.00200587264654955</v>
      </c>
      <c r="P247" s="21" t="n">
        <f aca="false">P$5*4_Normalizacion!P245</f>
        <v>0.00135841219936972</v>
      </c>
      <c r="Q247" s="21" t="n">
        <f aca="false">Q$5*4_Normalizacion!Q245</f>
        <v>0.0142963285899449</v>
      </c>
    </row>
    <row r="248" customFormat="false" ht="15" hidden="false" customHeight="false" outlineLevel="0" collapsed="false">
      <c r="A248" s="15" t="n">
        <f aca="false">4_Normalizacion!A246</f>
        <v>241</v>
      </c>
      <c r="B248" s="16" t="n">
        <f aca="false">4_Normalizacion!B246</f>
        <v>24.347</v>
      </c>
      <c r="C248" s="21" t="n">
        <f aca="false">C$5*4_Normalizacion!C246</f>
        <v>0.00211491006743141</v>
      </c>
      <c r="D248" s="21" t="n">
        <f aca="false">D$5*4_Normalizacion!D246</f>
        <v>0.00020543122737585</v>
      </c>
      <c r="E248" s="21" t="n">
        <f aca="false">E$5*4_Normalizacion!E246</f>
        <v>0.00185693905364827</v>
      </c>
      <c r="F248" s="21" t="n">
        <f aca="false">F$5*4_Normalizacion!F246</f>
        <v>0.0020175467426038</v>
      </c>
      <c r="G248" s="21" t="n">
        <f aca="false">G$5*4_Normalizacion!G246</f>
        <v>0.000280339284607229</v>
      </c>
      <c r="H248" s="21" t="n">
        <f aca="false">H$5*4_Normalizacion!H246</f>
        <v>0.00509263768149227</v>
      </c>
      <c r="I248" s="21" t="n">
        <f aca="false">I$5*4_Normalizacion!I246</f>
        <v>0.00281086825420146</v>
      </c>
      <c r="J248" s="21" t="n">
        <f aca="false">J$5*4_Normalizacion!J246</f>
        <v>0.000255567041403239</v>
      </c>
      <c r="K248" s="21" t="n">
        <f aca="false">K$5*4_Normalizacion!K246</f>
        <v>3.90133374367575E-005</v>
      </c>
      <c r="L248" s="21" t="n">
        <f aca="false">L$5*4_Normalizacion!L246</f>
        <v>0.00136727621629673</v>
      </c>
      <c r="M248" s="21" t="n">
        <f aca="false">M$5*4_Normalizacion!M246</f>
        <v>0.000741958918585603</v>
      </c>
      <c r="N248" s="21" t="n">
        <f aca="false">N$5*4_Normalizacion!N246</f>
        <v>0.00303959213051672</v>
      </c>
      <c r="O248" s="21" t="n">
        <f aca="false">O$5*4_Normalizacion!O246</f>
        <v>0.00200587264654955</v>
      </c>
      <c r="P248" s="21" t="n">
        <f aca="false">P$5*4_Normalizacion!P246</f>
        <v>0.00135841219936972</v>
      </c>
      <c r="Q248" s="21" t="n">
        <f aca="false">Q$5*4_Normalizacion!Q246</f>
        <v>0.00285926571798898</v>
      </c>
    </row>
    <row r="249" customFormat="false" ht="15" hidden="false" customHeight="false" outlineLevel="0" collapsed="false">
      <c r="A249" s="15" t="n">
        <f aca="false">4_Normalizacion!A247</f>
        <v>242</v>
      </c>
      <c r="B249" s="16" t="n">
        <f aca="false">4_Normalizacion!B247</f>
        <v>24.447</v>
      </c>
      <c r="C249" s="21" t="n">
        <f aca="false">C$5*4_Normalizacion!C247</f>
        <v>0.00211491006743141</v>
      </c>
      <c r="D249" s="21" t="n">
        <f aca="false">D$5*4_Normalizacion!D247</f>
        <v>0.00020543122737585</v>
      </c>
      <c r="E249" s="21" t="n">
        <f aca="false">E$5*4_Normalizacion!E247</f>
        <v>0.00185693905364827</v>
      </c>
      <c r="F249" s="21" t="n">
        <f aca="false">F$5*4_Normalizacion!F247</f>
        <v>0.0020175467426038</v>
      </c>
      <c r="G249" s="21" t="n">
        <f aca="false">G$5*4_Normalizacion!G247</f>
        <v>0.000280339284607229</v>
      </c>
      <c r="H249" s="21" t="n">
        <f aca="false">H$5*4_Normalizacion!H247</f>
        <v>0.00509263768149227</v>
      </c>
      <c r="I249" s="21" t="n">
        <f aca="false">I$5*4_Normalizacion!I247</f>
        <v>0.00281086825420146</v>
      </c>
      <c r="J249" s="21" t="n">
        <f aca="false">J$5*4_Normalizacion!J247</f>
        <v>0.000255567041403239</v>
      </c>
      <c r="K249" s="21" t="n">
        <f aca="false">K$5*4_Normalizacion!K247</f>
        <v>3.90133374367575E-005</v>
      </c>
      <c r="L249" s="21" t="n">
        <f aca="false">L$5*4_Normalizacion!L247</f>
        <v>0.00139435099285706</v>
      </c>
      <c r="M249" s="21" t="n">
        <f aca="false">M$5*4_Normalizacion!M247</f>
        <v>0.000760342644575057</v>
      </c>
      <c r="N249" s="21" t="n">
        <f aca="false">N$5*4_Normalizacion!N247</f>
        <v>0.00303959213051672</v>
      </c>
      <c r="O249" s="21" t="n">
        <f aca="false">O$5*4_Normalizacion!O247</f>
        <v>0.00200587264654955</v>
      </c>
      <c r="P249" s="21" t="n">
        <f aca="false">P$5*4_Normalizacion!P247</f>
        <v>0.00135841219936972</v>
      </c>
      <c r="Q249" s="21" t="n">
        <f aca="false">Q$5*4_Normalizacion!Q247</f>
        <v>0.0142963285899449</v>
      </c>
    </row>
    <row r="250" customFormat="false" ht="15" hidden="false" customHeight="false" outlineLevel="0" collapsed="false">
      <c r="A250" s="15" t="n">
        <f aca="false">4_Normalizacion!A248</f>
        <v>243</v>
      </c>
      <c r="B250" s="16" t="n">
        <f aca="false">4_Normalizacion!B248</f>
        <v>24.547</v>
      </c>
      <c r="C250" s="21" t="n">
        <f aca="false">C$5*4_Normalizacion!C248</f>
        <v>0.00211491006743141</v>
      </c>
      <c r="D250" s="21" t="n">
        <f aca="false">D$5*4_Normalizacion!D248</f>
        <v>0.00020543122737585</v>
      </c>
      <c r="E250" s="21" t="n">
        <f aca="false">E$5*4_Normalizacion!E248</f>
        <v>0.00185693905364827</v>
      </c>
      <c r="F250" s="21" t="n">
        <f aca="false">F$5*4_Normalizacion!F248</f>
        <v>0.0020175467426038</v>
      </c>
      <c r="G250" s="21" t="n">
        <f aca="false">G$5*4_Normalizacion!G248</f>
        <v>0.000280339284607229</v>
      </c>
      <c r="H250" s="21" t="n">
        <f aca="false">H$5*4_Normalizacion!H248</f>
        <v>0.00509263768149227</v>
      </c>
      <c r="I250" s="21" t="n">
        <f aca="false">I$5*4_Normalizacion!I248</f>
        <v>0.00281086825420146</v>
      </c>
      <c r="J250" s="21" t="n">
        <f aca="false">J$5*4_Normalizacion!J248</f>
        <v>0.000255567041403239</v>
      </c>
      <c r="K250" s="21" t="n">
        <f aca="false">K$5*4_Normalizacion!K248</f>
        <v>3.90133374367575E-005</v>
      </c>
      <c r="L250" s="21" t="n">
        <f aca="false">L$5*4_Normalizacion!L248</f>
        <v>0.00131463081742942</v>
      </c>
      <c r="M250" s="21" t="n">
        <f aca="false">M$5*4_Normalizacion!M248</f>
        <v>0.000647561584010542</v>
      </c>
      <c r="N250" s="21" t="n">
        <f aca="false">N$5*4_Normalizacion!N248</f>
        <v>0.00303959213051672</v>
      </c>
      <c r="O250" s="21" t="n">
        <f aca="false">O$5*4_Normalizacion!O248</f>
        <v>0.00200587264654955</v>
      </c>
      <c r="P250" s="21" t="n">
        <f aca="false">P$5*4_Normalizacion!P248</f>
        <v>0.00135841219936972</v>
      </c>
      <c r="Q250" s="21" t="n">
        <f aca="false">Q$5*4_Normalizacion!Q248</f>
        <v>0.0142963285899449</v>
      </c>
    </row>
    <row r="251" customFormat="false" ht="15" hidden="false" customHeight="false" outlineLevel="0" collapsed="false">
      <c r="A251" s="15" t="n">
        <f aca="false">4_Normalizacion!A249</f>
        <v>244</v>
      </c>
      <c r="B251" s="16" t="n">
        <f aca="false">4_Normalizacion!B249</f>
        <v>24.646</v>
      </c>
      <c r="C251" s="21" t="n">
        <f aca="false">C$5*4_Normalizacion!C249</f>
        <v>0.00211491006743141</v>
      </c>
      <c r="D251" s="21" t="n">
        <f aca="false">D$5*4_Normalizacion!D249</f>
        <v>0.00020543122737585</v>
      </c>
      <c r="E251" s="21" t="n">
        <f aca="false">E$5*4_Normalizacion!E249</f>
        <v>0.00185693905364827</v>
      </c>
      <c r="F251" s="21" t="n">
        <f aca="false">F$5*4_Normalizacion!F249</f>
        <v>0.0020175467426038</v>
      </c>
      <c r="G251" s="21" t="n">
        <f aca="false">G$5*4_Normalizacion!G249</f>
        <v>0.000280339284607229</v>
      </c>
      <c r="H251" s="21" t="n">
        <f aca="false">H$5*4_Normalizacion!H249</f>
        <v>0.00509263768149227</v>
      </c>
      <c r="I251" s="21" t="n">
        <f aca="false">I$5*4_Normalizacion!I249</f>
        <v>0.00281086825420146</v>
      </c>
      <c r="J251" s="21" t="n">
        <f aca="false">J$5*4_Normalizacion!J249</f>
        <v>0.000255567041403239</v>
      </c>
      <c r="K251" s="21" t="n">
        <f aca="false">K$5*4_Normalizacion!K249</f>
        <v>3.90133374367575E-005</v>
      </c>
      <c r="L251" s="21" t="n">
        <f aca="false">L$5*4_Normalizacion!L249</f>
        <v>0.00138181637407913</v>
      </c>
      <c r="M251" s="21" t="n">
        <f aca="false">M$5*4_Normalizacion!M249</f>
        <v>0.000668010897189822</v>
      </c>
      <c r="N251" s="21" t="n">
        <f aca="false">N$5*4_Normalizacion!N249</f>
        <v>0.00303959213051672</v>
      </c>
      <c r="O251" s="21" t="n">
        <f aca="false">O$5*4_Normalizacion!O249</f>
        <v>0.00200587264654955</v>
      </c>
      <c r="P251" s="21" t="n">
        <f aca="false">P$5*4_Normalizacion!P249</f>
        <v>0.00135841219936972</v>
      </c>
      <c r="Q251" s="21" t="n">
        <f aca="false">Q$5*4_Normalizacion!Q249</f>
        <v>0.0142963285899449</v>
      </c>
    </row>
    <row r="252" customFormat="false" ht="15" hidden="false" customHeight="false" outlineLevel="0" collapsed="false">
      <c r="A252" s="15" t="n">
        <f aca="false">4_Normalizacion!A250</f>
        <v>245</v>
      </c>
      <c r="B252" s="16" t="n">
        <f aca="false">4_Normalizacion!B250</f>
        <v>24.745</v>
      </c>
      <c r="C252" s="21" t="n">
        <f aca="false">C$5*4_Normalizacion!C250</f>
        <v>0.00211491006743141</v>
      </c>
      <c r="D252" s="21" t="n">
        <f aca="false">D$5*4_Normalizacion!D250</f>
        <v>0.00020543122737585</v>
      </c>
      <c r="E252" s="21" t="n">
        <f aca="false">E$5*4_Normalizacion!E250</f>
        <v>0.00185693905364827</v>
      </c>
      <c r="F252" s="21" t="n">
        <f aca="false">F$5*4_Normalizacion!F250</f>
        <v>0.0020175467426038</v>
      </c>
      <c r="G252" s="21" t="n">
        <f aca="false">G$5*4_Normalizacion!G250</f>
        <v>0.000280339284607229</v>
      </c>
      <c r="H252" s="21" t="n">
        <f aca="false">H$5*4_Normalizacion!H250</f>
        <v>0.00509263768149227</v>
      </c>
      <c r="I252" s="21" t="n">
        <f aca="false">I$5*4_Normalizacion!I250</f>
        <v>0.00281086825420146</v>
      </c>
      <c r="J252" s="21" t="n">
        <f aca="false">J$5*4_Normalizacion!J250</f>
        <v>0.000255567041403239</v>
      </c>
      <c r="K252" s="21" t="n">
        <f aca="false">K$5*4_Normalizacion!K250</f>
        <v>3.90133374367575E-005</v>
      </c>
      <c r="L252" s="21" t="n">
        <f aca="false">L$5*4_Normalizacion!L250</f>
        <v>0.00148760855656487</v>
      </c>
      <c r="M252" s="21" t="n">
        <f aca="false">M$5*4_Normalizacion!M250</f>
        <v>0.000700440616070094</v>
      </c>
      <c r="N252" s="21" t="n">
        <f aca="false">N$5*4_Normalizacion!N250</f>
        <v>0.00303959213051672</v>
      </c>
      <c r="O252" s="21" t="n">
        <f aca="false">O$5*4_Normalizacion!O250</f>
        <v>0.00200587264654955</v>
      </c>
      <c r="P252" s="21" t="n">
        <f aca="false">P$5*4_Normalizacion!P250</f>
        <v>0.00135841219936972</v>
      </c>
      <c r="Q252" s="21" t="n">
        <f aca="false">Q$5*4_Normalizacion!Q250</f>
        <v>0.0142963285899449</v>
      </c>
    </row>
    <row r="253" customFormat="false" ht="15" hidden="false" customHeight="false" outlineLevel="0" collapsed="false">
      <c r="A253" s="15" t="n">
        <f aca="false">4_Normalizacion!A251</f>
        <v>246</v>
      </c>
      <c r="B253" s="16" t="n">
        <f aca="false">4_Normalizacion!B251</f>
        <v>24.844</v>
      </c>
      <c r="C253" s="21" t="n">
        <f aca="false">C$5*4_Normalizacion!C251</f>
        <v>0.00211491006743141</v>
      </c>
      <c r="D253" s="21" t="n">
        <f aca="false">D$5*4_Normalizacion!D251</f>
        <v>0.00020543122737585</v>
      </c>
      <c r="E253" s="21" t="n">
        <f aca="false">E$5*4_Normalizacion!E251</f>
        <v>0.00185693905364827</v>
      </c>
      <c r="F253" s="21" t="n">
        <f aca="false">F$5*4_Normalizacion!F251</f>
        <v>0.0020175467426038</v>
      </c>
      <c r="G253" s="21" t="n">
        <f aca="false">G$5*4_Normalizacion!G251</f>
        <v>0.000280339284607229</v>
      </c>
      <c r="H253" s="21" t="n">
        <f aca="false">H$5*4_Normalizacion!H251</f>
        <v>0.00509263768149227</v>
      </c>
      <c r="I253" s="21" t="n">
        <f aca="false">I$5*4_Normalizacion!I251</f>
        <v>0.00281086825420146</v>
      </c>
      <c r="J253" s="21" t="n">
        <f aca="false">J$5*4_Normalizacion!J251</f>
        <v>0.000255567041403239</v>
      </c>
      <c r="K253" s="21" t="n">
        <f aca="false">K$5*4_Normalizacion!K251</f>
        <v>3.90133374367575E-005</v>
      </c>
      <c r="L253" s="21" t="n">
        <f aca="false">L$5*4_Normalizacion!L251</f>
        <v>0.00157484950325927</v>
      </c>
      <c r="M253" s="21" t="n">
        <f aca="false">M$5*4_Normalizacion!M251</f>
        <v>0.000756004911476422</v>
      </c>
      <c r="N253" s="21" t="n">
        <f aca="false">N$5*4_Normalizacion!N251</f>
        <v>0.00303959213051672</v>
      </c>
      <c r="O253" s="21" t="n">
        <f aca="false">O$5*4_Normalizacion!O251</f>
        <v>0.00200587264654955</v>
      </c>
      <c r="P253" s="21" t="n">
        <f aca="false">P$5*4_Normalizacion!P251</f>
        <v>0.00135841219936972</v>
      </c>
      <c r="Q253" s="21" t="n">
        <f aca="false">Q$5*4_Normalizacion!Q251</f>
        <v>0.0142963285899449</v>
      </c>
    </row>
    <row r="254" customFormat="false" ht="15" hidden="false" customHeight="false" outlineLevel="0" collapsed="false">
      <c r="A254" s="15" t="n">
        <f aca="false">4_Normalizacion!A252</f>
        <v>247</v>
      </c>
      <c r="B254" s="16" t="n">
        <f aca="false">4_Normalizacion!B252</f>
        <v>24.944</v>
      </c>
      <c r="C254" s="21" t="n">
        <f aca="false">C$5*4_Normalizacion!C252</f>
        <v>0.00211491006743141</v>
      </c>
      <c r="D254" s="21" t="n">
        <f aca="false">D$5*4_Normalizacion!D252</f>
        <v>0.00020543122737585</v>
      </c>
      <c r="E254" s="21" t="n">
        <f aca="false">E$5*4_Normalizacion!E252</f>
        <v>0.00185693905364827</v>
      </c>
      <c r="F254" s="21" t="n">
        <f aca="false">F$5*4_Normalizacion!F252</f>
        <v>0.0020175467426038</v>
      </c>
      <c r="G254" s="21" t="n">
        <f aca="false">G$5*4_Normalizacion!G252</f>
        <v>0.000280339284607229</v>
      </c>
      <c r="H254" s="21" t="n">
        <f aca="false">H$5*4_Normalizacion!H252</f>
        <v>0.00509263768149227</v>
      </c>
      <c r="I254" s="21" t="n">
        <f aca="false">I$5*4_Normalizacion!I252</f>
        <v>0.00281086825420146</v>
      </c>
      <c r="J254" s="21" t="n">
        <f aca="false">J$5*4_Normalizacion!J252</f>
        <v>0.000255567041403239</v>
      </c>
      <c r="K254" s="21" t="n">
        <f aca="false">K$5*4_Normalizacion!K252</f>
        <v>3.90133374367575E-005</v>
      </c>
      <c r="L254" s="21" t="n">
        <f aca="false">L$5*4_Normalizacion!L252</f>
        <v>0.0015959076628062</v>
      </c>
      <c r="M254" s="21" t="n">
        <f aca="false">M$5*4_Normalizacion!M252</f>
        <v>0.000757037705071335</v>
      </c>
      <c r="N254" s="21" t="n">
        <f aca="false">N$5*4_Normalizacion!N252</f>
        <v>0.00455938819577508</v>
      </c>
      <c r="O254" s="21" t="n">
        <f aca="false">O$5*4_Normalizacion!O252</f>
        <v>0.00200587264654955</v>
      </c>
      <c r="P254" s="21" t="n">
        <f aca="false">P$5*4_Normalizacion!P252</f>
        <v>0.00135841219936972</v>
      </c>
      <c r="Q254" s="21" t="n">
        <f aca="false">Q$5*4_Normalizacion!Q252</f>
        <v>0.0142963285899449</v>
      </c>
    </row>
    <row r="255" customFormat="false" ht="15" hidden="false" customHeight="false" outlineLevel="0" collapsed="false">
      <c r="A255" s="15" t="n">
        <f aca="false">4_Normalizacion!A253</f>
        <v>248</v>
      </c>
      <c r="B255" s="16" t="n">
        <f aca="false">4_Normalizacion!B253</f>
        <v>25.043</v>
      </c>
      <c r="C255" s="21" t="n">
        <f aca="false">C$5*4_Normalizacion!C253</f>
        <v>0.00211491006743141</v>
      </c>
      <c r="D255" s="21" t="n">
        <f aca="false">D$5*4_Normalizacion!D253</f>
        <v>0.00020543122737585</v>
      </c>
      <c r="E255" s="21" t="n">
        <f aca="false">E$5*4_Normalizacion!E253</f>
        <v>0.00185693905364827</v>
      </c>
      <c r="F255" s="21" t="n">
        <f aca="false">F$5*4_Normalizacion!F253</f>
        <v>0.0020175467426038</v>
      </c>
      <c r="G255" s="21" t="n">
        <f aca="false">G$5*4_Normalizacion!G253</f>
        <v>0.000280339284607229</v>
      </c>
      <c r="H255" s="21" t="n">
        <f aca="false">H$5*4_Normalizacion!H253</f>
        <v>0.00509263768149227</v>
      </c>
      <c r="I255" s="21" t="n">
        <f aca="false">I$5*4_Normalizacion!I253</f>
        <v>0.00281086825420146</v>
      </c>
      <c r="J255" s="21" t="n">
        <f aca="false">J$5*4_Normalizacion!J253</f>
        <v>0.000255567041403239</v>
      </c>
      <c r="K255" s="21" t="n">
        <f aca="false">K$5*4_Normalizacion!K253</f>
        <v>3.90133374367575E-005</v>
      </c>
      <c r="L255" s="21" t="n">
        <f aca="false">L$5*4_Normalizacion!L253</f>
        <v>0.00178192140547069</v>
      </c>
      <c r="M255" s="21" t="n">
        <f aca="false">M$5*4_Normalizacion!M253</f>
        <v>0.000780378840316372</v>
      </c>
      <c r="N255" s="21" t="n">
        <f aca="false">N$5*4_Normalizacion!N253</f>
        <v>0.00455938819577508</v>
      </c>
      <c r="O255" s="21" t="n">
        <f aca="false">O$5*4_Normalizacion!O253</f>
        <v>0.00200587264654955</v>
      </c>
      <c r="P255" s="21" t="n">
        <f aca="false">P$5*4_Normalizacion!P253</f>
        <v>0.00135841219936972</v>
      </c>
      <c r="Q255" s="21" t="n">
        <f aca="false">Q$5*4_Normalizacion!Q253</f>
        <v>0.00285926571798898</v>
      </c>
    </row>
    <row r="256" customFormat="false" ht="15" hidden="false" customHeight="false" outlineLevel="0" collapsed="false">
      <c r="A256" s="15" t="n">
        <f aca="false">4_Normalizacion!A254</f>
        <v>249</v>
      </c>
      <c r="B256" s="16" t="n">
        <f aca="false">4_Normalizacion!B254</f>
        <v>25.143</v>
      </c>
      <c r="C256" s="21" t="n">
        <f aca="false">C$5*4_Normalizacion!C254</f>
        <v>0.00211491006743141</v>
      </c>
      <c r="D256" s="21" t="n">
        <f aca="false">D$5*4_Normalizacion!D254</f>
        <v>0.00020543122737585</v>
      </c>
      <c r="E256" s="21" t="n">
        <f aca="false">E$5*4_Normalizacion!E254</f>
        <v>0.00185693905364827</v>
      </c>
      <c r="F256" s="21" t="n">
        <f aca="false">F$5*4_Normalizacion!F254</f>
        <v>0.0020175467426038</v>
      </c>
      <c r="G256" s="21" t="n">
        <f aca="false">G$5*4_Normalizacion!G254</f>
        <v>0.000280339284607229</v>
      </c>
      <c r="H256" s="21" t="n">
        <f aca="false">H$5*4_Normalizacion!H254</f>
        <v>0.00509263768149227</v>
      </c>
      <c r="I256" s="21" t="n">
        <f aca="false">I$5*4_Normalizacion!I254</f>
        <v>0.00281086825420146</v>
      </c>
      <c r="J256" s="21" t="n">
        <f aca="false">J$5*4_Normalizacion!J254</f>
        <v>0.000255567041403239</v>
      </c>
      <c r="K256" s="21" t="n">
        <f aca="false">K$5*4_Normalizacion!K254</f>
        <v>3.90133374367575E-005</v>
      </c>
      <c r="L256" s="21" t="n">
        <f aca="false">L$5*4_Normalizacion!L254</f>
        <v>0.00118376939738782</v>
      </c>
      <c r="M256" s="21" t="n">
        <f aca="false">M$5*4_Normalizacion!M254</f>
        <v>0.000746503210403221</v>
      </c>
      <c r="N256" s="21" t="n">
        <f aca="false">N$5*4_Normalizacion!N254</f>
        <v>0.00455938819577508</v>
      </c>
      <c r="O256" s="21" t="n">
        <f aca="false">O$5*4_Normalizacion!O254</f>
        <v>0.00200587264654955</v>
      </c>
      <c r="P256" s="21" t="n">
        <f aca="false">P$5*4_Normalizacion!P254</f>
        <v>0.00135841219936972</v>
      </c>
      <c r="Q256" s="21" t="n">
        <f aca="false">Q$5*4_Normalizacion!Q254</f>
        <v>0.00285926571798898</v>
      </c>
    </row>
    <row r="257" customFormat="false" ht="15" hidden="false" customHeight="false" outlineLevel="0" collapsed="false">
      <c r="A257" s="15" t="n">
        <f aca="false">4_Normalizacion!A255</f>
        <v>250</v>
      </c>
      <c r="B257" s="16" t="n">
        <f aca="false">4_Normalizacion!B255</f>
        <v>25.244</v>
      </c>
      <c r="C257" s="21" t="n">
        <f aca="false">C$5*4_Normalizacion!C255</f>
        <v>0.00211491006743141</v>
      </c>
      <c r="D257" s="21" t="n">
        <f aca="false">D$5*4_Normalizacion!D255</f>
        <v>0.00020543122737585</v>
      </c>
      <c r="E257" s="21" t="n">
        <f aca="false">E$5*4_Normalizacion!E255</f>
        <v>0.00185693905364827</v>
      </c>
      <c r="F257" s="21" t="n">
        <f aca="false">F$5*4_Normalizacion!F255</f>
        <v>0.0020175467426038</v>
      </c>
      <c r="G257" s="21" t="n">
        <f aca="false">G$5*4_Normalizacion!G255</f>
        <v>0.000280339284607229</v>
      </c>
      <c r="H257" s="21" t="n">
        <f aca="false">H$5*4_Normalizacion!H255</f>
        <v>0.00509263768149227</v>
      </c>
      <c r="I257" s="21" t="n">
        <f aca="false">I$5*4_Normalizacion!I255</f>
        <v>0.00281086825420146</v>
      </c>
      <c r="J257" s="21" t="n">
        <f aca="false">J$5*4_Normalizacion!J255</f>
        <v>0.000255567041403239</v>
      </c>
      <c r="K257" s="21" t="n">
        <f aca="false">K$5*4_Normalizacion!K255</f>
        <v>3.90133374367575E-005</v>
      </c>
      <c r="L257" s="21" t="n">
        <f aca="false">L$5*4_Normalizacion!L255</f>
        <v>0.00139184406910148</v>
      </c>
      <c r="M257" s="21" t="n">
        <f aca="false">M$5*4_Normalizacion!M255</f>
        <v>0.000746090092965255</v>
      </c>
      <c r="N257" s="21" t="n">
        <f aca="false">N$5*4_Normalizacion!N255</f>
        <v>0.00455938819577508</v>
      </c>
      <c r="O257" s="21" t="n">
        <f aca="false">O$5*4_Normalizacion!O255</f>
        <v>0.00200587264654955</v>
      </c>
      <c r="P257" s="21" t="n">
        <f aca="false">P$5*4_Normalizacion!P255</f>
        <v>0.00135841219936972</v>
      </c>
      <c r="Q257" s="21" t="n">
        <f aca="false">Q$5*4_Normalizacion!Q255</f>
        <v>0.00857779715396695</v>
      </c>
    </row>
    <row r="258" customFormat="false" ht="15" hidden="false" customHeight="false" outlineLevel="0" collapsed="false">
      <c r="A258" s="15" t="n">
        <f aca="false">4_Normalizacion!A256</f>
        <v>251</v>
      </c>
      <c r="B258" s="16" t="n">
        <f aca="false">4_Normalizacion!B256</f>
        <v>25.346</v>
      </c>
      <c r="C258" s="21" t="n">
        <f aca="false">C$5*4_Normalizacion!C256</f>
        <v>0.00211491006743141</v>
      </c>
      <c r="D258" s="21" t="n">
        <f aca="false">D$5*4_Normalizacion!D256</f>
        <v>0.00020543122737585</v>
      </c>
      <c r="E258" s="21" t="n">
        <f aca="false">E$5*4_Normalizacion!E256</f>
        <v>0.00185693905364827</v>
      </c>
      <c r="F258" s="21" t="n">
        <f aca="false">F$5*4_Normalizacion!F256</f>
        <v>0.0020175467426038</v>
      </c>
      <c r="G258" s="21" t="n">
        <f aca="false">G$5*4_Normalizacion!G256</f>
        <v>0.000280339284607229</v>
      </c>
      <c r="H258" s="21" t="n">
        <f aca="false">H$5*4_Normalizacion!H256</f>
        <v>0.00509263768149227</v>
      </c>
      <c r="I258" s="21" t="n">
        <f aca="false">I$5*4_Normalizacion!I256</f>
        <v>0.00281086825420146</v>
      </c>
      <c r="J258" s="21" t="n">
        <f aca="false">J$5*4_Normalizacion!J256</f>
        <v>0.000255567041403239</v>
      </c>
      <c r="K258" s="21" t="n">
        <f aca="false">K$5*4_Normalizacion!K256</f>
        <v>3.90133374367575E-005</v>
      </c>
      <c r="L258" s="21" t="n">
        <f aca="false">L$5*4_Normalizacion!L256</f>
        <v>0.00182253357031119</v>
      </c>
      <c r="M258" s="21" t="n">
        <f aca="false">M$5*4_Normalizacion!M256</f>
        <v>0.000595302228107936</v>
      </c>
      <c r="N258" s="21" t="n">
        <f aca="false">N$5*4_Normalizacion!N256</f>
        <v>0.00455938819577508</v>
      </c>
      <c r="O258" s="21" t="n">
        <f aca="false">O$5*4_Normalizacion!O256</f>
        <v>0.00200587264654955</v>
      </c>
      <c r="P258" s="21" t="n">
        <f aca="false">P$5*4_Normalizacion!P256</f>
        <v>0.00135841219936972</v>
      </c>
      <c r="Q258" s="21" t="n">
        <f aca="false">Q$5*4_Normalizacion!Q256</f>
        <v>0.0142963285899449</v>
      </c>
    </row>
    <row r="259" customFormat="false" ht="15" hidden="false" customHeight="false" outlineLevel="0" collapsed="false">
      <c r="A259" s="15" t="n">
        <f aca="false">4_Normalizacion!A257</f>
        <v>252</v>
      </c>
      <c r="B259" s="16" t="n">
        <f aca="false">4_Normalizacion!B257</f>
        <v>25.448</v>
      </c>
      <c r="C259" s="21" t="n">
        <f aca="false">C$5*4_Normalizacion!C257</f>
        <v>0.00211491006743141</v>
      </c>
      <c r="D259" s="21" t="n">
        <f aca="false">D$5*4_Normalizacion!D257</f>
        <v>0.00020543122737585</v>
      </c>
      <c r="E259" s="21" t="n">
        <f aca="false">E$5*4_Normalizacion!E257</f>
        <v>0.00185693905364827</v>
      </c>
      <c r="F259" s="21" t="n">
        <f aca="false">F$5*4_Normalizacion!F257</f>
        <v>0.0020175467426038</v>
      </c>
      <c r="G259" s="21" t="n">
        <f aca="false">G$5*4_Normalizacion!G257</f>
        <v>0.000280339284607229</v>
      </c>
      <c r="H259" s="21" t="n">
        <f aca="false">H$5*4_Normalizacion!H257</f>
        <v>0.00509263768149227</v>
      </c>
      <c r="I259" s="21" t="n">
        <f aca="false">I$5*4_Normalizacion!I257</f>
        <v>0.00281086825420146</v>
      </c>
      <c r="J259" s="21" t="n">
        <f aca="false">J$5*4_Normalizacion!J257</f>
        <v>0.000255567041403239</v>
      </c>
      <c r="K259" s="21" t="n">
        <f aca="false">K$5*4_Normalizacion!K257</f>
        <v>3.90133374367575E-005</v>
      </c>
      <c r="L259" s="21" t="n">
        <f aca="false">L$5*4_Normalizacion!L257</f>
        <v>0.00123240371824619</v>
      </c>
      <c r="M259" s="21" t="n">
        <f aca="false">M$5*4_Normalizacion!M257</f>
        <v>0.000787401836761781</v>
      </c>
      <c r="N259" s="21" t="n">
        <f aca="false">N$5*4_Normalizacion!N257</f>
        <v>0.00455938819577508</v>
      </c>
      <c r="O259" s="21" t="n">
        <f aca="false">O$5*4_Normalizacion!O257</f>
        <v>0.00200587264654955</v>
      </c>
      <c r="P259" s="21" t="n">
        <f aca="false">P$5*4_Normalizacion!P257</f>
        <v>0.00135841219936972</v>
      </c>
      <c r="Q259" s="21" t="n">
        <f aca="false">Q$5*4_Normalizacion!Q257</f>
        <v>0.0142963285899449</v>
      </c>
    </row>
    <row r="260" customFormat="false" ht="15" hidden="false" customHeight="false" outlineLevel="0" collapsed="false">
      <c r="A260" s="15" t="n">
        <f aca="false">4_Normalizacion!A258</f>
        <v>253</v>
      </c>
      <c r="B260" s="16" t="n">
        <f aca="false">4_Normalizacion!B258</f>
        <v>25.55</v>
      </c>
      <c r="C260" s="21" t="n">
        <f aca="false">C$5*4_Normalizacion!C258</f>
        <v>0.00211491006743141</v>
      </c>
      <c r="D260" s="21" t="n">
        <f aca="false">D$5*4_Normalizacion!D258</f>
        <v>0.00020543122737585</v>
      </c>
      <c r="E260" s="21" t="n">
        <f aca="false">E$5*4_Normalizacion!E258</f>
        <v>0.00185693905364827</v>
      </c>
      <c r="F260" s="21" t="n">
        <f aca="false">F$5*4_Normalizacion!F258</f>
        <v>0.0020175467426038</v>
      </c>
      <c r="G260" s="21" t="n">
        <f aca="false">G$5*4_Normalizacion!G258</f>
        <v>0.000280339284607229</v>
      </c>
      <c r="H260" s="21" t="n">
        <f aca="false">H$5*4_Normalizacion!H258</f>
        <v>0.00509263768149227</v>
      </c>
      <c r="I260" s="21" t="n">
        <f aca="false">I$5*4_Normalizacion!I258</f>
        <v>0.00281086825420146</v>
      </c>
      <c r="J260" s="21" t="n">
        <f aca="false">J$5*4_Normalizacion!J258</f>
        <v>0.000255567041403239</v>
      </c>
      <c r="K260" s="21" t="n">
        <f aca="false">K$5*4_Normalizacion!K258</f>
        <v>3.90133374367575E-005</v>
      </c>
      <c r="L260" s="21" t="n">
        <f aca="false">L$5*4_Normalizacion!L258</f>
        <v>0.000654808484959124</v>
      </c>
      <c r="M260" s="21" t="n">
        <f aca="false">M$5*4_Normalizacion!M258</f>
        <v>0.000824375847459672</v>
      </c>
      <c r="N260" s="21" t="n">
        <f aca="false">N$5*4_Normalizacion!N258</f>
        <v>0.00455938819577508</v>
      </c>
      <c r="O260" s="21" t="n">
        <f aca="false">O$5*4_Normalizacion!O258</f>
        <v>0.00200587264654955</v>
      </c>
      <c r="P260" s="21" t="n">
        <f aca="false">P$5*4_Normalizacion!P258</f>
        <v>0.00135841219936972</v>
      </c>
      <c r="Q260" s="21" t="n">
        <f aca="false">Q$5*4_Normalizacion!Q258</f>
        <v>0.00285926571798898</v>
      </c>
    </row>
    <row r="261" customFormat="false" ht="15" hidden="false" customHeight="false" outlineLevel="0" collapsed="false">
      <c r="A261" s="15" t="n">
        <f aca="false">4_Normalizacion!A259</f>
        <v>254</v>
      </c>
      <c r="B261" s="16" t="n">
        <f aca="false">4_Normalizacion!B259</f>
        <v>25.652</v>
      </c>
      <c r="C261" s="21" t="n">
        <f aca="false">C$5*4_Normalizacion!C259</f>
        <v>0.00211491006743141</v>
      </c>
      <c r="D261" s="21" t="n">
        <f aca="false">D$5*4_Normalizacion!D259</f>
        <v>0.00020543122737585</v>
      </c>
      <c r="E261" s="21" t="n">
        <f aca="false">E$5*4_Normalizacion!E259</f>
        <v>0.00185693905364827</v>
      </c>
      <c r="F261" s="21" t="n">
        <f aca="false">F$5*4_Normalizacion!F259</f>
        <v>0.0020175467426038</v>
      </c>
      <c r="G261" s="21" t="n">
        <f aca="false">G$5*4_Normalizacion!G259</f>
        <v>0.000280339284607229</v>
      </c>
      <c r="H261" s="21" t="n">
        <f aca="false">H$5*4_Normalizacion!H259</f>
        <v>0.00509263768149227</v>
      </c>
      <c r="I261" s="21" t="n">
        <f aca="false">I$5*4_Normalizacion!I259</f>
        <v>0.00281086825420146</v>
      </c>
      <c r="J261" s="21" t="n">
        <f aca="false">J$5*4_Normalizacion!J259</f>
        <v>0.000255567041403239</v>
      </c>
      <c r="K261" s="21" t="n">
        <f aca="false">K$5*4_Normalizacion!K259</f>
        <v>3.90133374367575E-005</v>
      </c>
      <c r="L261" s="21" t="n">
        <f aca="false">L$5*4_Normalizacion!L259</f>
        <v>0.0010524065925951</v>
      </c>
      <c r="M261" s="21" t="n">
        <f aca="false">M$5*4_Normalizacion!M259</f>
        <v>0.000752286854534734</v>
      </c>
      <c r="N261" s="21" t="n">
        <f aca="false">N$5*4_Normalizacion!N259</f>
        <v>0.00455938819577508</v>
      </c>
      <c r="O261" s="21" t="n">
        <f aca="false">O$5*4_Normalizacion!O259</f>
        <v>0.00200587264654955</v>
      </c>
      <c r="P261" s="21" t="n">
        <f aca="false">P$5*4_Normalizacion!P259</f>
        <v>0.00135841219936972</v>
      </c>
      <c r="Q261" s="21" t="n">
        <f aca="false">Q$5*4_Normalizacion!Q259</f>
        <v>0.0114370628719559</v>
      </c>
    </row>
    <row r="262" customFormat="false" ht="15" hidden="false" customHeight="false" outlineLevel="0" collapsed="false">
      <c r="A262" s="15" t="n">
        <f aca="false">4_Normalizacion!A260</f>
        <v>255</v>
      </c>
      <c r="B262" s="16" t="n">
        <f aca="false">4_Normalizacion!B260</f>
        <v>25.754</v>
      </c>
      <c r="C262" s="21" t="n">
        <f aca="false">C$5*4_Normalizacion!C260</f>
        <v>0.00211491006743141</v>
      </c>
      <c r="D262" s="21" t="n">
        <f aca="false">D$5*4_Normalizacion!D260</f>
        <v>0.00020543122737585</v>
      </c>
      <c r="E262" s="21" t="n">
        <f aca="false">E$5*4_Normalizacion!E260</f>
        <v>0.00185693905364827</v>
      </c>
      <c r="F262" s="21" t="n">
        <f aca="false">F$5*4_Normalizacion!F260</f>
        <v>0.0020175467426038</v>
      </c>
      <c r="G262" s="21" t="n">
        <f aca="false">G$5*4_Normalizacion!G260</f>
        <v>0.000280339284607229</v>
      </c>
      <c r="H262" s="21" t="n">
        <f aca="false">H$5*4_Normalizacion!H260</f>
        <v>0.00509263768149227</v>
      </c>
      <c r="I262" s="21" t="n">
        <f aca="false">I$5*4_Normalizacion!I260</f>
        <v>0.00281086825420146</v>
      </c>
      <c r="J262" s="21" t="n">
        <f aca="false">J$5*4_Normalizacion!J260</f>
        <v>0.000255567041403239</v>
      </c>
      <c r="K262" s="21" t="n">
        <f aca="false">K$5*4_Normalizacion!K260</f>
        <v>3.90133374367575E-005</v>
      </c>
      <c r="L262" s="21" t="n">
        <f aca="false">L$5*4_Normalizacion!L260</f>
        <v>0.00129206850362914</v>
      </c>
      <c r="M262" s="21" t="n">
        <f aca="false">M$5*4_Normalizacion!M260</f>
        <v>0.000737621185486968</v>
      </c>
      <c r="N262" s="21" t="n">
        <f aca="false">N$5*4_Normalizacion!N260</f>
        <v>0.00455938819577508</v>
      </c>
      <c r="O262" s="21" t="n">
        <f aca="false">O$5*4_Normalizacion!O260</f>
        <v>0.00200587264654955</v>
      </c>
      <c r="P262" s="21" t="n">
        <f aca="false">P$5*4_Normalizacion!P260</f>
        <v>0.00135841219936972</v>
      </c>
      <c r="Q262" s="21" t="n">
        <f aca="false">Q$5*4_Normalizacion!Q260</f>
        <v>0.0114370628719559</v>
      </c>
    </row>
    <row r="263" customFormat="false" ht="15" hidden="false" customHeight="false" outlineLevel="0" collapsed="false">
      <c r="A263" s="15" t="n">
        <f aca="false">4_Normalizacion!A261</f>
        <v>256</v>
      </c>
      <c r="B263" s="16" t="n">
        <f aca="false">4_Normalizacion!B261</f>
        <v>25.854</v>
      </c>
      <c r="C263" s="21" t="n">
        <f aca="false">C$5*4_Normalizacion!C261</f>
        <v>0.00211491006743141</v>
      </c>
      <c r="D263" s="21" t="n">
        <f aca="false">D$5*4_Normalizacion!D261</f>
        <v>0.00020543122737585</v>
      </c>
      <c r="E263" s="21" t="n">
        <f aca="false">E$5*4_Normalizacion!E261</f>
        <v>0.00185693905364827</v>
      </c>
      <c r="F263" s="21" t="n">
        <f aca="false">F$5*4_Normalizacion!F261</f>
        <v>0.0020175467426038</v>
      </c>
      <c r="G263" s="21" t="n">
        <f aca="false">G$5*4_Normalizacion!G261</f>
        <v>0.000280339284607229</v>
      </c>
      <c r="H263" s="21" t="n">
        <f aca="false">H$5*4_Normalizacion!H261</f>
        <v>0.00509263768149227</v>
      </c>
      <c r="I263" s="21" t="n">
        <f aca="false">I$5*4_Normalizacion!I261</f>
        <v>0.00281086825420146</v>
      </c>
      <c r="J263" s="21" t="n">
        <f aca="false">J$5*4_Normalizacion!J261</f>
        <v>0.000255567041403239</v>
      </c>
      <c r="K263" s="21" t="n">
        <f aca="false">K$5*4_Normalizacion!K261</f>
        <v>3.90133374367575E-005</v>
      </c>
      <c r="L263" s="21" t="n">
        <f aca="false">L$5*4_Normalizacion!L261</f>
        <v>0.00162047551561094</v>
      </c>
      <c r="M263" s="21" t="n">
        <f aca="false">M$5*4_Normalizacion!M261</f>
        <v>0.000615131865130269</v>
      </c>
      <c r="N263" s="21" t="n">
        <f aca="false">N$5*4_Normalizacion!N261</f>
        <v>0.00607918426103344</v>
      </c>
      <c r="O263" s="21" t="n">
        <f aca="false">O$5*4_Normalizacion!O261</f>
        <v>0.00200587264654955</v>
      </c>
      <c r="P263" s="21" t="n">
        <f aca="false">P$5*4_Normalizacion!P261</f>
        <v>0.00135841219936972</v>
      </c>
      <c r="Q263" s="21" t="n">
        <f aca="false">Q$5*4_Normalizacion!Q261</f>
        <v>0.0142963285899449</v>
      </c>
    </row>
    <row r="264" customFormat="false" ht="15" hidden="false" customHeight="false" outlineLevel="0" collapsed="false">
      <c r="A264" s="15" t="n">
        <f aca="false">4_Normalizacion!A262</f>
        <v>257</v>
      </c>
      <c r="B264" s="16" t="n">
        <f aca="false">4_Normalizacion!B262</f>
        <v>25.954</v>
      </c>
      <c r="C264" s="21" t="n">
        <f aca="false">C$5*4_Normalizacion!C262</f>
        <v>0.00211491006743141</v>
      </c>
      <c r="D264" s="21" t="n">
        <f aca="false">D$5*4_Normalizacion!D262</f>
        <v>0.00020543122737585</v>
      </c>
      <c r="E264" s="21" t="n">
        <f aca="false">E$5*4_Normalizacion!E262</f>
        <v>0.00185693905364827</v>
      </c>
      <c r="F264" s="21" t="n">
        <f aca="false">F$5*4_Normalizacion!F262</f>
        <v>0.0020175467426038</v>
      </c>
      <c r="G264" s="21" t="n">
        <f aca="false">G$5*4_Normalizacion!G262</f>
        <v>0.000280339284607229</v>
      </c>
      <c r="H264" s="21" t="n">
        <f aca="false">H$5*4_Normalizacion!H262</f>
        <v>0.00509263768149227</v>
      </c>
      <c r="I264" s="21" t="n">
        <f aca="false">I$5*4_Normalizacion!I262</f>
        <v>0.00281086825420146</v>
      </c>
      <c r="J264" s="21" t="n">
        <f aca="false">J$5*4_Normalizacion!J262</f>
        <v>0.000255567041403239</v>
      </c>
      <c r="K264" s="21" t="n">
        <f aca="false">K$5*4_Normalizacion!K262</f>
        <v>3.90133374367575E-005</v>
      </c>
      <c r="L264" s="21" t="n">
        <f aca="false">L$5*4_Normalizacion!L262</f>
        <v>0.00148058917004923</v>
      </c>
      <c r="M264" s="21" t="n">
        <f aca="false">M$5*4_Normalizacion!M262</f>
        <v>0.000658302637397638</v>
      </c>
      <c r="N264" s="21" t="n">
        <f aca="false">N$5*4_Normalizacion!N262</f>
        <v>0.00607918426103344</v>
      </c>
      <c r="O264" s="21" t="n">
        <f aca="false">O$5*4_Normalizacion!O262</f>
        <v>0.00200587264654955</v>
      </c>
      <c r="P264" s="21" t="n">
        <f aca="false">P$5*4_Normalizacion!P262</f>
        <v>0.00135841219936972</v>
      </c>
      <c r="Q264" s="21" t="n">
        <f aca="false">Q$5*4_Normalizacion!Q262</f>
        <v>0.0142963285899449</v>
      </c>
    </row>
    <row r="265" customFormat="false" ht="15" hidden="false" customHeight="false" outlineLevel="0" collapsed="false">
      <c r="A265" s="15" t="n">
        <f aca="false">4_Normalizacion!A263</f>
        <v>258</v>
      </c>
      <c r="B265" s="16" t="n">
        <f aca="false">4_Normalizacion!B263</f>
        <v>26.053</v>
      </c>
      <c r="C265" s="21" t="n">
        <f aca="false">C$5*4_Normalizacion!C263</f>
        <v>0.00211491006743141</v>
      </c>
      <c r="D265" s="21" t="n">
        <f aca="false">D$5*4_Normalizacion!D263</f>
        <v>0.00020543122737585</v>
      </c>
      <c r="E265" s="21" t="n">
        <f aca="false">E$5*4_Normalizacion!E263</f>
        <v>0.00185693905364827</v>
      </c>
      <c r="F265" s="21" t="n">
        <f aca="false">F$5*4_Normalizacion!F263</f>
        <v>0.00161403739408304</v>
      </c>
      <c r="G265" s="21" t="n">
        <f aca="false">G$5*4_Normalizacion!G263</f>
        <v>0.000280339284607229</v>
      </c>
      <c r="H265" s="21" t="n">
        <f aca="false">H$5*4_Normalizacion!H263</f>
        <v>0.00509263768149227</v>
      </c>
      <c r="I265" s="21" t="n">
        <f aca="false">I$5*4_Normalizacion!I263</f>
        <v>0.00281086825420146</v>
      </c>
      <c r="J265" s="21" t="n">
        <f aca="false">J$5*4_Normalizacion!J263</f>
        <v>0.000255567041403239</v>
      </c>
      <c r="K265" s="21" t="n">
        <f aca="false">K$5*4_Normalizacion!K263</f>
        <v>3.90133374367575E-005</v>
      </c>
      <c r="L265" s="21" t="n">
        <f aca="false">L$5*4_Normalizacion!L263</f>
        <v>0.00124243141326854</v>
      </c>
      <c r="M265" s="21" t="n">
        <f aca="false">M$5*4_Normalizacion!M263</f>
        <v>0.000719857135654462</v>
      </c>
      <c r="N265" s="21" t="n">
        <f aca="false">N$5*4_Normalizacion!N263</f>
        <v>0.00607918426103344</v>
      </c>
      <c r="O265" s="21" t="n">
        <f aca="false">O$5*4_Normalizacion!O263</f>
        <v>0.00200587264654955</v>
      </c>
      <c r="P265" s="21" t="n">
        <f aca="false">P$5*4_Normalizacion!P263</f>
        <v>0.00135841219936972</v>
      </c>
      <c r="Q265" s="21" t="n">
        <f aca="false">Q$5*4_Normalizacion!Q263</f>
        <v>0.0142963285899449</v>
      </c>
    </row>
    <row r="266" customFormat="false" ht="15" hidden="false" customHeight="false" outlineLevel="0" collapsed="false">
      <c r="A266" s="15" t="n">
        <f aca="false">4_Normalizacion!A264</f>
        <v>259</v>
      </c>
      <c r="B266" s="16" t="n">
        <f aca="false">4_Normalizacion!B264</f>
        <v>26.151</v>
      </c>
      <c r="C266" s="21" t="n">
        <f aca="false">C$5*4_Normalizacion!C264</f>
        <v>0.00211491006743141</v>
      </c>
      <c r="D266" s="21" t="n">
        <f aca="false">D$5*4_Normalizacion!D264</f>
        <v>0.00016434498190068</v>
      </c>
      <c r="E266" s="21" t="n">
        <f aca="false">E$5*4_Normalizacion!E264</f>
        <v>0.00185693905364827</v>
      </c>
      <c r="F266" s="21" t="n">
        <f aca="false">F$5*4_Normalizacion!F264</f>
        <v>0.0020175467426038</v>
      </c>
      <c r="G266" s="21" t="n">
        <f aca="false">G$5*4_Normalizacion!G264</f>
        <v>0.000280339284607229</v>
      </c>
      <c r="H266" s="21" t="n">
        <f aca="false">H$5*4_Normalizacion!H264</f>
        <v>0.00509263768149227</v>
      </c>
      <c r="I266" s="21" t="n">
        <f aca="false">I$5*4_Normalizacion!I264</f>
        <v>0.00281086825420146</v>
      </c>
      <c r="J266" s="21" t="n">
        <f aca="false">J$5*4_Normalizacion!J264</f>
        <v>0.000255567041403239</v>
      </c>
      <c r="K266" s="21" t="n">
        <f aca="false">K$5*4_Normalizacion!K264</f>
        <v>3.90133374367575E-005</v>
      </c>
      <c r="L266" s="21" t="n">
        <f aca="false">L$5*4_Normalizacion!L264</f>
        <v>0.0011541876970719</v>
      </c>
      <c r="M266" s="21" t="n">
        <f aca="false">M$5*4_Normalizacion!M264</f>
        <v>0.000808883943535975</v>
      </c>
      <c r="N266" s="21" t="n">
        <f aca="false">N$5*4_Normalizacion!N264</f>
        <v>0.00607918426103344</v>
      </c>
      <c r="O266" s="21" t="n">
        <f aca="false">O$5*4_Normalizacion!O264</f>
        <v>0.00200587264654955</v>
      </c>
      <c r="P266" s="21" t="n">
        <f aca="false">P$5*4_Normalizacion!P264</f>
        <v>0.00135841219936972</v>
      </c>
      <c r="Q266" s="21" t="n">
        <f aca="false">Q$5*4_Normalizacion!Q264</f>
        <v>0.0114370628719559</v>
      </c>
    </row>
    <row r="267" customFormat="false" ht="15" hidden="false" customHeight="false" outlineLevel="0" collapsed="false">
      <c r="A267" s="15" t="n">
        <f aca="false">4_Normalizacion!A265</f>
        <v>260</v>
      </c>
      <c r="B267" s="16" t="n">
        <f aca="false">4_Normalizacion!B265</f>
        <v>26.249</v>
      </c>
      <c r="C267" s="21" t="n">
        <f aca="false">C$5*4_Normalizacion!C265</f>
        <v>0.00211491006743141</v>
      </c>
      <c r="D267" s="21" t="n">
        <f aca="false">D$5*4_Normalizacion!D265</f>
        <v>0.00016434498190068</v>
      </c>
      <c r="E267" s="21" t="n">
        <f aca="false">E$5*4_Normalizacion!E265</f>
        <v>0.00185693905364827</v>
      </c>
      <c r="F267" s="21" t="n">
        <f aca="false">F$5*4_Normalizacion!F265</f>
        <v>0.0020175467426038</v>
      </c>
      <c r="G267" s="21" t="n">
        <f aca="false">G$5*4_Normalizacion!G265</f>
        <v>0.000280339284607229</v>
      </c>
      <c r="H267" s="21" t="n">
        <f aca="false">H$5*4_Normalizacion!H265</f>
        <v>0.00509263768149227</v>
      </c>
      <c r="I267" s="21" t="n">
        <f aca="false">I$5*4_Normalizacion!I265</f>
        <v>0.00281086825420146</v>
      </c>
      <c r="J267" s="21" t="n">
        <f aca="false">J$5*4_Normalizacion!J265</f>
        <v>0.000255567041403239</v>
      </c>
      <c r="K267" s="21" t="n">
        <f aca="false">K$5*4_Normalizacion!K265</f>
        <v>3.90133374367575E-005</v>
      </c>
      <c r="L267" s="21" t="n">
        <f aca="false">L$5*4_Normalizacion!L265</f>
        <v>0.000638262788172255</v>
      </c>
      <c r="M267" s="21" t="n">
        <f aca="false">M$5*4_Normalizacion!M265</f>
        <v>0.000826234875930515</v>
      </c>
      <c r="N267" s="21" t="n">
        <f aca="false">N$5*4_Normalizacion!N265</f>
        <v>0.00607918426103344</v>
      </c>
      <c r="O267" s="21" t="n">
        <f aca="false">O$5*4_Normalizacion!O265</f>
        <v>0.00200587264654955</v>
      </c>
      <c r="P267" s="21" t="n">
        <f aca="false">P$5*4_Normalizacion!P265</f>
        <v>0.00135841219936972</v>
      </c>
      <c r="Q267" s="21" t="n">
        <f aca="false">Q$5*4_Normalizacion!Q265</f>
        <v>0.00285926571798898</v>
      </c>
    </row>
    <row r="268" customFormat="false" ht="15" hidden="false" customHeight="false" outlineLevel="0" collapsed="false">
      <c r="A268" s="15" t="n">
        <f aca="false">4_Normalizacion!A266</f>
        <v>261</v>
      </c>
      <c r="B268" s="16" t="n">
        <f aca="false">4_Normalizacion!B266</f>
        <v>26.348</v>
      </c>
      <c r="C268" s="21" t="n">
        <f aca="false">C$5*4_Normalizacion!C266</f>
        <v>0.00211491006743141</v>
      </c>
      <c r="D268" s="21" t="n">
        <f aca="false">D$5*4_Normalizacion!D266</f>
        <v>0.00016434498190068</v>
      </c>
      <c r="E268" s="21" t="n">
        <f aca="false">E$5*4_Normalizacion!E266</f>
        <v>0.00185693905364827</v>
      </c>
      <c r="F268" s="21" t="n">
        <f aca="false">F$5*4_Normalizacion!F266</f>
        <v>0.0020175467426038</v>
      </c>
      <c r="G268" s="21" t="n">
        <f aca="false">G$5*4_Normalizacion!G266</f>
        <v>0.000280339284607229</v>
      </c>
      <c r="H268" s="21" t="n">
        <f aca="false">H$5*4_Normalizacion!H266</f>
        <v>0.00509263768149227</v>
      </c>
      <c r="I268" s="21" t="n">
        <f aca="false">I$5*4_Normalizacion!I266</f>
        <v>0.00281086825420146</v>
      </c>
      <c r="J268" s="21" t="n">
        <f aca="false">J$5*4_Normalizacion!J266</f>
        <v>0.000255567041403239</v>
      </c>
      <c r="K268" s="21" t="n">
        <f aca="false">K$5*4_Normalizacion!K266</f>
        <v>3.90133374367575E-005</v>
      </c>
      <c r="L268" s="21" t="n">
        <f aca="false">L$5*4_Normalizacion!L266</f>
        <v>0.00060817970310522</v>
      </c>
      <c r="M268" s="21" t="n">
        <f aca="false">M$5*4_Normalizacion!M266</f>
        <v>0.000826234875930515</v>
      </c>
      <c r="N268" s="21" t="n">
        <f aca="false">N$5*4_Normalizacion!N266</f>
        <v>0.00607918426103344</v>
      </c>
      <c r="O268" s="21" t="n">
        <f aca="false">O$5*4_Normalizacion!O266</f>
        <v>0.00200587264654955</v>
      </c>
      <c r="P268" s="21" t="n">
        <f aca="false">P$5*4_Normalizacion!P266</f>
        <v>0.00135841219936972</v>
      </c>
      <c r="Q268" s="21" t="n">
        <f aca="false">Q$5*4_Normalizacion!Q266</f>
        <v>0.00285926571798898</v>
      </c>
    </row>
    <row r="269" customFormat="false" ht="15" hidden="false" customHeight="false" outlineLevel="0" collapsed="false">
      <c r="A269" s="15" t="n">
        <f aca="false">4_Normalizacion!A267</f>
        <v>262</v>
      </c>
      <c r="B269" s="16" t="n">
        <f aca="false">4_Normalizacion!B267</f>
        <v>26.446</v>
      </c>
      <c r="C269" s="21" t="n">
        <f aca="false">C$5*4_Normalizacion!C267</f>
        <v>0.00211491006743141</v>
      </c>
      <c r="D269" s="21" t="n">
        <f aca="false">D$5*4_Normalizacion!D267</f>
        <v>0.00016434498190068</v>
      </c>
      <c r="E269" s="21" t="n">
        <f aca="false">E$5*4_Normalizacion!E267</f>
        <v>0.00185693905364827</v>
      </c>
      <c r="F269" s="21" t="n">
        <f aca="false">F$5*4_Normalizacion!F267</f>
        <v>0.0020175467426038</v>
      </c>
      <c r="G269" s="21" t="n">
        <f aca="false">G$5*4_Normalizacion!G267</f>
        <v>0.000280339284607229</v>
      </c>
      <c r="H269" s="21" t="n">
        <f aca="false">H$5*4_Normalizacion!H267</f>
        <v>0.00509263768149227</v>
      </c>
      <c r="I269" s="21" t="n">
        <f aca="false">I$5*4_Normalizacion!I267</f>
        <v>0.00281086825420146</v>
      </c>
      <c r="J269" s="21" t="n">
        <f aca="false">J$5*4_Normalizacion!J267</f>
        <v>0.000255567041403239</v>
      </c>
      <c r="K269" s="21" t="n">
        <f aca="false">K$5*4_Normalizacion!K267</f>
        <v>3.90133374367575E-005</v>
      </c>
      <c r="L269" s="21" t="n">
        <f aca="false">L$5*4_Normalizacion!L267</f>
        <v>0.000683888800523924</v>
      </c>
      <c r="M269" s="21" t="n">
        <f aca="false">M$5*4_Normalizacion!M267</f>
        <v>0.000826234875930515</v>
      </c>
      <c r="N269" s="21" t="n">
        <f aca="false">N$5*4_Normalizacion!N267</f>
        <v>0.0075989803262918</v>
      </c>
      <c r="O269" s="21" t="n">
        <f aca="false">O$5*4_Normalizacion!O267</f>
        <v>0.00200587264654955</v>
      </c>
      <c r="P269" s="21" t="n">
        <f aca="false">P$5*4_Normalizacion!P267</f>
        <v>0.00135841219936972</v>
      </c>
      <c r="Q269" s="21" t="n">
        <f aca="false">Q$5*4_Normalizacion!Q267</f>
        <v>0.00285926571798898</v>
      </c>
    </row>
    <row r="270" customFormat="false" ht="15" hidden="false" customHeight="false" outlineLevel="0" collapsed="false">
      <c r="A270" s="15" t="n">
        <f aca="false">4_Normalizacion!A268</f>
        <v>263</v>
      </c>
      <c r="B270" s="16" t="n">
        <f aca="false">4_Normalizacion!B268</f>
        <v>26.545</v>
      </c>
      <c r="C270" s="21" t="n">
        <f aca="false">C$5*4_Normalizacion!C268</f>
        <v>0.00211491006743141</v>
      </c>
      <c r="D270" s="21" t="n">
        <f aca="false">D$5*4_Normalizacion!D268</f>
        <v>0.00016434498190068</v>
      </c>
      <c r="E270" s="21" t="n">
        <f aca="false">E$5*4_Normalizacion!E268</f>
        <v>0.00185693905364827</v>
      </c>
      <c r="F270" s="21" t="n">
        <f aca="false">F$5*4_Normalizacion!F268</f>
        <v>0.0020175467426038</v>
      </c>
      <c r="G270" s="21" t="n">
        <f aca="false">G$5*4_Normalizacion!G268</f>
        <v>0.000280339284607229</v>
      </c>
      <c r="H270" s="21" t="n">
        <f aca="false">H$5*4_Normalizacion!H268</f>
        <v>0.00509263768149227</v>
      </c>
      <c r="I270" s="21" t="n">
        <f aca="false">I$5*4_Normalizacion!I268</f>
        <v>0.00562173650840292</v>
      </c>
      <c r="J270" s="21" t="n">
        <f aca="false">J$5*4_Normalizacion!J268</f>
        <v>0.000255567041403239</v>
      </c>
      <c r="K270" s="21" t="n">
        <f aca="false">K$5*4_Normalizacion!K268</f>
        <v>3.90133374367575E-005</v>
      </c>
      <c r="L270" s="21" t="n">
        <f aca="false">L$5*4_Normalizacion!L268</f>
        <v>0.00139033991484813</v>
      </c>
      <c r="M270" s="21" t="n">
        <f aca="false">M$5*4_Normalizacion!M268</f>
        <v>0.000826234875930515</v>
      </c>
      <c r="N270" s="21" t="n">
        <f aca="false">N$5*4_Normalizacion!N268</f>
        <v>0.0075989803262918</v>
      </c>
      <c r="O270" s="21" t="n">
        <f aca="false">O$5*4_Normalizacion!O268</f>
        <v>0.00200587264654955</v>
      </c>
      <c r="P270" s="21" t="n">
        <f aca="false">P$5*4_Normalizacion!P268</f>
        <v>0.00135841219936972</v>
      </c>
      <c r="Q270" s="21" t="n">
        <f aca="false">Q$5*4_Normalizacion!Q268</f>
        <v>0.0114370628719559</v>
      </c>
    </row>
    <row r="271" customFormat="false" ht="15" hidden="false" customHeight="false" outlineLevel="0" collapsed="false">
      <c r="A271" s="15" t="n">
        <f aca="false">4_Normalizacion!A269</f>
        <v>264</v>
      </c>
      <c r="B271" s="16" t="n">
        <f aca="false">4_Normalizacion!B269</f>
        <v>26.644</v>
      </c>
      <c r="C271" s="21" t="n">
        <f aca="false">C$5*4_Normalizacion!C269</f>
        <v>0.00211491006743141</v>
      </c>
      <c r="D271" s="21" t="n">
        <f aca="false">D$5*4_Normalizacion!D269</f>
        <v>0.00016434498190068</v>
      </c>
      <c r="E271" s="21" t="n">
        <f aca="false">E$5*4_Normalizacion!E269</f>
        <v>0.00185693905364827</v>
      </c>
      <c r="F271" s="21" t="n">
        <f aca="false">F$5*4_Normalizacion!F269</f>
        <v>0.0020175467426038</v>
      </c>
      <c r="G271" s="21" t="n">
        <f aca="false">G$5*4_Normalizacion!G269</f>
        <v>0.000280339284607229</v>
      </c>
      <c r="H271" s="21" t="n">
        <f aca="false">H$5*4_Normalizacion!H269</f>
        <v>0.00509263768149227</v>
      </c>
      <c r="I271" s="21" t="n">
        <f aca="false">I$5*4_Normalizacion!I269</f>
        <v>0.00281086825420146</v>
      </c>
      <c r="J271" s="21" t="n">
        <f aca="false">J$5*4_Normalizacion!J269</f>
        <v>0.000255567041403239</v>
      </c>
      <c r="K271" s="21" t="n">
        <f aca="false">K$5*4_Normalizacion!K269</f>
        <v>3.90133374367575E-005</v>
      </c>
      <c r="L271" s="21" t="n">
        <f aca="false">L$5*4_Normalizacion!L269</f>
        <v>0.000931071482824727</v>
      </c>
      <c r="M271" s="21" t="n">
        <f aca="false">M$5*4_Normalizacion!M269</f>
        <v>0.000796490420397017</v>
      </c>
      <c r="N271" s="21" t="n">
        <f aca="false">N$5*4_Normalizacion!N269</f>
        <v>0.0075989803262918</v>
      </c>
      <c r="O271" s="21" t="n">
        <f aca="false">O$5*4_Normalizacion!O269</f>
        <v>0.00200587264654955</v>
      </c>
      <c r="P271" s="21" t="n">
        <f aca="false">P$5*4_Normalizacion!P269</f>
        <v>0.00135841219936972</v>
      </c>
      <c r="Q271" s="21" t="n">
        <f aca="false">Q$5*4_Normalizacion!Q269</f>
        <v>0.00285926571798898</v>
      </c>
    </row>
    <row r="272" customFormat="false" ht="15" hidden="false" customHeight="false" outlineLevel="0" collapsed="false">
      <c r="A272" s="15" t="n">
        <f aca="false">4_Normalizacion!A270</f>
        <v>265</v>
      </c>
      <c r="B272" s="16" t="n">
        <f aca="false">4_Normalizacion!B270</f>
        <v>26.743</v>
      </c>
      <c r="C272" s="21" t="n">
        <f aca="false">C$5*4_Normalizacion!C270</f>
        <v>0.00211491006743141</v>
      </c>
      <c r="D272" s="21" t="n">
        <f aca="false">D$5*4_Normalizacion!D270</f>
        <v>0.00016434498190068</v>
      </c>
      <c r="E272" s="21" t="n">
        <f aca="false">E$5*4_Normalizacion!E270</f>
        <v>0.00185693905364827</v>
      </c>
      <c r="F272" s="21" t="n">
        <f aca="false">F$5*4_Normalizacion!F270</f>
        <v>0.0020175467426038</v>
      </c>
      <c r="G272" s="21" t="n">
        <f aca="false">G$5*4_Normalizacion!G270</f>
        <v>0.000280339284607229</v>
      </c>
      <c r="H272" s="21" t="n">
        <f aca="false">H$5*4_Normalizacion!H270</f>
        <v>0.00509263768149227</v>
      </c>
      <c r="I272" s="21" t="n">
        <f aca="false">I$5*4_Normalizacion!I270</f>
        <v>0.00281086825420146</v>
      </c>
      <c r="J272" s="21" t="n">
        <f aca="false">J$5*4_Normalizacion!J270</f>
        <v>0.000255567041403239</v>
      </c>
      <c r="K272" s="21" t="n">
        <f aca="false">K$5*4_Normalizacion!K270</f>
        <v>3.90133374367575E-005</v>
      </c>
      <c r="L272" s="21" t="n">
        <f aca="false">L$5*4_Normalizacion!L270</f>
        <v>0.000721492656857718</v>
      </c>
      <c r="M272" s="21" t="n">
        <f aca="false">M$5*4_Normalizacion!M270</f>
        <v>0.000768191875896397</v>
      </c>
      <c r="N272" s="21" t="n">
        <f aca="false">N$5*4_Normalizacion!N270</f>
        <v>0.0075989803262918</v>
      </c>
      <c r="O272" s="21" t="n">
        <f aca="false">O$5*4_Normalizacion!O270</f>
        <v>0.00200587264654955</v>
      </c>
      <c r="P272" s="21" t="n">
        <f aca="false">P$5*4_Normalizacion!P270</f>
        <v>0.00135841219936972</v>
      </c>
      <c r="Q272" s="21" t="n">
        <f aca="false">Q$5*4_Normalizacion!Q270</f>
        <v>0.00285926571798898</v>
      </c>
    </row>
    <row r="273" customFormat="false" ht="15" hidden="false" customHeight="false" outlineLevel="0" collapsed="false">
      <c r="A273" s="15" t="n">
        <f aca="false">4_Normalizacion!A271</f>
        <v>266</v>
      </c>
      <c r="B273" s="16" t="n">
        <f aca="false">4_Normalizacion!B271</f>
        <v>26.84</v>
      </c>
      <c r="C273" s="21" t="n">
        <f aca="false">C$5*4_Normalizacion!C271</f>
        <v>0.00211491006743141</v>
      </c>
      <c r="D273" s="21" t="n">
        <f aca="false">D$5*4_Normalizacion!D271</f>
        <v>0.00016434498190068</v>
      </c>
      <c r="E273" s="21" t="n">
        <f aca="false">E$5*4_Normalizacion!E271</f>
        <v>0.00185693905364827</v>
      </c>
      <c r="F273" s="21" t="n">
        <f aca="false">F$5*4_Normalizacion!F271</f>
        <v>0.0020175467426038</v>
      </c>
      <c r="G273" s="21" t="n">
        <f aca="false">G$5*4_Normalizacion!G271</f>
        <v>0.000280339284607229</v>
      </c>
      <c r="H273" s="21" t="n">
        <f aca="false">H$5*4_Normalizacion!H271</f>
        <v>0.00509263768149227</v>
      </c>
      <c r="I273" s="21" t="n">
        <f aca="false">I$5*4_Normalizacion!I271</f>
        <v>0.00281086825420146</v>
      </c>
      <c r="J273" s="21" t="n">
        <f aca="false">J$5*4_Normalizacion!J271</f>
        <v>0.000255567041403239</v>
      </c>
      <c r="K273" s="21" t="n">
        <f aca="false">K$5*4_Normalizacion!K271</f>
        <v>3.90133374367575E-005</v>
      </c>
      <c r="L273" s="21" t="n">
        <f aca="false">L$5*4_Normalizacion!L271</f>
        <v>0.000798204523778657</v>
      </c>
      <c r="M273" s="21" t="n">
        <f aca="false">M$5*4_Normalizacion!M271</f>
        <v>0.000809916737130888</v>
      </c>
      <c r="N273" s="21" t="n">
        <f aca="false">N$5*4_Normalizacion!N271</f>
        <v>0.0075989803262918</v>
      </c>
      <c r="O273" s="21" t="n">
        <f aca="false">O$5*4_Normalizacion!O271</f>
        <v>0.00200587264654955</v>
      </c>
      <c r="P273" s="21" t="n">
        <f aca="false">P$5*4_Normalizacion!P271</f>
        <v>0.00135841219936972</v>
      </c>
      <c r="Q273" s="21" t="n">
        <f aca="false">Q$5*4_Normalizacion!Q271</f>
        <v>0.0142963285899449</v>
      </c>
    </row>
    <row r="274" customFormat="false" ht="15" hidden="false" customHeight="false" outlineLevel="0" collapsed="false">
      <c r="A274" s="15" t="n">
        <f aca="false">4_Normalizacion!A272</f>
        <v>267</v>
      </c>
      <c r="B274" s="16" t="n">
        <f aca="false">4_Normalizacion!B272</f>
        <v>26.936</v>
      </c>
      <c r="C274" s="21" t="n">
        <f aca="false">C$5*4_Normalizacion!C272</f>
        <v>0.00211491006743141</v>
      </c>
      <c r="D274" s="21" t="n">
        <f aca="false">D$5*4_Normalizacion!D272</f>
        <v>0.00016434498190068</v>
      </c>
      <c r="E274" s="21" t="n">
        <f aca="false">E$5*4_Normalizacion!E272</f>
        <v>0.00185693905364827</v>
      </c>
      <c r="F274" s="21" t="n">
        <f aca="false">F$5*4_Normalizacion!F272</f>
        <v>0.0020175467426038</v>
      </c>
      <c r="G274" s="21" t="n">
        <f aca="false">G$5*4_Normalizacion!G272</f>
        <v>0.000280339284607229</v>
      </c>
      <c r="H274" s="21" t="n">
        <f aca="false">H$5*4_Normalizacion!H272</f>
        <v>0.00509263768149227</v>
      </c>
      <c r="I274" s="21" t="n">
        <f aca="false">I$5*4_Normalizacion!I272</f>
        <v>0.00281086825420146</v>
      </c>
      <c r="J274" s="21" t="n">
        <f aca="false">J$5*4_Normalizacion!J272</f>
        <v>0.000255567041403239</v>
      </c>
      <c r="K274" s="21" t="n">
        <f aca="false">K$5*4_Normalizacion!K272</f>
        <v>3.90133374367575E-005</v>
      </c>
      <c r="L274" s="21" t="n">
        <f aca="false">L$5*4_Normalizacion!L272</f>
        <v>0.00125045356928641</v>
      </c>
      <c r="M274" s="21" t="n">
        <f aca="false">M$5*4_Normalizacion!M272</f>
        <v>0.000767572199739449</v>
      </c>
      <c r="N274" s="21" t="n">
        <f aca="false">N$5*4_Normalizacion!N272</f>
        <v>0.0075989803262918</v>
      </c>
      <c r="O274" s="21" t="n">
        <f aca="false">O$5*4_Normalizacion!O272</f>
        <v>0.00200587264654955</v>
      </c>
      <c r="P274" s="21" t="n">
        <f aca="false">P$5*4_Normalizacion!P272</f>
        <v>0.00135841219936972</v>
      </c>
      <c r="Q274" s="21" t="n">
        <f aca="false">Q$5*4_Normalizacion!Q272</f>
        <v>0.00285926571798898</v>
      </c>
    </row>
    <row r="275" customFormat="false" ht="15" hidden="false" customHeight="false" outlineLevel="0" collapsed="false">
      <c r="A275" s="15" t="n">
        <f aca="false">4_Normalizacion!A273</f>
        <v>268</v>
      </c>
      <c r="B275" s="16" t="n">
        <f aca="false">4_Normalizacion!B273</f>
        <v>27.031</v>
      </c>
      <c r="C275" s="21" t="n">
        <f aca="false">C$5*4_Normalizacion!C273</f>
        <v>0.00211491006743141</v>
      </c>
      <c r="D275" s="21" t="n">
        <f aca="false">D$5*4_Normalizacion!D273</f>
        <v>0.00016434498190068</v>
      </c>
      <c r="E275" s="21" t="n">
        <f aca="false">E$5*4_Normalizacion!E273</f>
        <v>0.00185693905364827</v>
      </c>
      <c r="F275" s="21" t="n">
        <f aca="false">F$5*4_Normalizacion!F273</f>
        <v>0.0020175467426038</v>
      </c>
      <c r="G275" s="21" t="n">
        <f aca="false">G$5*4_Normalizacion!G273</f>
        <v>0.000280339284607229</v>
      </c>
      <c r="H275" s="21" t="n">
        <f aca="false">H$5*4_Normalizacion!H273</f>
        <v>0.00509263768149227</v>
      </c>
      <c r="I275" s="21" t="n">
        <f aca="false">I$5*4_Normalizacion!I273</f>
        <v>0.00281086825420146</v>
      </c>
      <c r="J275" s="21" t="n">
        <f aca="false">J$5*4_Normalizacion!J273</f>
        <v>0.000255567041403239</v>
      </c>
      <c r="K275" s="21" t="n">
        <f aca="false">K$5*4_Normalizacion!K273</f>
        <v>3.90133374367575E-005</v>
      </c>
      <c r="L275" s="21" t="n">
        <f aca="false">L$5*4_Normalizacion!L273</f>
        <v>0.00102382766178142</v>
      </c>
      <c r="M275" s="21" t="n">
        <f aca="false">M$5*4_Normalizacion!M273</f>
        <v>0.000817559409733245</v>
      </c>
      <c r="N275" s="21" t="n">
        <f aca="false">N$5*4_Normalizacion!N273</f>
        <v>0.0075989803262918</v>
      </c>
      <c r="O275" s="21" t="n">
        <f aca="false">O$5*4_Normalizacion!O273</f>
        <v>0.00200587264654955</v>
      </c>
      <c r="P275" s="21" t="n">
        <f aca="false">P$5*4_Normalizacion!P273</f>
        <v>0.00135841219936972</v>
      </c>
      <c r="Q275" s="21" t="n">
        <f aca="false">Q$5*4_Normalizacion!Q273</f>
        <v>0.0142963285899449</v>
      </c>
    </row>
    <row r="276" customFormat="false" ht="15" hidden="false" customHeight="false" outlineLevel="0" collapsed="false">
      <c r="A276" s="15" t="n">
        <f aca="false">4_Normalizacion!A274</f>
        <v>269</v>
      </c>
      <c r="B276" s="16" t="n">
        <f aca="false">4_Normalizacion!B274</f>
        <v>27.124</v>
      </c>
      <c r="C276" s="21" t="n">
        <f aca="false">C$5*4_Normalizacion!C274</f>
        <v>0.00211491006743141</v>
      </c>
      <c r="D276" s="21" t="n">
        <f aca="false">D$5*4_Normalizacion!D274</f>
        <v>0.00016434498190068</v>
      </c>
      <c r="E276" s="21" t="n">
        <f aca="false">E$5*4_Normalizacion!E274</f>
        <v>0.00185693905364827</v>
      </c>
      <c r="F276" s="21" t="n">
        <f aca="false">F$5*4_Normalizacion!F274</f>
        <v>0.0020175467426038</v>
      </c>
      <c r="G276" s="21" t="n">
        <f aca="false">G$5*4_Normalizacion!G274</f>
        <v>0.000280339284607229</v>
      </c>
      <c r="H276" s="21" t="n">
        <f aca="false">H$5*4_Normalizacion!H274</f>
        <v>0.00509263768149227</v>
      </c>
      <c r="I276" s="21" t="n">
        <f aca="false">I$5*4_Normalizacion!I274</f>
        <v>0.00281086825420146</v>
      </c>
      <c r="J276" s="21" t="n">
        <f aca="false">J$5*4_Normalizacion!J274</f>
        <v>0.000255567041403239</v>
      </c>
      <c r="K276" s="21" t="n">
        <f aca="false">K$5*4_Normalizacion!K274</f>
        <v>3.90133374367575E-005</v>
      </c>
      <c r="L276" s="21" t="n">
        <f aca="false">L$5*4_Normalizacion!L274</f>
        <v>0.00131362804792719</v>
      </c>
      <c r="M276" s="21" t="n">
        <f aca="false">M$5*4_Normalizacion!M274</f>
        <v>0.000760549203294039</v>
      </c>
      <c r="N276" s="21" t="n">
        <f aca="false">N$5*4_Normalizacion!N274</f>
        <v>0.0075989803262918</v>
      </c>
      <c r="O276" s="21" t="n">
        <f aca="false">O$5*4_Normalizacion!O274</f>
        <v>0.00200587264654955</v>
      </c>
      <c r="P276" s="21" t="n">
        <f aca="false">P$5*4_Normalizacion!P274</f>
        <v>0.00135841219936972</v>
      </c>
      <c r="Q276" s="21" t="n">
        <f aca="false">Q$5*4_Normalizacion!Q274</f>
        <v>0.00285926571798898</v>
      </c>
    </row>
    <row r="277" customFormat="false" ht="15" hidden="false" customHeight="false" outlineLevel="0" collapsed="false">
      <c r="A277" s="15" t="n">
        <f aca="false">4_Normalizacion!A275</f>
        <v>270</v>
      </c>
      <c r="B277" s="16" t="n">
        <f aca="false">4_Normalizacion!B275</f>
        <v>27.218</v>
      </c>
      <c r="C277" s="21" t="n">
        <f aca="false">C$5*4_Normalizacion!C275</f>
        <v>0.00211491006743141</v>
      </c>
      <c r="D277" s="21" t="n">
        <f aca="false">D$5*4_Normalizacion!D275</f>
        <v>0.00016434498190068</v>
      </c>
      <c r="E277" s="21" t="n">
        <f aca="false">E$5*4_Normalizacion!E275</f>
        <v>0.00185693905364827</v>
      </c>
      <c r="F277" s="21" t="n">
        <f aca="false">F$5*4_Normalizacion!F275</f>
        <v>0.0020175467426038</v>
      </c>
      <c r="G277" s="21" t="n">
        <f aca="false">G$5*4_Normalizacion!G275</f>
        <v>0.000280339284607229</v>
      </c>
      <c r="H277" s="21" t="n">
        <f aca="false">H$5*4_Normalizacion!H275</f>
        <v>0.00509263768149227</v>
      </c>
      <c r="I277" s="21" t="n">
        <f aca="false">I$5*4_Normalizacion!I275</f>
        <v>0.00562173650840292</v>
      </c>
      <c r="J277" s="21" t="n">
        <f aca="false">J$5*4_Normalizacion!J275</f>
        <v>0.000255567041403239</v>
      </c>
      <c r="K277" s="21" t="n">
        <f aca="false">K$5*4_Normalizacion!K275</f>
        <v>3.90133374367575E-005</v>
      </c>
      <c r="L277" s="21" t="n">
        <f aca="false">L$5*4_Normalizacion!L275</f>
        <v>0.00131463081742942</v>
      </c>
      <c r="M277" s="21" t="n">
        <f aca="false">M$5*4_Normalizacion!M275</f>
        <v>0.000698581587599251</v>
      </c>
      <c r="N277" s="21" t="n">
        <f aca="false">N$5*4_Normalizacion!N275</f>
        <v>0.0075989803262918</v>
      </c>
      <c r="O277" s="21" t="n">
        <f aca="false">O$5*4_Normalizacion!O275</f>
        <v>0.00200587264654955</v>
      </c>
      <c r="P277" s="21" t="n">
        <f aca="false">P$5*4_Normalizacion!P275</f>
        <v>0.00135841219936972</v>
      </c>
      <c r="Q277" s="21" t="n">
        <f aca="false">Q$5*4_Normalizacion!Q275</f>
        <v>0.0114370628719559</v>
      </c>
    </row>
    <row r="278" customFormat="false" ht="15" hidden="false" customHeight="false" outlineLevel="0" collapsed="false">
      <c r="A278" s="15" t="n">
        <f aca="false">4_Normalizacion!A276</f>
        <v>271</v>
      </c>
      <c r="B278" s="16" t="n">
        <f aca="false">4_Normalizacion!B276</f>
        <v>27.311</v>
      </c>
      <c r="C278" s="21" t="n">
        <f aca="false">C$5*4_Normalizacion!C276</f>
        <v>0.00211491006743141</v>
      </c>
      <c r="D278" s="21" t="n">
        <f aca="false">D$5*4_Normalizacion!D276</f>
        <v>0.00016434498190068</v>
      </c>
      <c r="E278" s="21" t="n">
        <f aca="false">E$5*4_Normalizacion!E276</f>
        <v>0.00185693905364827</v>
      </c>
      <c r="F278" s="21" t="n">
        <f aca="false">F$5*4_Normalizacion!F276</f>
        <v>0.0020175467426038</v>
      </c>
      <c r="G278" s="21" t="n">
        <f aca="false">G$5*4_Normalizacion!G276</f>
        <v>0.000280339284607229</v>
      </c>
      <c r="H278" s="21" t="n">
        <f aca="false">H$5*4_Normalizacion!H276</f>
        <v>0.00509263768149227</v>
      </c>
      <c r="I278" s="21" t="n">
        <f aca="false">I$5*4_Normalizacion!I276</f>
        <v>0.00562173650840292</v>
      </c>
      <c r="J278" s="21" t="n">
        <f aca="false">J$5*4_Normalizacion!J276</f>
        <v>0.000255567041403239</v>
      </c>
      <c r="K278" s="21" t="n">
        <f aca="false">K$5*4_Normalizacion!K276</f>
        <v>3.90133374367575E-005</v>
      </c>
      <c r="L278" s="21" t="n">
        <f aca="false">L$5*4_Normalizacion!L276</f>
        <v>0.00124343418277077</v>
      </c>
      <c r="M278" s="21" t="n">
        <f aca="false">M$5*4_Normalizacion!M276</f>
        <v>0.00068907988652605</v>
      </c>
      <c r="N278" s="21" t="n">
        <f aca="false">N$5*4_Normalizacion!N276</f>
        <v>0.0075989803262918</v>
      </c>
      <c r="O278" s="21" t="n">
        <f aca="false">O$5*4_Normalizacion!O276</f>
        <v>0.00200587264654955</v>
      </c>
      <c r="P278" s="21" t="n">
        <f aca="false">P$5*4_Normalizacion!P276</f>
        <v>0.00135841219936972</v>
      </c>
      <c r="Q278" s="21" t="n">
        <f aca="false">Q$5*4_Normalizacion!Q276</f>
        <v>0.00571853143597797</v>
      </c>
    </row>
    <row r="279" customFormat="false" ht="15" hidden="false" customHeight="false" outlineLevel="0" collapsed="false">
      <c r="A279" s="15" t="n">
        <f aca="false">4_Normalizacion!A277</f>
        <v>272</v>
      </c>
      <c r="B279" s="16" t="n">
        <f aca="false">4_Normalizacion!B277</f>
        <v>27.404</v>
      </c>
      <c r="C279" s="21" t="n">
        <f aca="false">C$5*4_Normalizacion!C277</f>
        <v>0.00211491006743141</v>
      </c>
      <c r="D279" s="21" t="n">
        <f aca="false">D$5*4_Normalizacion!D277</f>
        <v>0.00016434498190068</v>
      </c>
      <c r="E279" s="21" t="n">
        <f aca="false">E$5*4_Normalizacion!E277</f>
        <v>0.00185693905364827</v>
      </c>
      <c r="F279" s="21" t="n">
        <f aca="false">F$5*4_Normalizacion!F277</f>
        <v>0.0020175467426038</v>
      </c>
      <c r="G279" s="21" t="n">
        <f aca="false">G$5*4_Normalizacion!G277</f>
        <v>0.000280339284607229</v>
      </c>
      <c r="H279" s="21" t="n">
        <f aca="false">H$5*4_Normalizacion!H277</f>
        <v>0.00509263768149227</v>
      </c>
      <c r="I279" s="21" t="n">
        <f aca="false">I$5*4_Normalizacion!I277</f>
        <v>0.00843260476260438</v>
      </c>
      <c r="J279" s="21" t="n">
        <f aca="false">J$5*4_Normalizacion!J277</f>
        <v>0.000255567041403239</v>
      </c>
      <c r="K279" s="21" t="n">
        <f aca="false">K$5*4_Normalizacion!K277</f>
        <v>3.90133374367575E-005</v>
      </c>
      <c r="L279" s="21" t="n">
        <f aca="false">L$5*4_Normalizacion!L277</f>
        <v>0.000735531429889001</v>
      </c>
      <c r="M279" s="21" t="n">
        <f aca="false">M$5*4_Normalizacion!M277</f>
        <v>0.000748981915031012</v>
      </c>
      <c r="N279" s="21" t="n">
        <f aca="false">N$5*4_Normalizacion!N277</f>
        <v>0.0075989803262918</v>
      </c>
      <c r="O279" s="21" t="n">
        <f aca="false">O$5*4_Normalizacion!O277</f>
        <v>0.00200587264654955</v>
      </c>
      <c r="P279" s="21" t="n">
        <f aca="false">P$5*4_Normalizacion!P277</f>
        <v>0.00135841219936972</v>
      </c>
      <c r="Q279" s="21" t="n">
        <f aca="false">Q$5*4_Normalizacion!Q277</f>
        <v>0.00285926571798898</v>
      </c>
    </row>
    <row r="280" customFormat="false" ht="15" hidden="false" customHeight="false" outlineLevel="0" collapsed="false">
      <c r="A280" s="15" t="n">
        <f aca="false">4_Normalizacion!A278</f>
        <v>273</v>
      </c>
      <c r="B280" s="16" t="n">
        <f aca="false">4_Normalizacion!B278</f>
        <v>27.498</v>
      </c>
      <c r="C280" s="21" t="n">
        <f aca="false">C$5*4_Normalizacion!C278</f>
        <v>0.00211491006743141</v>
      </c>
      <c r="D280" s="21" t="n">
        <f aca="false">D$5*4_Normalizacion!D278</f>
        <v>0.00016434498190068</v>
      </c>
      <c r="E280" s="21" t="n">
        <f aca="false">E$5*4_Normalizacion!E278</f>
        <v>0.00185693905364827</v>
      </c>
      <c r="F280" s="21" t="n">
        <f aca="false">F$5*4_Normalizacion!F278</f>
        <v>0.0020175467426038</v>
      </c>
      <c r="G280" s="21" t="n">
        <f aca="false">G$5*4_Normalizacion!G278</f>
        <v>0.000280339284607229</v>
      </c>
      <c r="H280" s="21" t="n">
        <f aca="false">H$5*4_Normalizacion!H278</f>
        <v>0.00509263768149227</v>
      </c>
      <c r="I280" s="21" t="n">
        <f aca="false">I$5*4_Normalizacion!I278</f>
        <v>0.00843260476260438</v>
      </c>
      <c r="J280" s="21" t="n">
        <f aca="false">J$5*4_Normalizacion!J278</f>
        <v>0.000255567041403239</v>
      </c>
      <c r="K280" s="21" t="n">
        <f aca="false">K$5*4_Normalizacion!K278</f>
        <v>3.90133374367575E-005</v>
      </c>
      <c r="L280" s="21" t="n">
        <f aca="false">L$5*4_Normalizacion!L278</f>
        <v>0.000730016197626711</v>
      </c>
      <c r="M280" s="21" t="n">
        <f aca="false">M$5*4_Normalizacion!M278</f>
        <v>0.000736175274454089</v>
      </c>
      <c r="N280" s="21" t="n">
        <f aca="false">N$5*4_Normalizacion!N278</f>
        <v>0.0075989803262918</v>
      </c>
      <c r="O280" s="21" t="n">
        <f aca="false">O$5*4_Normalizacion!O278</f>
        <v>0.00200587264654955</v>
      </c>
      <c r="P280" s="21" t="n">
        <f aca="false">P$5*4_Normalizacion!P278</f>
        <v>0.00135841219936972</v>
      </c>
      <c r="Q280" s="21" t="n">
        <f aca="false">Q$5*4_Normalizacion!Q278</f>
        <v>0.00285926571798898</v>
      </c>
    </row>
    <row r="281" customFormat="false" ht="15" hidden="false" customHeight="false" outlineLevel="0" collapsed="false">
      <c r="A281" s="15" t="n">
        <f aca="false">4_Normalizacion!A279</f>
        <v>274</v>
      </c>
      <c r="B281" s="16" t="n">
        <f aca="false">4_Normalizacion!B279</f>
        <v>27.593</v>
      </c>
      <c r="C281" s="21" t="n">
        <f aca="false">C$5*4_Normalizacion!C279</f>
        <v>0.00211491006743141</v>
      </c>
      <c r="D281" s="21" t="n">
        <f aca="false">D$5*4_Normalizacion!D279</f>
        <v>0.00016434498190068</v>
      </c>
      <c r="E281" s="21" t="n">
        <f aca="false">E$5*4_Normalizacion!E279</f>
        <v>0.00232117381706033</v>
      </c>
      <c r="F281" s="21" t="n">
        <f aca="false">F$5*4_Normalizacion!F279</f>
        <v>0.00161403739408304</v>
      </c>
      <c r="G281" s="21" t="n">
        <f aca="false">G$5*4_Normalizacion!G279</f>
        <v>0.000280339284607229</v>
      </c>
      <c r="H281" s="21" t="n">
        <f aca="false">H$5*4_Normalizacion!H279</f>
        <v>0.00509263768149227</v>
      </c>
      <c r="I281" s="21" t="n">
        <f aca="false">I$5*4_Normalizacion!I279</f>
        <v>0.0112434730168058</v>
      </c>
      <c r="J281" s="21" t="n">
        <f aca="false">J$5*4_Normalizacion!J279</f>
        <v>0.000255567041403239</v>
      </c>
      <c r="K281" s="21" t="n">
        <f aca="false">K$5*4_Normalizacion!K279</f>
        <v>3.90133374367575E-005</v>
      </c>
      <c r="L281" s="21" t="n">
        <f aca="false">L$5*4_Normalizacion!L279</f>
        <v>0.000820766837578933</v>
      </c>
      <c r="M281" s="21" t="n">
        <f aca="false">M$5*4_Normalizacion!M279</f>
        <v>0.000697548794004338</v>
      </c>
      <c r="N281" s="21" t="n">
        <f aca="false">N$5*4_Normalizacion!N279</f>
        <v>0.0075989803262918</v>
      </c>
      <c r="O281" s="21" t="n">
        <f aca="false">O$5*4_Normalizacion!O279</f>
        <v>0.00200587264654955</v>
      </c>
      <c r="P281" s="21" t="n">
        <f aca="false">P$5*4_Normalizacion!P279</f>
        <v>0.00135841219936972</v>
      </c>
      <c r="Q281" s="21" t="n">
        <f aca="false">Q$5*4_Normalizacion!Q279</f>
        <v>0.00285926571798898</v>
      </c>
    </row>
    <row r="282" customFormat="false" ht="15" hidden="false" customHeight="false" outlineLevel="0" collapsed="false">
      <c r="A282" s="15" t="n">
        <f aca="false">4_Normalizacion!A280</f>
        <v>275</v>
      </c>
      <c r="B282" s="16" t="n">
        <f aca="false">4_Normalizacion!B280</f>
        <v>27.691</v>
      </c>
      <c r="C282" s="21" t="n">
        <f aca="false">C$5*4_Normalizacion!C280</f>
        <v>0.00211491006743141</v>
      </c>
      <c r="D282" s="21" t="n">
        <f aca="false">D$5*4_Normalizacion!D280</f>
        <v>0.00016434498190068</v>
      </c>
      <c r="E282" s="21" t="n">
        <f aca="false">E$5*4_Normalizacion!E280</f>
        <v>0.00232117381706033</v>
      </c>
      <c r="F282" s="21" t="n">
        <f aca="false">F$5*4_Normalizacion!F280</f>
        <v>0.00121052804556228</v>
      </c>
      <c r="G282" s="21" t="n">
        <f aca="false">G$5*4_Normalizacion!G280</f>
        <v>0.000280339284607229</v>
      </c>
      <c r="H282" s="21" t="n">
        <f aca="false">H$5*4_Normalizacion!H280</f>
        <v>0.00509263768149227</v>
      </c>
      <c r="I282" s="21" t="n">
        <f aca="false">I$5*4_Normalizacion!I280</f>
        <v>0.0112434730168058</v>
      </c>
      <c r="J282" s="21" t="n">
        <f aca="false">J$5*4_Normalizacion!J280</f>
        <v>0.000255567041403239</v>
      </c>
      <c r="K282" s="21" t="n">
        <f aca="false">K$5*4_Normalizacion!K280</f>
        <v>3.90133374367575E-005</v>
      </c>
      <c r="L282" s="21" t="n">
        <f aca="false">L$5*4_Normalizacion!L280</f>
        <v>0.000629739247403262</v>
      </c>
      <c r="M282" s="21" t="n">
        <f aca="false">M$5*4_Normalizacion!M280</f>
        <v>0.000702299644540938</v>
      </c>
      <c r="N282" s="21" t="n">
        <f aca="false">N$5*4_Normalizacion!N280</f>
        <v>0.0075989803262918</v>
      </c>
      <c r="O282" s="21" t="n">
        <f aca="false">O$5*4_Normalizacion!O280</f>
        <v>0.00200587264654955</v>
      </c>
      <c r="P282" s="21" t="n">
        <f aca="false">P$5*4_Normalizacion!P280</f>
        <v>0.00135841219936972</v>
      </c>
      <c r="Q282" s="21" t="n">
        <f aca="false">Q$5*4_Normalizacion!Q280</f>
        <v>0.00285926571798898</v>
      </c>
    </row>
    <row r="283" customFormat="false" ht="15" hidden="false" customHeight="false" outlineLevel="0" collapsed="false">
      <c r="A283" s="15" t="n">
        <f aca="false">4_Normalizacion!A281</f>
        <v>276</v>
      </c>
      <c r="B283" s="16" t="n">
        <f aca="false">4_Normalizacion!B281</f>
        <v>27.791</v>
      </c>
      <c r="C283" s="21" t="n">
        <f aca="false">C$5*4_Normalizacion!C281</f>
        <v>0.00211491006743141</v>
      </c>
      <c r="D283" s="21" t="n">
        <f aca="false">D$5*4_Normalizacion!D281</f>
        <v>0.00016434498190068</v>
      </c>
      <c r="E283" s="21" t="n">
        <f aca="false">E$5*4_Normalizacion!E281</f>
        <v>0.00232117381706033</v>
      </c>
      <c r="F283" s="21" t="n">
        <f aca="false">F$5*4_Normalizacion!F281</f>
        <v>0.00040350934852076</v>
      </c>
      <c r="G283" s="21" t="n">
        <f aca="false">G$5*4_Normalizacion!G281</f>
        <v>0.000280339284607229</v>
      </c>
      <c r="H283" s="21" t="n">
        <f aca="false">H$5*4_Normalizacion!H281</f>
        <v>0.00509263768149227</v>
      </c>
      <c r="I283" s="21" t="n">
        <f aca="false">I$5*4_Normalizacion!I281</f>
        <v>0.0140543412710073</v>
      </c>
      <c r="J283" s="21" t="n">
        <f aca="false">J$5*4_Normalizacion!J281</f>
        <v>0.000255567041403239</v>
      </c>
      <c r="K283" s="21" t="n">
        <f aca="false">K$5*4_Normalizacion!K281</f>
        <v>3.90133374367575E-005</v>
      </c>
      <c r="L283" s="21" t="n">
        <f aca="false">L$5*4_Normalizacion!L281</f>
        <v>0.000891963472237582</v>
      </c>
      <c r="M283" s="21" t="n">
        <f aca="false">M$5*4_Normalizacion!M281</f>
        <v>0.000785955925728903</v>
      </c>
      <c r="N283" s="21" t="n">
        <f aca="false">N$5*4_Normalizacion!N281</f>
        <v>0.0075989803262918</v>
      </c>
      <c r="O283" s="21" t="n">
        <f aca="false">O$5*4_Normalizacion!O281</f>
        <v>0.00200587264654955</v>
      </c>
      <c r="P283" s="21" t="n">
        <f aca="false">P$5*4_Normalizacion!P281</f>
        <v>0.00135841219936972</v>
      </c>
      <c r="Q283" s="21" t="n">
        <f aca="false">Q$5*4_Normalizacion!Q281</f>
        <v>0.00285926571798898</v>
      </c>
    </row>
    <row r="284" customFormat="false" ht="15" hidden="false" customHeight="false" outlineLevel="0" collapsed="false">
      <c r="A284" s="15" t="n">
        <f aca="false">4_Normalizacion!A282</f>
        <v>277</v>
      </c>
      <c r="B284" s="16" t="n">
        <f aca="false">4_Normalizacion!B282</f>
        <v>27.894</v>
      </c>
      <c r="C284" s="21" t="n">
        <f aca="false">C$5*4_Normalizacion!C282</f>
        <v>0.00211491006743141</v>
      </c>
      <c r="D284" s="21" t="n">
        <f aca="false">D$5*4_Normalizacion!D282</f>
        <v>0.00016434498190068</v>
      </c>
      <c r="E284" s="21" t="n">
        <f aca="false">E$5*4_Normalizacion!E282</f>
        <v>0.00232117381706033</v>
      </c>
      <c r="F284" s="21" t="n">
        <f aca="false">F$5*4_Normalizacion!F282</f>
        <v>0.00161403739408304</v>
      </c>
      <c r="G284" s="21" t="n">
        <f aca="false">G$5*4_Normalizacion!G282</f>
        <v>0.000280339284607229</v>
      </c>
      <c r="H284" s="21" t="n">
        <f aca="false">H$5*4_Normalizacion!H282</f>
        <v>0.00509263768149227</v>
      </c>
      <c r="I284" s="21" t="n">
        <f aca="false">I$5*4_Normalizacion!I282</f>
        <v>0.0140543412710073</v>
      </c>
      <c r="J284" s="21" t="n">
        <f aca="false">J$5*4_Normalizacion!J282</f>
        <v>0.000255567041403239</v>
      </c>
      <c r="K284" s="21" t="n">
        <f aca="false">K$5*4_Normalizacion!K282</f>
        <v>3.90133374367575E-005</v>
      </c>
      <c r="L284" s="21" t="n">
        <f aca="false">L$5*4_Normalizacion!L282</f>
        <v>0.000866894234681719</v>
      </c>
      <c r="M284" s="21" t="n">
        <f aca="false">M$5*4_Normalizacion!M282</f>
        <v>0.000826234875930515</v>
      </c>
      <c r="N284" s="21" t="n">
        <f aca="false">N$5*4_Normalizacion!N282</f>
        <v>0.0075989803262918</v>
      </c>
      <c r="O284" s="21" t="n">
        <f aca="false">O$5*4_Normalizacion!O282</f>
        <v>0.00200587264654955</v>
      </c>
      <c r="P284" s="21" t="n">
        <f aca="false">P$5*4_Normalizacion!P282</f>
        <v>0.00135841219936972</v>
      </c>
      <c r="Q284" s="21" t="n">
        <f aca="false">Q$5*4_Normalizacion!Q282</f>
        <v>0.00285926571798898</v>
      </c>
    </row>
    <row r="285" customFormat="false" ht="15" hidden="false" customHeight="false" outlineLevel="0" collapsed="false">
      <c r="A285" s="15" t="n">
        <f aca="false">4_Normalizacion!A283</f>
        <v>278</v>
      </c>
      <c r="B285" s="16" t="n">
        <f aca="false">4_Normalizacion!B283</f>
        <v>27.999</v>
      </c>
      <c r="C285" s="21" t="n">
        <f aca="false">C$5*4_Normalizacion!C283</f>
        <v>0.00211491006743141</v>
      </c>
      <c r="D285" s="21" t="n">
        <f aca="false">D$5*4_Normalizacion!D283</f>
        <v>0.00016434498190068</v>
      </c>
      <c r="E285" s="21" t="n">
        <f aca="false">E$5*4_Normalizacion!E283</f>
        <v>0.00232117381706033</v>
      </c>
      <c r="F285" s="21" t="n">
        <f aca="false">F$5*4_Normalizacion!F283</f>
        <v>0.00161403739408304</v>
      </c>
      <c r="G285" s="21" t="n">
        <f aca="false">G$5*4_Normalizacion!G283</f>
        <v>0.000280339284607229</v>
      </c>
      <c r="H285" s="21" t="n">
        <f aca="false">H$5*4_Normalizacion!H283</f>
        <v>0.00509263768149227</v>
      </c>
      <c r="I285" s="21" t="n">
        <f aca="false">I$5*4_Normalizacion!I283</f>
        <v>0.00843260476260438</v>
      </c>
      <c r="J285" s="21" t="n">
        <f aca="false">J$5*4_Normalizacion!J283</f>
        <v>0.000255567041403239</v>
      </c>
      <c r="K285" s="21" t="n">
        <f aca="false">K$5*4_Normalizacion!K283</f>
        <v>3.90133374367575E-005</v>
      </c>
      <c r="L285" s="21" t="n">
        <f aca="false">L$5*4_Normalizacion!L283</f>
        <v>0.000700434497310794</v>
      </c>
      <c r="M285" s="21" t="n">
        <f aca="false">M$5*4_Normalizacion!M283</f>
        <v>0.000819624996923071</v>
      </c>
      <c r="N285" s="21" t="n">
        <f aca="false">N$5*4_Normalizacion!N283</f>
        <v>0.0075989803262918</v>
      </c>
      <c r="O285" s="21" t="n">
        <f aca="false">O$5*4_Normalizacion!O283</f>
        <v>0.00200587264654955</v>
      </c>
      <c r="P285" s="21" t="n">
        <f aca="false">P$5*4_Normalizacion!P283</f>
        <v>0.00135841219936972</v>
      </c>
      <c r="Q285" s="21" t="n">
        <f aca="false">Q$5*4_Normalizacion!Q283</f>
        <v>0.00285926571798898</v>
      </c>
    </row>
    <row r="286" customFormat="false" ht="15" hidden="false" customHeight="false" outlineLevel="0" collapsed="false">
      <c r="A286" s="15" t="n">
        <f aca="false">4_Normalizacion!A284</f>
        <v>279</v>
      </c>
      <c r="B286" s="16" t="n">
        <f aca="false">4_Normalizacion!B284</f>
        <v>28.108</v>
      </c>
      <c r="C286" s="21" t="n">
        <f aca="false">C$5*4_Normalizacion!C284</f>
        <v>0.00211491006743141</v>
      </c>
      <c r="D286" s="21" t="n">
        <f aca="false">D$5*4_Normalizacion!D284</f>
        <v>0.00016434498190068</v>
      </c>
      <c r="E286" s="21" t="n">
        <f aca="false">E$5*4_Normalizacion!E284</f>
        <v>0.00185693905364827</v>
      </c>
      <c r="F286" s="21" t="n">
        <f aca="false">F$5*4_Normalizacion!F284</f>
        <v>0.00121052804556228</v>
      </c>
      <c r="G286" s="21" t="n">
        <f aca="false">G$5*4_Normalizacion!G284</f>
        <v>0.000280339284607229</v>
      </c>
      <c r="H286" s="21" t="n">
        <f aca="false">H$5*4_Normalizacion!H284</f>
        <v>0.00509263768149227</v>
      </c>
      <c r="I286" s="21" t="n">
        <f aca="false">I$5*4_Normalizacion!I284</f>
        <v>0.00562173650840292</v>
      </c>
      <c r="J286" s="21" t="n">
        <f aca="false">J$5*4_Normalizacion!J284</f>
        <v>0.000255567041403239</v>
      </c>
      <c r="K286" s="21" t="n">
        <f aca="false">K$5*4_Normalizacion!K284</f>
        <v>3.90133374367575E-005</v>
      </c>
      <c r="L286" s="21" t="n">
        <f aca="false">L$5*4_Normalizacion!L284</f>
        <v>0.000742049431653525</v>
      </c>
      <c r="M286" s="21" t="n">
        <f aca="false">M$5*4_Normalizacion!M284</f>
        <v>0.000797936331429895</v>
      </c>
      <c r="N286" s="21" t="n">
        <f aca="false">N$5*4_Normalizacion!N284</f>
        <v>0.0075989803262918</v>
      </c>
      <c r="O286" s="21" t="n">
        <f aca="false">O$5*4_Normalizacion!O284</f>
        <v>0.00200587264654955</v>
      </c>
      <c r="P286" s="21" t="n">
        <f aca="false">P$5*4_Normalizacion!P284</f>
        <v>0.00135841219936972</v>
      </c>
      <c r="Q286" s="21" t="n">
        <f aca="false">Q$5*4_Normalizacion!Q284</f>
        <v>0.00285926571798898</v>
      </c>
    </row>
    <row r="287" customFormat="false" ht="15" hidden="false" customHeight="false" outlineLevel="0" collapsed="false">
      <c r="A287" s="15" t="n">
        <f aca="false">4_Normalizacion!A285</f>
        <v>280</v>
      </c>
      <c r="B287" s="16" t="n">
        <f aca="false">4_Normalizacion!B285</f>
        <v>28.219</v>
      </c>
      <c r="C287" s="21" t="n">
        <f aca="false">C$5*4_Normalizacion!C285</f>
        <v>0.00211491006743141</v>
      </c>
      <c r="D287" s="21" t="n">
        <f aca="false">D$5*4_Normalizacion!D285</f>
        <v>0.00016434498190068</v>
      </c>
      <c r="E287" s="21" t="n">
        <f aca="false">E$5*4_Normalizacion!E285</f>
        <v>0.00185693905364827</v>
      </c>
      <c r="F287" s="21" t="n">
        <f aca="false">F$5*4_Normalizacion!F285</f>
        <v>0.00161403739408304</v>
      </c>
      <c r="G287" s="21" t="n">
        <f aca="false">G$5*4_Normalizacion!G285</f>
        <v>0.000280339284607229</v>
      </c>
      <c r="H287" s="21" t="n">
        <f aca="false">H$5*4_Normalizacion!H285</f>
        <v>0.00509263768149227</v>
      </c>
      <c r="I287" s="21" t="n">
        <f aca="false">I$5*4_Normalizacion!I285</f>
        <v>0.00281086825420146</v>
      </c>
      <c r="J287" s="21" t="n">
        <f aca="false">J$5*4_Normalizacion!J285</f>
        <v>0.000255567041403239</v>
      </c>
      <c r="K287" s="21" t="n">
        <f aca="false">K$5*4_Normalizacion!K285</f>
        <v>3.90133374367575E-005</v>
      </c>
      <c r="L287" s="21" t="n">
        <f aca="false">L$5*4_Normalizacion!L285</f>
        <v>0.000941600562598189</v>
      </c>
      <c r="M287" s="21" t="n">
        <f aca="false">M$5*4_Normalizacion!M285</f>
        <v>0.000734935922140193</v>
      </c>
      <c r="N287" s="21" t="n">
        <f aca="false">N$5*4_Normalizacion!N285</f>
        <v>0.0075989803262918</v>
      </c>
      <c r="O287" s="21" t="n">
        <f aca="false">O$5*4_Normalizacion!O285</f>
        <v>0.00200587264654955</v>
      </c>
      <c r="P287" s="21" t="n">
        <f aca="false">P$5*4_Normalizacion!P285</f>
        <v>0.00135841219936972</v>
      </c>
      <c r="Q287" s="21" t="n">
        <f aca="false">Q$5*4_Normalizacion!Q285</f>
        <v>0.00285926571798898</v>
      </c>
    </row>
    <row r="288" customFormat="false" ht="15" hidden="false" customHeight="false" outlineLevel="0" collapsed="false">
      <c r="A288" s="15" t="n">
        <f aca="false">4_Normalizacion!A286</f>
        <v>281</v>
      </c>
      <c r="B288" s="16" t="n">
        <f aca="false">4_Normalizacion!B286</f>
        <v>28.331</v>
      </c>
      <c r="C288" s="21" t="n">
        <f aca="false">C$5*4_Normalizacion!C286</f>
        <v>0.00211491006743141</v>
      </c>
      <c r="D288" s="21" t="n">
        <f aca="false">D$5*4_Normalizacion!D286</f>
        <v>0.00016434498190068</v>
      </c>
      <c r="E288" s="21" t="n">
        <f aca="false">E$5*4_Normalizacion!E286</f>
        <v>0.00185693905364827</v>
      </c>
      <c r="F288" s="21" t="n">
        <f aca="false">F$5*4_Normalizacion!F286</f>
        <v>0.00161403739408304</v>
      </c>
      <c r="G288" s="21" t="n">
        <f aca="false">G$5*4_Normalizacion!G286</f>
        <v>0.000280339284607229</v>
      </c>
      <c r="H288" s="21" t="n">
        <f aca="false">H$5*4_Normalizacion!H286</f>
        <v>0.00509263768149227</v>
      </c>
      <c r="I288" s="21" t="n">
        <f aca="false">I$5*4_Normalizacion!I286</f>
        <v>0.00281086825420146</v>
      </c>
      <c r="J288" s="21" t="n">
        <f aca="false">J$5*4_Normalizacion!J286</f>
        <v>0.000255567041403239</v>
      </c>
      <c r="K288" s="21" t="n">
        <f aca="false">K$5*4_Normalizacion!K286</f>
        <v>3.90133374367575E-005</v>
      </c>
      <c r="L288" s="21" t="n">
        <f aca="false">L$5*4_Normalizacion!L286</f>
        <v>0.000894971780744285</v>
      </c>
      <c r="M288" s="21" t="n">
        <f aca="false">M$5*4_Normalizacion!M286</f>
        <v>0.000783683779820094</v>
      </c>
      <c r="N288" s="21" t="n">
        <f aca="false">N$5*4_Normalizacion!N286</f>
        <v>0.0075989803262918</v>
      </c>
      <c r="O288" s="21" t="n">
        <f aca="false">O$5*4_Normalizacion!O286</f>
        <v>0.00200587264654955</v>
      </c>
      <c r="P288" s="21" t="n">
        <f aca="false">P$5*4_Normalizacion!P286</f>
        <v>0.00135841219936972</v>
      </c>
      <c r="Q288" s="21" t="n">
        <f aca="false">Q$5*4_Normalizacion!Q286</f>
        <v>0.00285926571798898</v>
      </c>
    </row>
    <row r="289" customFormat="false" ht="15" hidden="false" customHeight="false" outlineLevel="0" collapsed="false">
      <c r="A289" s="15" t="n">
        <f aca="false">4_Normalizacion!A287</f>
        <v>282</v>
      </c>
      <c r="B289" s="16" t="n">
        <f aca="false">4_Normalizacion!B287</f>
        <v>28.442</v>
      </c>
      <c r="C289" s="21" t="n">
        <f aca="false">C$5*4_Normalizacion!C287</f>
        <v>0.00211491006743141</v>
      </c>
      <c r="D289" s="21" t="n">
        <f aca="false">D$5*4_Normalizacion!D287</f>
        <v>0.00016434498190068</v>
      </c>
      <c r="E289" s="21" t="n">
        <f aca="false">E$5*4_Normalizacion!E287</f>
        <v>0.00185693905364827</v>
      </c>
      <c r="F289" s="21" t="n">
        <f aca="false">F$5*4_Normalizacion!F287</f>
        <v>0.00161403739408304</v>
      </c>
      <c r="G289" s="21" t="n">
        <f aca="false">G$5*4_Normalizacion!G287</f>
        <v>0.000280339284607229</v>
      </c>
      <c r="H289" s="21" t="n">
        <f aca="false">H$5*4_Normalizacion!H287</f>
        <v>0.00509263768149227</v>
      </c>
      <c r="I289" s="21" t="n">
        <f aca="false">I$5*4_Normalizacion!I287</f>
        <v>0.00562173650840292</v>
      </c>
      <c r="J289" s="21" t="n">
        <f aca="false">J$5*4_Normalizacion!J287</f>
        <v>0.000255567041403239</v>
      </c>
      <c r="K289" s="21" t="n">
        <f aca="false">K$5*4_Normalizacion!K287</f>
        <v>3.90133374367575E-005</v>
      </c>
      <c r="L289" s="21" t="n">
        <f aca="false">L$5*4_Normalizacion!L287</f>
        <v>0.00117073339385877</v>
      </c>
      <c r="M289" s="21" t="n">
        <f aca="false">M$5*4_Normalizacion!M287</f>
        <v>0.000820657790517984</v>
      </c>
      <c r="N289" s="21" t="n">
        <f aca="false">N$5*4_Normalizacion!N287</f>
        <v>0.0075989803262918</v>
      </c>
      <c r="O289" s="21" t="n">
        <f aca="false">O$5*4_Normalizacion!O287</f>
        <v>0.00200587264654955</v>
      </c>
      <c r="P289" s="21" t="n">
        <f aca="false">P$5*4_Normalizacion!P287</f>
        <v>0.00135841219936972</v>
      </c>
      <c r="Q289" s="21" t="n">
        <f aca="false">Q$5*4_Normalizacion!Q287</f>
        <v>0.00285926571798898</v>
      </c>
    </row>
    <row r="290" customFormat="false" ht="15" hidden="false" customHeight="false" outlineLevel="0" collapsed="false">
      <c r="A290" s="15" t="n">
        <f aca="false">4_Normalizacion!A288</f>
        <v>283</v>
      </c>
      <c r="B290" s="16" t="n">
        <f aca="false">4_Normalizacion!B288</f>
        <v>28.552</v>
      </c>
      <c r="C290" s="21" t="n">
        <f aca="false">C$5*4_Normalizacion!C288</f>
        <v>0.00211491006743141</v>
      </c>
      <c r="D290" s="21" t="n">
        <f aca="false">D$5*4_Normalizacion!D288</f>
        <v>0.00016434498190068</v>
      </c>
      <c r="E290" s="21" t="n">
        <f aca="false">E$5*4_Normalizacion!E288</f>
        <v>0.00185693905364827</v>
      </c>
      <c r="F290" s="21" t="n">
        <f aca="false">F$5*4_Normalizacion!F288</f>
        <v>0.000807018697041519</v>
      </c>
      <c r="G290" s="21" t="n">
        <f aca="false">G$5*4_Normalizacion!G288</f>
        <v>0.000280339284607229</v>
      </c>
      <c r="H290" s="21" t="n">
        <f aca="false">H$5*4_Normalizacion!H288</f>
        <v>0.00509263768149227</v>
      </c>
      <c r="I290" s="21" t="n">
        <f aca="false">I$5*4_Normalizacion!I288</f>
        <v>0.00281086825420146</v>
      </c>
      <c r="J290" s="21" t="n">
        <f aca="false">J$5*4_Normalizacion!J288</f>
        <v>0.000255567041403239</v>
      </c>
      <c r="K290" s="21" t="n">
        <f aca="false">K$5*4_Normalizacion!K288</f>
        <v>3.90133374367575E-005</v>
      </c>
      <c r="L290" s="21" t="n">
        <f aca="false">L$5*4_Normalizacion!L288</f>
        <v>0.00125446464729535</v>
      </c>
      <c r="M290" s="21" t="n">
        <f aca="false">M$5*4_Normalizacion!M288</f>
        <v>0.000753732765567613</v>
      </c>
      <c r="N290" s="21" t="n">
        <f aca="false">N$5*4_Normalizacion!N288</f>
        <v>0.0075989803262918</v>
      </c>
      <c r="O290" s="21" t="n">
        <f aca="false">O$5*4_Normalizacion!O288</f>
        <v>0.00200587264654955</v>
      </c>
      <c r="P290" s="21" t="n">
        <f aca="false">P$5*4_Normalizacion!P288</f>
        <v>0.00135841219936972</v>
      </c>
      <c r="Q290" s="21" t="n">
        <f aca="false">Q$5*4_Normalizacion!Q288</f>
        <v>0.00285926571798898</v>
      </c>
    </row>
    <row r="291" customFormat="false" ht="15" hidden="false" customHeight="false" outlineLevel="0" collapsed="false">
      <c r="A291" s="15" t="n">
        <f aca="false">4_Normalizacion!A289</f>
        <v>284</v>
      </c>
      <c r="B291" s="16" t="n">
        <f aca="false">4_Normalizacion!B289</f>
        <v>28.658</v>
      </c>
      <c r="C291" s="21" t="n">
        <f aca="false">C$5*4_Normalizacion!C289</f>
        <v>0.00211491006743141</v>
      </c>
      <c r="D291" s="21" t="n">
        <f aca="false">D$5*4_Normalizacion!D289</f>
        <v>0.00016434498190068</v>
      </c>
      <c r="E291" s="21" t="n">
        <f aca="false">E$5*4_Normalizacion!E289</f>
        <v>0.00185693905364827</v>
      </c>
      <c r="F291" s="21" t="n">
        <f aca="false">F$5*4_Normalizacion!F289</f>
        <v>0.00121052804556228</v>
      </c>
      <c r="G291" s="21" t="n">
        <f aca="false">G$5*4_Normalizacion!G289</f>
        <v>0.000280339284607229</v>
      </c>
      <c r="H291" s="21" t="n">
        <f aca="false">H$5*4_Normalizacion!H289</f>
        <v>0.00509263768149227</v>
      </c>
      <c r="I291" s="21" t="n">
        <f aca="false">I$5*4_Normalizacion!I289</f>
        <v>0.00281086825420146</v>
      </c>
      <c r="J291" s="21" t="n">
        <f aca="false">J$5*4_Normalizacion!J289</f>
        <v>0.000255567041403239</v>
      </c>
      <c r="K291" s="21" t="n">
        <f aca="false">K$5*4_Normalizacion!K289</f>
        <v>3.90133374367575E-005</v>
      </c>
      <c r="L291" s="21" t="n">
        <f aca="false">L$5*4_Normalizacion!L289</f>
        <v>0.000948118564362713</v>
      </c>
      <c r="M291" s="21" t="n">
        <f aca="false">M$5*4_Normalizacion!M289</f>
        <v>0.000685568388303345</v>
      </c>
      <c r="N291" s="21" t="n">
        <f aca="false">N$5*4_Normalizacion!N289</f>
        <v>0.0075989803262918</v>
      </c>
      <c r="O291" s="21" t="n">
        <f aca="false">O$5*4_Normalizacion!O289</f>
        <v>0.00200587264654955</v>
      </c>
      <c r="P291" s="21" t="n">
        <f aca="false">P$5*4_Normalizacion!P289</f>
        <v>0.00135841219936972</v>
      </c>
      <c r="Q291" s="21" t="n">
        <f aca="false">Q$5*4_Normalizacion!Q289</f>
        <v>0.00285926571798898</v>
      </c>
    </row>
    <row r="292" customFormat="false" ht="15" hidden="false" customHeight="false" outlineLevel="0" collapsed="false">
      <c r="A292" s="15" t="n">
        <f aca="false">4_Normalizacion!A290</f>
        <v>285</v>
      </c>
      <c r="B292" s="16" t="n">
        <f aca="false">4_Normalizacion!B290</f>
        <v>28.761</v>
      </c>
      <c r="C292" s="21" t="n">
        <f aca="false">C$5*4_Normalizacion!C290</f>
        <v>0.00211491006743141</v>
      </c>
      <c r="D292" s="21" t="n">
        <f aca="false">D$5*4_Normalizacion!D290</f>
        <v>0.00016434498190068</v>
      </c>
      <c r="E292" s="21" t="n">
        <f aca="false">E$5*4_Normalizacion!E290</f>
        <v>0.00185693905364827</v>
      </c>
      <c r="F292" s="21" t="n">
        <f aca="false">F$5*4_Normalizacion!F290</f>
        <v>0.00121052804556228</v>
      </c>
      <c r="G292" s="21" t="n">
        <f aca="false">G$5*4_Normalizacion!G290</f>
        <v>0.000280339284607229</v>
      </c>
      <c r="H292" s="21" t="n">
        <f aca="false">H$5*4_Normalizacion!H290</f>
        <v>0.00509263768149227</v>
      </c>
      <c r="I292" s="21" t="n">
        <f aca="false">I$5*4_Normalizacion!I290</f>
        <v>0.00281086825420146</v>
      </c>
      <c r="J292" s="21" t="n">
        <f aca="false">J$5*4_Normalizacion!J290</f>
        <v>0.000255567041403239</v>
      </c>
      <c r="K292" s="21" t="n">
        <f aca="false">K$5*4_Normalizacion!K290</f>
        <v>3.90133374367575E-005</v>
      </c>
      <c r="L292" s="21" t="n">
        <f aca="false">L$5*4_Normalizacion!L290</f>
        <v>0.00105792182485739</v>
      </c>
      <c r="M292" s="21" t="n">
        <f aca="false">M$5*4_Normalizacion!M290</f>
        <v>0.000521560765431138</v>
      </c>
      <c r="N292" s="21" t="n">
        <f aca="false">N$5*4_Normalizacion!N290</f>
        <v>0.0075989803262918</v>
      </c>
      <c r="O292" s="21" t="n">
        <f aca="false">O$5*4_Normalizacion!O290</f>
        <v>0.00200587264654955</v>
      </c>
      <c r="P292" s="21" t="n">
        <f aca="false">P$5*4_Normalizacion!P290</f>
        <v>0.00135841219936972</v>
      </c>
      <c r="Q292" s="21" t="n">
        <f aca="false">Q$5*4_Normalizacion!Q290</f>
        <v>0.00285926571798898</v>
      </c>
    </row>
    <row r="293" customFormat="false" ht="15" hidden="false" customHeight="false" outlineLevel="0" collapsed="false">
      <c r="A293" s="15" t="n">
        <f aca="false">4_Normalizacion!A291</f>
        <v>286</v>
      </c>
      <c r="B293" s="16" t="n">
        <f aca="false">4_Normalizacion!B291</f>
        <v>28.863</v>
      </c>
      <c r="C293" s="21" t="n">
        <f aca="false">C$5*4_Normalizacion!C291</f>
        <v>0.00211491006743141</v>
      </c>
      <c r="D293" s="21" t="n">
        <f aca="false">D$5*4_Normalizacion!D291</f>
        <v>0.00016434498190068</v>
      </c>
      <c r="E293" s="21" t="n">
        <f aca="false">E$5*4_Normalizacion!E291</f>
        <v>0.00185693905364827</v>
      </c>
      <c r="F293" s="21" t="n">
        <f aca="false">F$5*4_Normalizacion!F291</f>
        <v>0.00161403739408304</v>
      </c>
      <c r="G293" s="21" t="n">
        <f aca="false">G$5*4_Normalizacion!G291</f>
        <v>0.000280339284607229</v>
      </c>
      <c r="H293" s="21" t="n">
        <f aca="false">H$5*4_Normalizacion!H291</f>
        <v>0.00509263768149227</v>
      </c>
      <c r="I293" s="21" t="n">
        <f aca="false">I$5*4_Normalizacion!I291</f>
        <v>0.00281086825420146</v>
      </c>
      <c r="J293" s="21" t="n">
        <f aca="false">J$5*4_Normalizacion!J291</f>
        <v>0.000255567041403239</v>
      </c>
      <c r="K293" s="21" t="n">
        <f aca="false">K$5*4_Normalizacion!K291</f>
        <v>3.90133374367575E-005</v>
      </c>
      <c r="L293" s="21" t="n">
        <f aca="false">L$5*4_Normalizacion!L291</f>
        <v>0.00131663635643389</v>
      </c>
      <c r="M293" s="21" t="n">
        <f aca="false">M$5*4_Normalizacion!M291</f>
        <v>0.000608728544841807</v>
      </c>
      <c r="N293" s="21" t="n">
        <f aca="false">N$5*4_Normalizacion!N291</f>
        <v>0.0075989803262918</v>
      </c>
      <c r="O293" s="21" t="n">
        <f aca="false">O$5*4_Normalizacion!O291</f>
        <v>0.00200587264654955</v>
      </c>
      <c r="P293" s="21" t="n">
        <f aca="false">P$5*4_Normalizacion!P291</f>
        <v>0.00135841219936972</v>
      </c>
      <c r="Q293" s="21" t="n">
        <f aca="false">Q$5*4_Normalizacion!Q291</f>
        <v>0.00285926571798898</v>
      </c>
    </row>
    <row r="294" customFormat="false" ht="15" hidden="false" customHeight="false" outlineLevel="0" collapsed="false">
      <c r="A294" s="15" t="n">
        <f aca="false">4_Normalizacion!A292</f>
        <v>287</v>
      </c>
      <c r="B294" s="16" t="n">
        <f aca="false">4_Normalizacion!B292</f>
        <v>28.962</v>
      </c>
      <c r="C294" s="21" t="n">
        <f aca="false">C$5*4_Normalizacion!C292</f>
        <v>0.00211491006743141</v>
      </c>
      <c r="D294" s="21" t="n">
        <f aca="false">D$5*4_Normalizacion!D292</f>
        <v>0.00016434498190068</v>
      </c>
      <c r="E294" s="21" t="n">
        <f aca="false">E$5*4_Normalizacion!E292</f>
        <v>0.00185693905364827</v>
      </c>
      <c r="F294" s="21" t="n">
        <f aca="false">F$5*4_Normalizacion!F292</f>
        <v>0.00161403739408304</v>
      </c>
      <c r="G294" s="21" t="n">
        <f aca="false">G$5*4_Normalizacion!G292</f>
        <v>0.000280339284607229</v>
      </c>
      <c r="H294" s="21" t="n">
        <f aca="false">H$5*4_Normalizacion!H292</f>
        <v>0.00509263768149227</v>
      </c>
      <c r="I294" s="21" t="n">
        <f aca="false">I$5*4_Normalizacion!I292</f>
        <v>0.00281086825420146</v>
      </c>
      <c r="J294" s="21" t="n">
        <f aca="false">J$5*4_Normalizacion!J292</f>
        <v>0.000255567041403239</v>
      </c>
      <c r="K294" s="21" t="n">
        <f aca="false">K$5*4_Normalizacion!K292</f>
        <v>3.90133374367575E-005</v>
      </c>
      <c r="L294" s="21" t="n">
        <f aca="false">L$5*4_Normalizacion!L292</f>
        <v>0.00112310184250263</v>
      </c>
      <c r="M294" s="21" t="n">
        <f aca="false">M$5*4_Normalizacion!M292</f>
        <v>0.000607489192527912</v>
      </c>
      <c r="N294" s="21" t="n">
        <f aca="false">N$5*4_Normalizacion!N292</f>
        <v>0.0075989803262918</v>
      </c>
      <c r="O294" s="21" t="n">
        <f aca="false">O$5*4_Normalizacion!O292</f>
        <v>0.00200587264654955</v>
      </c>
      <c r="P294" s="21" t="n">
        <f aca="false">P$5*4_Normalizacion!P292</f>
        <v>0.00135841219936972</v>
      </c>
      <c r="Q294" s="21" t="n">
        <f aca="false">Q$5*4_Normalizacion!Q292</f>
        <v>0.0142963285899449</v>
      </c>
    </row>
    <row r="295" customFormat="false" ht="15" hidden="false" customHeight="false" outlineLevel="0" collapsed="false">
      <c r="A295" s="15" t="n">
        <f aca="false">4_Normalizacion!A293</f>
        <v>288</v>
      </c>
      <c r="B295" s="16" t="n">
        <f aca="false">4_Normalizacion!B293</f>
        <v>29.061</v>
      </c>
      <c r="C295" s="21" t="n">
        <f aca="false">C$5*4_Normalizacion!C293</f>
        <v>0.00211491006743141</v>
      </c>
      <c r="D295" s="21" t="n">
        <f aca="false">D$5*4_Normalizacion!D293</f>
        <v>0.00016434498190068</v>
      </c>
      <c r="E295" s="21" t="n">
        <f aca="false">E$5*4_Normalizacion!E293</f>
        <v>0.00185693905364827</v>
      </c>
      <c r="F295" s="21" t="n">
        <f aca="false">F$5*4_Normalizacion!F293</f>
        <v>0.00161403739408304</v>
      </c>
      <c r="G295" s="21" t="n">
        <f aca="false">G$5*4_Normalizacion!G293</f>
        <v>0.000280339284607229</v>
      </c>
      <c r="H295" s="21" t="n">
        <f aca="false">H$5*4_Normalizacion!H293</f>
        <v>0.00509263768149227</v>
      </c>
      <c r="I295" s="21" t="n">
        <f aca="false">I$5*4_Normalizacion!I293</f>
        <v>0.00281086825420146</v>
      </c>
      <c r="J295" s="21" t="n">
        <f aca="false">J$5*4_Normalizacion!J293</f>
        <v>0.000255567041403239</v>
      </c>
      <c r="K295" s="21" t="n">
        <f aca="false">K$5*4_Normalizacion!K293</f>
        <v>3.90133374367575E-005</v>
      </c>
      <c r="L295" s="21" t="n">
        <f aca="false">L$5*4_Normalizacion!L293</f>
        <v>0.00117324031761436</v>
      </c>
      <c r="M295" s="21" t="n">
        <f aca="false">M$5*4_Normalizacion!M293</f>
        <v>0.000650453406076298</v>
      </c>
      <c r="N295" s="21" t="n">
        <f aca="false">N$5*4_Normalizacion!N293</f>
        <v>0.0075989803262918</v>
      </c>
      <c r="O295" s="21" t="n">
        <f aca="false">O$5*4_Normalizacion!O293</f>
        <v>0.00200587264654955</v>
      </c>
      <c r="P295" s="21" t="n">
        <f aca="false">P$5*4_Normalizacion!P293</f>
        <v>0.00135841219936972</v>
      </c>
      <c r="Q295" s="21" t="n">
        <f aca="false">Q$5*4_Normalizacion!Q293</f>
        <v>0.0114370628719559</v>
      </c>
    </row>
    <row r="296" customFormat="false" ht="15" hidden="false" customHeight="false" outlineLevel="0" collapsed="false">
      <c r="A296" s="15" t="n">
        <f aca="false">4_Normalizacion!A294</f>
        <v>289</v>
      </c>
      <c r="B296" s="16" t="n">
        <f aca="false">4_Normalizacion!B294</f>
        <v>29.159</v>
      </c>
      <c r="C296" s="21" t="n">
        <f aca="false">C$5*4_Normalizacion!C294</f>
        <v>0.00211491006743141</v>
      </c>
      <c r="D296" s="21" t="n">
        <f aca="false">D$5*4_Normalizacion!D294</f>
        <v>0.00016434498190068</v>
      </c>
      <c r="E296" s="21" t="n">
        <f aca="false">E$5*4_Normalizacion!E294</f>
        <v>0.00185693905364827</v>
      </c>
      <c r="F296" s="21" t="n">
        <f aca="false">F$5*4_Normalizacion!F294</f>
        <v>0.00161403739408304</v>
      </c>
      <c r="G296" s="21" t="n">
        <f aca="false">G$5*4_Normalizacion!G294</f>
        <v>0.000280339284607229</v>
      </c>
      <c r="H296" s="21" t="n">
        <f aca="false">H$5*4_Normalizacion!H294</f>
        <v>0.00509263768149227</v>
      </c>
      <c r="I296" s="21" t="n">
        <f aca="false">I$5*4_Normalizacion!I294</f>
        <v>0.00281086825420146</v>
      </c>
      <c r="J296" s="21" t="n">
        <f aca="false">J$5*4_Normalizacion!J294</f>
        <v>0.000255567041403239</v>
      </c>
      <c r="K296" s="21" t="n">
        <f aca="false">K$5*4_Normalizacion!K294</f>
        <v>3.90133374367575E-005</v>
      </c>
      <c r="L296" s="21" t="n">
        <f aca="false">L$5*4_Normalizacion!L294</f>
        <v>0.00118928462965011</v>
      </c>
      <c r="M296" s="21" t="n">
        <f aca="false">M$5*4_Normalizacion!M294</f>
        <v>0.00072130304668734</v>
      </c>
      <c r="N296" s="21" t="n">
        <f aca="false">N$5*4_Normalizacion!N294</f>
        <v>0.0075989803262918</v>
      </c>
      <c r="O296" s="21" t="n">
        <f aca="false">O$5*4_Normalizacion!O294</f>
        <v>0.00200587264654955</v>
      </c>
      <c r="P296" s="21" t="n">
        <f aca="false">P$5*4_Normalizacion!P294</f>
        <v>0.00135841219936972</v>
      </c>
      <c r="Q296" s="21" t="n">
        <f aca="false">Q$5*4_Normalizacion!Q294</f>
        <v>0.0142963285899449</v>
      </c>
    </row>
    <row r="297" customFormat="false" ht="15" hidden="false" customHeight="false" outlineLevel="0" collapsed="false">
      <c r="A297" s="15" t="n">
        <f aca="false">4_Normalizacion!A295</f>
        <v>290</v>
      </c>
      <c r="B297" s="16" t="n">
        <f aca="false">4_Normalizacion!B295</f>
        <v>29.257</v>
      </c>
      <c r="C297" s="21" t="n">
        <f aca="false">C$5*4_Normalizacion!C295</f>
        <v>0.00211491006743141</v>
      </c>
      <c r="D297" s="21" t="n">
        <f aca="false">D$5*4_Normalizacion!D295</f>
        <v>0.00016434498190068</v>
      </c>
      <c r="E297" s="21" t="n">
        <f aca="false">E$5*4_Normalizacion!E295</f>
        <v>0.00185693905364827</v>
      </c>
      <c r="F297" s="21" t="n">
        <f aca="false">F$5*4_Normalizacion!F295</f>
        <v>0.00161403739408304</v>
      </c>
      <c r="G297" s="21" t="n">
        <f aca="false">G$5*4_Normalizacion!G295</f>
        <v>0.000280339284607229</v>
      </c>
      <c r="H297" s="21" t="n">
        <f aca="false">H$5*4_Normalizacion!H295</f>
        <v>0.00509263768149227</v>
      </c>
      <c r="I297" s="21" t="n">
        <f aca="false">I$5*4_Normalizacion!I295</f>
        <v>0.00281086825420146</v>
      </c>
      <c r="J297" s="21" t="n">
        <f aca="false">J$5*4_Normalizacion!J295</f>
        <v>0.000255567041403239</v>
      </c>
      <c r="K297" s="21" t="n">
        <f aca="false">K$5*4_Normalizacion!K295</f>
        <v>3.90133374367575E-005</v>
      </c>
      <c r="L297" s="21" t="n">
        <f aca="false">L$5*4_Normalizacion!L295</f>
        <v>0.00115569185132525</v>
      </c>
      <c r="M297" s="21" t="n">
        <f aca="false">M$5*4_Normalizacion!M295</f>
        <v>0.000703125879416869</v>
      </c>
      <c r="N297" s="21" t="n">
        <f aca="false">N$5*4_Normalizacion!N295</f>
        <v>0.0075989803262918</v>
      </c>
      <c r="O297" s="21" t="n">
        <f aca="false">O$5*4_Normalizacion!O295</f>
        <v>0.00200587264654955</v>
      </c>
      <c r="P297" s="21" t="n">
        <f aca="false">P$5*4_Normalizacion!P295</f>
        <v>0.00135841219936972</v>
      </c>
      <c r="Q297" s="21" t="n">
        <f aca="false">Q$5*4_Normalizacion!Q295</f>
        <v>0.0142963285899449</v>
      </c>
    </row>
    <row r="298" customFormat="false" ht="15" hidden="false" customHeight="false" outlineLevel="0" collapsed="false">
      <c r="A298" s="15" t="n">
        <f aca="false">4_Normalizacion!A296</f>
        <v>291</v>
      </c>
      <c r="B298" s="16" t="n">
        <f aca="false">4_Normalizacion!B296</f>
        <v>29.355</v>
      </c>
      <c r="C298" s="21" t="n">
        <f aca="false">C$5*4_Normalizacion!C296</f>
        <v>0.00211491006743141</v>
      </c>
      <c r="D298" s="21" t="n">
        <f aca="false">D$5*4_Normalizacion!D296</f>
        <v>0.00016434498190068</v>
      </c>
      <c r="E298" s="21" t="n">
        <f aca="false">E$5*4_Normalizacion!E296</f>
        <v>0.00185693905364827</v>
      </c>
      <c r="F298" s="21" t="n">
        <f aca="false">F$5*4_Normalizacion!F296</f>
        <v>0.0020175467426038</v>
      </c>
      <c r="G298" s="21" t="n">
        <f aca="false">G$5*4_Normalizacion!G296</f>
        <v>0.000280339284607229</v>
      </c>
      <c r="H298" s="21" t="n">
        <f aca="false">H$5*4_Normalizacion!H296</f>
        <v>0.00509263768149227</v>
      </c>
      <c r="I298" s="21" t="n">
        <f aca="false">I$5*4_Normalizacion!I296</f>
        <v>0.00281086825420146</v>
      </c>
      <c r="J298" s="21" t="n">
        <f aca="false">J$5*4_Normalizacion!J296</f>
        <v>0.000255567041403239</v>
      </c>
      <c r="K298" s="21" t="n">
        <f aca="false">K$5*4_Normalizacion!K296</f>
        <v>3.90133374367575E-005</v>
      </c>
      <c r="L298" s="21" t="n">
        <f aca="false">L$5*4_Normalizacion!L296</f>
        <v>0.000923049326806851</v>
      </c>
      <c r="M298" s="21" t="n">
        <f aca="false">M$5*4_Normalizacion!M296</f>
        <v>0.000659541989711534</v>
      </c>
      <c r="N298" s="21" t="n">
        <f aca="false">N$5*4_Normalizacion!N296</f>
        <v>0.0075989803262918</v>
      </c>
      <c r="O298" s="21" t="n">
        <f aca="false">O$5*4_Normalizacion!O296</f>
        <v>0.00200587264654955</v>
      </c>
      <c r="P298" s="21" t="n">
        <f aca="false">P$5*4_Normalizacion!P296</f>
        <v>0.00135841219936972</v>
      </c>
      <c r="Q298" s="21" t="n">
        <f aca="false">Q$5*4_Normalizacion!Q296</f>
        <v>0.00285926571798898</v>
      </c>
    </row>
    <row r="299" customFormat="false" ht="15" hidden="false" customHeight="false" outlineLevel="0" collapsed="false">
      <c r="A299" s="15" t="n">
        <f aca="false">4_Normalizacion!A297</f>
        <v>292</v>
      </c>
      <c r="B299" s="16" t="n">
        <f aca="false">4_Normalizacion!B297</f>
        <v>29.453</v>
      </c>
      <c r="C299" s="21" t="n">
        <f aca="false">C$5*4_Normalizacion!C297</f>
        <v>0.00211491006743141</v>
      </c>
      <c r="D299" s="21" t="n">
        <f aca="false">D$5*4_Normalizacion!D297</f>
        <v>0.00016434498190068</v>
      </c>
      <c r="E299" s="21" t="n">
        <f aca="false">E$5*4_Normalizacion!E297</f>
        <v>0.00185693905364827</v>
      </c>
      <c r="F299" s="21" t="n">
        <f aca="false">F$5*4_Normalizacion!F297</f>
        <v>0.0020175467426038</v>
      </c>
      <c r="G299" s="21" t="n">
        <f aca="false">G$5*4_Normalizacion!G297</f>
        <v>0.000280339284607229</v>
      </c>
      <c r="H299" s="21" t="n">
        <f aca="false">H$5*4_Normalizacion!H297</f>
        <v>0.00509263768149227</v>
      </c>
      <c r="I299" s="21" t="n">
        <f aca="false">I$5*4_Normalizacion!I297</f>
        <v>0.00281086825420146</v>
      </c>
      <c r="J299" s="21" t="n">
        <f aca="false">J$5*4_Normalizacion!J297</f>
        <v>0.000255567041403239</v>
      </c>
      <c r="K299" s="21" t="n">
        <f aca="false">K$5*4_Normalizacion!K297</f>
        <v>3.90133374367575E-005</v>
      </c>
      <c r="L299" s="21" t="n">
        <f aca="false">L$5*4_Normalizacion!L297</f>
        <v>0.00132515989720288</v>
      </c>
      <c r="M299" s="21" t="n">
        <f aca="false">M$5*4_Normalizacion!M297</f>
        <v>0.000569275829516125</v>
      </c>
      <c r="N299" s="21" t="n">
        <f aca="false">N$5*4_Normalizacion!N297</f>
        <v>0.0075989803262918</v>
      </c>
      <c r="O299" s="21" t="n">
        <f aca="false">O$5*4_Normalizacion!O297</f>
        <v>0.00200587264654955</v>
      </c>
      <c r="P299" s="21" t="n">
        <f aca="false">P$5*4_Normalizacion!P297</f>
        <v>0.00135841219936972</v>
      </c>
      <c r="Q299" s="21" t="n">
        <f aca="false">Q$5*4_Normalizacion!Q297</f>
        <v>0.0142963285899449</v>
      </c>
    </row>
    <row r="300" customFormat="false" ht="15" hidden="false" customHeight="false" outlineLevel="0" collapsed="false">
      <c r="A300" s="15" t="n">
        <f aca="false">4_Normalizacion!A298</f>
        <v>293</v>
      </c>
      <c r="B300" s="16" t="n">
        <f aca="false">4_Normalizacion!B298</f>
        <v>29.552</v>
      </c>
      <c r="C300" s="21" t="n">
        <f aca="false">C$5*4_Normalizacion!C298</f>
        <v>0.00211491006743141</v>
      </c>
      <c r="D300" s="21" t="n">
        <f aca="false">D$5*4_Normalizacion!D298</f>
        <v>0.00016434498190068</v>
      </c>
      <c r="E300" s="21" t="n">
        <f aca="false">E$5*4_Normalizacion!E298</f>
        <v>0.00185693905364827</v>
      </c>
      <c r="F300" s="21" t="n">
        <f aca="false">F$5*4_Normalizacion!F298</f>
        <v>0.0020175467426038</v>
      </c>
      <c r="G300" s="21" t="n">
        <f aca="false">G$5*4_Normalizacion!G298</f>
        <v>0.000280339284607229</v>
      </c>
      <c r="H300" s="21" t="n">
        <f aca="false">H$5*4_Normalizacion!H298</f>
        <v>0.00509263768149227</v>
      </c>
      <c r="I300" s="21" t="n">
        <f aca="false">I$5*4_Normalizacion!I298</f>
        <v>0.00281086825420146</v>
      </c>
      <c r="J300" s="21" t="n">
        <f aca="false">J$5*4_Normalizacion!J298</f>
        <v>0.000255567041403239</v>
      </c>
      <c r="K300" s="21" t="n">
        <f aca="false">K$5*4_Normalizacion!K298</f>
        <v>3.90133374367575E-005</v>
      </c>
      <c r="L300" s="21" t="n">
        <f aca="false">L$5*4_Normalizacion!L298</f>
        <v>0.00142393269317298</v>
      </c>
      <c r="M300" s="21" t="n">
        <f aca="false">M$5*4_Normalizacion!M298</f>
        <v>0.000572993886457813</v>
      </c>
      <c r="N300" s="21" t="n">
        <f aca="false">N$5*4_Normalizacion!N298</f>
        <v>0.00607918426103344</v>
      </c>
      <c r="O300" s="21" t="n">
        <f aca="false">O$5*4_Normalizacion!O298</f>
        <v>0.00200587264654955</v>
      </c>
      <c r="P300" s="21" t="n">
        <f aca="false">P$5*4_Normalizacion!P298</f>
        <v>0.00135841219936972</v>
      </c>
      <c r="Q300" s="21" t="n">
        <f aca="false">Q$5*4_Normalizacion!Q298</f>
        <v>0.0142963285899449</v>
      </c>
    </row>
    <row r="301" customFormat="false" ht="15" hidden="false" customHeight="false" outlineLevel="0" collapsed="false">
      <c r="A301" s="15" t="n">
        <f aca="false">4_Normalizacion!A299</f>
        <v>294</v>
      </c>
      <c r="B301" s="16" t="n">
        <f aca="false">4_Normalizacion!B299</f>
        <v>29.65</v>
      </c>
      <c r="C301" s="21" t="n">
        <f aca="false">C$5*4_Normalizacion!C299</f>
        <v>0.00211491006743141</v>
      </c>
      <c r="D301" s="21" t="n">
        <f aca="false">D$5*4_Normalizacion!D299</f>
        <v>0.00016434498190068</v>
      </c>
      <c r="E301" s="21" t="n">
        <f aca="false">E$5*4_Normalizacion!E299</f>
        <v>0.00185693905364827</v>
      </c>
      <c r="F301" s="21" t="n">
        <f aca="false">F$5*4_Normalizacion!F299</f>
        <v>0.0020175467426038</v>
      </c>
      <c r="G301" s="21" t="n">
        <f aca="false">G$5*4_Normalizacion!G299</f>
        <v>0.000280339284607229</v>
      </c>
      <c r="H301" s="21" t="n">
        <f aca="false">H$5*4_Normalizacion!H299</f>
        <v>0.00509263768149227</v>
      </c>
      <c r="I301" s="21" t="n">
        <f aca="false">I$5*4_Normalizacion!I299</f>
        <v>0.00281086825420146</v>
      </c>
      <c r="J301" s="21" t="n">
        <f aca="false">J$5*4_Normalizacion!J299</f>
        <v>0.000255567041403239</v>
      </c>
      <c r="K301" s="21" t="n">
        <f aca="false">K$5*4_Normalizacion!K299</f>
        <v>3.90133374367575E-005</v>
      </c>
      <c r="L301" s="21" t="n">
        <f aca="false">L$5*4_Normalizacion!L299</f>
        <v>0.00164955583117574</v>
      </c>
      <c r="M301" s="21" t="n">
        <f aca="false">M$5*4_Normalizacion!M299</f>
        <v>0.000501731128408806</v>
      </c>
      <c r="N301" s="21" t="n">
        <f aca="false">N$5*4_Normalizacion!N299</f>
        <v>0.00607918426103344</v>
      </c>
      <c r="O301" s="21" t="n">
        <f aca="false">O$5*4_Normalizacion!O299</f>
        <v>0.00200587264654955</v>
      </c>
      <c r="P301" s="21" t="n">
        <f aca="false">P$5*4_Normalizacion!P299</f>
        <v>0.00135841219936972</v>
      </c>
      <c r="Q301" s="21" t="n">
        <f aca="false">Q$5*4_Normalizacion!Q299</f>
        <v>0.0142963285899449</v>
      </c>
    </row>
    <row r="302" customFormat="false" ht="15" hidden="false" customHeight="false" outlineLevel="0" collapsed="false">
      <c r="A302" s="15" t="n">
        <f aca="false">4_Normalizacion!A300</f>
        <v>295</v>
      </c>
      <c r="B302" s="16" t="n">
        <f aca="false">4_Normalizacion!B300</f>
        <v>29.749</v>
      </c>
      <c r="C302" s="21" t="n">
        <f aca="false">C$5*4_Normalizacion!C300</f>
        <v>0.00211491006743141</v>
      </c>
      <c r="D302" s="21" t="n">
        <f aca="false">D$5*4_Normalizacion!D300</f>
        <v>0.00016434498190068</v>
      </c>
      <c r="E302" s="21" t="n">
        <f aca="false">E$5*4_Normalizacion!E300</f>
        <v>0.00185693905364827</v>
      </c>
      <c r="F302" s="21" t="n">
        <f aca="false">F$5*4_Normalizacion!F300</f>
        <v>0.0020175467426038</v>
      </c>
      <c r="G302" s="21" t="n">
        <f aca="false">G$5*4_Normalizacion!G300</f>
        <v>0.000280339284607229</v>
      </c>
      <c r="H302" s="21" t="n">
        <f aca="false">H$5*4_Normalizacion!H300</f>
        <v>0.00509263768149227</v>
      </c>
      <c r="I302" s="21" t="n">
        <f aca="false">I$5*4_Normalizacion!I300</f>
        <v>0.00281086825420146</v>
      </c>
      <c r="J302" s="21" t="n">
        <f aca="false">J$5*4_Normalizacion!J300</f>
        <v>0.000255567041403239</v>
      </c>
      <c r="K302" s="21" t="n">
        <f aca="false">K$5*4_Normalizacion!K300</f>
        <v>3.90133374367575E-005</v>
      </c>
      <c r="L302" s="21" t="n">
        <f aca="false">L$5*4_Normalizacion!L300</f>
        <v>0.00160242566457072</v>
      </c>
      <c r="M302" s="21" t="n">
        <f aca="false">M$5*4_Normalizacion!M300</f>
        <v>0.00046434400027295</v>
      </c>
      <c r="N302" s="21" t="n">
        <f aca="false">N$5*4_Normalizacion!N300</f>
        <v>0.00607918426103344</v>
      </c>
      <c r="O302" s="21" t="n">
        <f aca="false">O$5*4_Normalizacion!O300</f>
        <v>0.00200587264654955</v>
      </c>
      <c r="P302" s="21" t="n">
        <f aca="false">P$5*4_Normalizacion!P300</f>
        <v>0.00135841219936972</v>
      </c>
      <c r="Q302" s="21" t="n">
        <f aca="false">Q$5*4_Normalizacion!Q300</f>
        <v>0.0114370628719559</v>
      </c>
    </row>
    <row r="303" customFormat="false" ht="15" hidden="false" customHeight="false" outlineLevel="0" collapsed="false">
      <c r="A303" s="15" t="n">
        <f aca="false">4_Normalizacion!A301</f>
        <v>296</v>
      </c>
      <c r="B303" s="16" t="n">
        <f aca="false">4_Normalizacion!B301</f>
        <v>29.847</v>
      </c>
      <c r="C303" s="21" t="n">
        <f aca="false">C$5*4_Normalizacion!C301</f>
        <v>0.00211491006743141</v>
      </c>
      <c r="D303" s="21" t="n">
        <f aca="false">D$5*4_Normalizacion!D301</f>
        <v>0.00016434498190068</v>
      </c>
      <c r="E303" s="21" t="n">
        <f aca="false">E$5*4_Normalizacion!E301</f>
        <v>0.00185693905364827</v>
      </c>
      <c r="F303" s="21" t="n">
        <f aca="false">F$5*4_Normalizacion!F301</f>
        <v>0.0020175467426038</v>
      </c>
      <c r="G303" s="21" t="n">
        <f aca="false">G$5*4_Normalizacion!G301</f>
        <v>0.000280339284607229</v>
      </c>
      <c r="H303" s="21" t="n">
        <f aca="false">H$5*4_Normalizacion!H301</f>
        <v>0.00509263768149227</v>
      </c>
      <c r="I303" s="21" t="n">
        <f aca="false">I$5*4_Normalizacion!I301</f>
        <v>0.00281086825420146</v>
      </c>
      <c r="J303" s="21" t="n">
        <f aca="false">J$5*4_Normalizacion!J301</f>
        <v>0.000255567041403239</v>
      </c>
      <c r="K303" s="21" t="n">
        <f aca="false">K$5*4_Normalizacion!K301</f>
        <v>3.90133374367575E-005</v>
      </c>
      <c r="L303" s="21" t="n">
        <f aca="false">L$5*4_Normalizacion!L301</f>
        <v>0.00151769164163191</v>
      </c>
      <c r="M303" s="21" t="n">
        <f aca="false">M$5*4_Normalizacion!M301</f>
        <v>0.000490576957583744</v>
      </c>
      <c r="N303" s="21" t="n">
        <f aca="false">N$5*4_Normalizacion!N301</f>
        <v>0.00607918426103344</v>
      </c>
      <c r="O303" s="21" t="n">
        <f aca="false">O$5*4_Normalizacion!O301</f>
        <v>0.00200587264654955</v>
      </c>
      <c r="P303" s="21" t="n">
        <f aca="false">P$5*4_Normalizacion!P301</f>
        <v>0.00135841219936972</v>
      </c>
      <c r="Q303" s="21" t="n">
        <f aca="false">Q$5*4_Normalizacion!Q301</f>
        <v>0.0142963285899449</v>
      </c>
    </row>
    <row r="304" customFormat="false" ht="15" hidden="false" customHeight="false" outlineLevel="0" collapsed="false">
      <c r="A304" s="15" t="n">
        <f aca="false">4_Normalizacion!A302</f>
        <v>297</v>
      </c>
      <c r="B304" s="16" t="n">
        <f aca="false">4_Normalizacion!B302</f>
        <v>29.946</v>
      </c>
      <c r="C304" s="21" t="n">
        <f aca="false">C$5*4_Normalizacion!C302</f>
        <v>0.00211491006743141</v>
      </c>
      <c r="D304" s="21" t="n">
        <f aca="false">D$5*4_Normalizacion!D302</f>
        <v>0.00016434498190068</v>
      </c>
      <c r="E304" s="21" t="n">
        <f aca="false">E$5*4_Normalizacion!E302</f>
        <v>0.00185693905364827</v>
      </c>
      <c r="F304" s="21" t="n">
        <f aca="false">F$5*4_Normalizacion!F302</f>
        <v>0.00161403739408304</v>
      </c>
      <c r="G304" s="21" t="n">
        <f aca="false">G$5*4_Normalizacion!G302</f>
        <v>0.000280339284607229</v>
      </c>
      <c r="H304" s="21" t="n">
        <f aca="false">H$5*4_Normalizacion!H302</f>
        <v>0.00509263768149227</v>
      </c>
      <c r="I304" s="21" t="n">
        <f aca="false">I$5*4_Normalizacion!I302</f>
        <v>0.00281086825420146</v>
      </c>
      <c r="J304" s="21" t="n">
        <f aca="false">J$5*4_Normalizacion!J302</f>
        <v>0.000255567041403239</v>
      </c>
      <c r="K304" s="21" t="n">
        <f aca="false">K$5*4_Normalizacion!K302</f>
        <v>3.90133374367575E-005</v>
      </c>
      <c r="L304" s="21" t="n">
        <f aca="false">L$5*4_Normalizacion!L302</f>
        <v>0.000836309764863567</v>
      </c>
      <c r="M304" s="21" t="n">
        <f aca="false">M$5*4_Normalizacion!M302</f>
        <v>0.000532508377537217</v>
      </c>
      <c r="N304" s="21" t="n">
        <f aca="false">N$5*4_Normalizacion!N302</f>
        <v>0.00607918426103344</v>
      </c>
      <c r="O304" s="21" t="n">
        <f aca="false">O$5*4_Normalizacion!O302</f>
        <v>0.00200587264654955</v>
      </c>
      <c r="P304" s="21" t="n">
        <f aca="false">P$5*4_Normalizacion!P302</f>
        <v>0.00135841219936972</v>
      </c>
      <c r="Q304" s="21" t="n">
        <f aca="false">Q$5*4_Normalizacion!Q302</f>
        <v>0.0142963285899449</v>
      </c>
    </row>
    <row r="305" customFormat="false" ht="15" hidden="false" customHeight="false" outlineLevel="0" collapsed="false">
      <c r="A305" s="15" t="n">
        <f aca="false">4_Normalizacion!A303</f>
        <v>298</v>
      </c>
      <c r="B305" s="16" t="n">
        <f aca="false">4_Normalizacion!B303</f>
        <v>30.044</v>
      </c>
      <c r="C305" s="21" t="n">
        <f aca="false">C$5*4_Normalizacion!C303</f>
        <v>0.00211491006743141</v>
      </c>
      <c r="D305" s="21" t="n">
        <f aca="false">D$5*4_Normalizacion!D303</f>
        <v>0.00016434498190068</v>
      </c>
      <c r="E305" s="21" t="n">
        <f aca="false">E$5*4_Normalizacion!E303</f>
        <v>0.00185693905364827</v>
      </c>
      <c r="F305" s="21" t="n">
        <f aca="false">F$5*4_Normalizacion!F303</f>
        <v>0.00161403739408304</v>
      </c>
      <c r="G305" s="21" t="n">
        <f aca="false">G$5*4_Normalizacion!G303</f>
        <v>0.000280339284607229</v>
      </c>
      <c r="H305" s="21" t="n">
        <f aca="false">H$5*4_Normalizacion!H303</f>
        <v>0.00509263768149227</v>
      </c>
      <c r="I305" s="21" t="n">
        <f aca="false">I$5*4_Normalizacion!I303</f>
        <v>0.00281086825420146</v>
      </c>
      <c r="J305" s="21" t="n">
        <f aca="false">J$5*4_Normalizacion!J303</f>
        <v>0.000255567041403239</v>
      </c>
      <c r="K305" s="21" t="n">
        <f aca="false">K$5*4_Normalizacion!K303</f>
        <v>3.90133374367575E-005</v>
      </c>
      <c r="L305" s="21" t="n">
        <f aca="false">L$5*4_Normalizacion!L303</f>
        <v>0.00100076396323002</v>
      </c>
      <c r="M305" s="21" t="n">
        <f aca="false">M$5*4_Normalizacion!M303</f>
        <v>0.000677512598263023</v>
      </c>
      <c r="N305" s="21" t="n">
        <f aca="false">N$5*4_Normalizacion!N303</f>
        <v>0.00455938819577508</v>
      </c>
      <c r="O305" s="21" t="n">
        <f aca="false">O$5*4_Normalizacion!O303</f>
        <v>0.00200587264654955</v>
      </c>
      <c r="P305" s="21" t="n">
        <f aca="false">P$5*4_Normalizacion!P303</f>
        <v>0.00135841219936972</v>
      </c>
      <c r="Q305" s="21" t="n">
        <f aca="false">Q$5*4_Normalizacion!Q303</f>
        <v>0.00285926571798898</v>
      </c>
    </row>
    <row r="306" customFormat="false" ht="15" hidden="false" customHeight="false" outlineLevel="0" collapsed="false">
      <c r="A306" s="15" t="n">
        <f aca="false">4_Normalizacion!A304</f>
        <v>299</v>
      </c>
      <c r="B306" s="16" t="n">
        <f aca="false">4_Normalizacion!B304</f>
        <v>30.143</v>
      </c>
      <c r="C306" s="21" t="n">
        <f aca="false">C$5*4_Normalizacion!C304</f>
        <v>0.00211491006743141</v>
      </c>
      <c r="D306" s="21" t="n">
        <f aca="false">D$5*4_Normalizacion!D304</f>
        <v>0.00016434498190068</v>
      </c>
      <c r="E306" s="21" t="n">
        <f aca="false">E$5*4_Normalizacion!E304</f>
        <v>0.00185693905364827</v>
      </c>
      <c r="F306" s="21" t="n">
        <f aca="false">F$5*4_Normalizacion!F304</f>
        <v>0.00161403739408304</v>
      </c>
      <c r="G306" s="21" t="n">
        <f aca="false">G$5*4_Normalizacion!G304</f>
        <v>0.000280339284607229</v>
      </c>
      <c r="H306" s="21" t="n">
        <f aca="false">H$5*4_Normalizacion!H304</f>
        <v>0.00509263768149227</v>
      </c>
      <c r="I306" s="21" t="n">
        <f aca="false">I$5*4_Normalizacion!I304</f>
        <v>0.00281086825420146</v>
      </c>
      <c r="J306" s="21" t="n">
        <f aca="false">J$5*4_Normalizacion!J304</f>
        <v>0.000255567041403239</v>
      </c>
      <c r="K306" s="21" t="n">
        <f aca="false">K$5*4_Normalizacion!K304</f>
        <v>3.90133374367575E-005</v>
      </c>
      <c r="L306" s="21" t="n">
        <f aca="false">L$5*4_Normalizacion!L304</f>
        <v>0.00127702696109563</v>
      </c>
      <c r="M306" s="21" t="n">
        <f aca="false">M$5*4_Normalizacion!M304</f>
        <v>0.000683915918551484</v>
      </c>
      <c r="N306" s="21" t="n">
        <f aca="false">N$5*4_Normalizacion!N304</f>
        <v>0.00455938819577508</v>
      </c>
      <c r="O306" s="21" t="n">
        <f aca="false">O$5*4_Normalizacion!O304</f>
        <v>0.00200587264654955</v>
      </c>
      <c r="P306" s="21" t="n">
        <f aca="false">P$5*4_Normalizacion!P304</f>
        <v>0.00135841219936972</v>
      </c>
      <c r="Q306" s="21" t="n">
        <f aca="false">Q$5*4_Normalizacion!Q304</f>
        <v>0.00571853143597797</v>
      </c>
    </row>
    <row r="307" customFormat="false" ht="15" hidden="false" customHeight="false" outlineLevel="0" collapsed="false">
      <c r="A307" s="15" t="n">
        <f aca="false">4_Normalizacion!A305</f>
        <v>300</v>
      </c>
      <c r="B307" s="16" t="n">
        <f aca="false">4_Normalizacion!B305</f>
        <v>30.243</v>
      </c>
      <c r="C307" s="21" t="n">
        <f aca="false">C$5*4_Normalizacion!C305</f>
        <v>0.00211491006743141</v>
      </c>
      <c r="D307" s="21" t="n">
        <f aca="false">D$5*4_Normalizacion!D305</f>
        <v>0.00016434498190068</v>
      </c>
      <c r="E307" s="21" t="n">
        <f aca="false">E$5*4_Normalizacion!E305</f>
        <v>0.0013927042902362</v>
      </c>
      <c r="F307" s="21" t="n">
        <f aca="false">F$5*4_Normalizacion!F305</f>
        <v>0.00161403739408304</v>
      </c>
      <c r="G307" s="21" t="n">
        <f aca="false">G$5*4_Normalizacion!G305</f>
        <v>0.000280339284607229</v>
      </c>
      <c r="H307" s="21" t="n">
        <f aca="false">H$5*4_Normalizacion!H305</f>
        <v>0.00509263768149227</v>
      </c>
      <c r="I307" s="21" t="n">
        <f aca="false">I$5*4_Normalizacion!I305</f>
        <v>0.00281086825420146</v>
      </c>
      <c r="J307" s="21" t="n">
        <f aca="false">J$5*4_Normalizacion!J305</f>
        <v>0.000255567041403239</v>
      </c>
      <c r="K307" s="21" t="n">
        <f aca="false">K$5*4_Normalizacion!K305</f>
        <v>3.90133374367575E-005</v>
      </c>
      <c r="L307" s="21" t="n">
        <f aca="false">L$5*4_Normalizacion!L305</f>
        <v>0.00114817108005849</v>
      </c>
      <c r="M307" s="21" t="n">
        <f aca="false">M$5*4_Normalizacion!M305</f>
        <v>0.00053663955191687</v>
      </c>
      <c r="N307" s="21" t="n">
        <f aca="false">N$5*4_Normalizacion!N305</f>
        <v>0.00455938819577508</v>
      </c>
      <c r="O307" s="21" t="n">
        <f aca="false">O$5*4_Normalizacion!O305</f>
        <v>0.00200587264654955</v>
      </c>
      <c r="P307" s="21" t="n">
        <f aca="false">P$5*4_Normalizacion!P305</f>
        <v>0.00135841219936972</v>
      </c>
      <c r="Q307" s="21" t="n">
        <f aca="false">Q$5*4_Normalizacion!Q305</f>
        <v>0.0142963285899449</v>
      </c>
    </row>
    <row r="308" customFormat="false" ht="15" hidden="false" customHeight="false" outlineLevel="0" collapsed="false">
      <c r="A308" s="15" t="n">
        <f aca="false">4_Normalizacion!A306</f>
        <v>301</v>
      </c>
      <c r="B308" s="16" t="n">
        <f aca="false">4_Normalizacion!B306</f>
        <v>30.342</v>
      </c>
      <c r="C308" s="21" t="n">
        <f aca="false">C$5*4_Normalizacion!C306</f>
        <v>0.00211491006743141</v>
      </c>
      <c r="D308" s="21" t="n">
        <f aca="false">D$5*4_Normalizacion!D306</f>
        <v>0.00016434498190068</v>
      </c>
      <c r="E308" s="21" t="n">
        <f aca="false">E$5*4_Normalizacion!E306</f>
        <v>0.0013927042902362</v>
      </c>
      <c r="F308" s="21" t="n">
        <f aca="false">F$5*4_Normalizacion!F306</f>
        <v>0.00121052804556228</v>
      </c>
      <c r="G308" s="21" t="n">
        <f aca="false">G$5*4_Normalizacion!G306</f>
        <v>0.000280339284607229</v>
      </c>
      <c r="H308" s="21" t="n">
        <f aca="false">H$5*4_Normalizacion!H306</f>
        <v>0.00509263768149227</v>
      </c>
      <c r="I308" s="21" t="n">
        <f aca="false">I$5*4_Normalizacion!I306</f>
        <v>0.00281086825420146</v>
      </c>
      <c r="J308" s="21" t="n">
        <f aca="false">J$5*4_Normalizacion!J306</f>
        <v>0.000255567041403239</v>
      </c>
      <c r="K308" s="21" t="n">
        <f aca="false">K$5*4_Normalizacion!K306</f>
        <v>3.90133374367575E-005</v>
      </c>
      <c r="L308" s="21" t="n">
        <f aca="false">L$5*4_Normalizacion!L306</f>
        <v>0.00131262527842495</v>
      </c>
      <c r="M308" s="21" t="n">
        <f aca="false">M$5*4_Normalizacion!M306</f>
        <v>0.000651486199671212</v>
      </c>
      <c r="N308" s="21" t="n">
        <f aca="false">N$5*4_Normalizacion!N306</f>
        <v>0.00455938819577508</v>
      </c>
      <c r="O308" s="21" t="n">
        <f aca="false">O$5*4_Normalizacion!O306</f>
        <v>0.00200587264654955</v>
      </c>
      <c r="P308" s="21" t="n">
        <f aca="false">P$5*4_Normalizacion!P306</f>
        <v>0.00135841219936972</v>
      </c>
      <c r="Q308" s="21" t="n">
        <f aca="false">Q$5*4_Normalizacion!Q306</f>
        <v>0.00285926571798898</v>
      </c>
    </row>
    <row r="309" customFormat="false" ht="15" hidden="false" customHeight="false" outlineLevel="0" collapsed="false">
      <c r="A309" s="15" t="n">
        <f aca="false">4_Normalizacion!A307</f>
        <v>302</v>
      </c>
      <c r="B309" s="16" t="n">
        <f aca="false">4_Normalizacion!B307</f>
        <v>30.441</v>
      </c>
      <c r="C309" s="21" t="n">
        <f aca="false">C$5*4_Normalizacion!C307</f>
        <v>0.00211491006743141</v>
      </c>
      <c r="D309" s="21" t="n">
        <f aca="false">D$5*4_Normalizacion!D307</f>
        <v>0.00016434498190068</v>
      </c>
      <c r="E309" s="21" t="n">
        <f aca="false">E$5*4_Normalizacion!E307</f>
        <v>0.0013927042902362</v>
      </c>
      <c r="F309" s="21" t="n">
        <f aca="false">F$5*4_Normalizacion!F307</f>
        <v>0.00121052804556228</v>
      </c>
      <c r="G309" s="21" t="n">
        <f aca="false">G$5*4_Normalizacion!G307</f>
        <v>0.000280339284607229</v>
      </c>
      <c r="H309" s="21" t="n">
        <f aca="false">H$5*4_Normalizacion!H307</f>
        <v>0.00509263768149227</v>
      </c>
      <c r="I309" s="21" t="n">
        <f aca="false">I$5*4_Normalizacion!I307</f>
        <v>0.00281086825420146</v>
      </c>
      <c r="J309" s="21" t="n">
        <f aca="false">J$5*4_Normalizacion!J307</f>
        <v>0.000255567041403239</v>
      </c>
      <c r="K309" s="21" t="n">
        <f aca="false">K$5*4_Normalizacion!K307</f>
        <v>3.90133374367575E-005</v>
      </c>
      <c r="L309" s="21" t="n">
        <f aca="false">L$5*4_Normalizacion!L307</f>
        <v>0.00144448946796879</v>
      </c>
      <c r="M309" s="21" t="n">
        <f aca="false">M$5*4_Normalizacion!M307</f>
        <v>0.000672348630288457</v>
      </c>
      <c r="N309" s="21" t="n">
        <f aca="false">N$5*4_Normalizacion!N307</f>
        <v>0.00455938819577508</v>
      </c>
      <c r="O309" s="21" t="n">
        <f aca="false">O$5*4_Normalizacion!O307</f>
        <v>0.00200587264654955</v>
      </c>
      <c r="P309" s="21" t="n">
        <f aca="false">P$5*4_Normalizacion!P307</f>
        <v>0.00135841219936972</v>
      </c>
      <c r="Q309" s="21" t="n">
        <f aca="false">Q$5*4_Normalizacion!Q307</f>
        <v>0.00285926571798898</v>
      </c>
    </row>
    <row r="310" customFormat="false" ht="15" hidden="false" customHeight="false" outlineLevel="0" collapsed="false">
      <c r="A310" s="15" t="n">
        <f aca="false">4_Normalizacion!A308</f>
        <v>303</v>
      </c>
      <c r="B310" s="16" t="n">
        <f aca="false">4_Normalizacion!B308</f>
        <v>30.541</v>
      </c>
      <c r="C310" s="21" t="n">
        <f aca="false">C$5*4_Normalizacion!C308</f>
        <v>0.00211491006743141</v>
      </c>
      <c r="D310" s="21" t="n">
        <f aca="false">D$5*4_Normalizacion!D308</f>
        <v>0.00016434498190068</v>
      </c>
      <c r="E310" s="21" t="n">
        <f aca="false">E$5*4_Normalizacion!E308</f>
        <v>0.000928469526824133</v>
      </c>
      <c r="F310" s="21" t="n">
        <f aca="false">F$5*4_Normalizacion!F308</f>
        <v>0.00121052804556228</v>
      </c>
      <c r="G310" s="21" t="n">
        <f aca="false">G$5*4_Normalizacion!G308</f>
        <v>0.000280339284607229</v>
      </c>
      <c r="H310" s="21" t="n">
        <f aca="false">H$5*4_Normalizacion!H308</f>
        <v>0.00509263768149227</v>
      </c>
      <c r="I310" s="21" t="n">
        <f aca="false">I$5*4_Normalizacion!I308</f>
        <v>0.00281086825420146</v>
      </c>
      <c r="J310" s="21" t="n">
        <f aca="false">J$5*4_Normalizacion!J308</f>
        <v>0.000255567041403239</v>
      </c>
      <c r="K310" s="21" t="n">
        <f aca="false">K$5*4_Normalizacion!K308</f>
        <v>3.90133374367575E-005</v>
      </c>
      <c r="L310" s="21" t="n">
        <f aca="false">L$5*4_Normalizacion!L308</f>
        <v>0.00169668599778076</v>
      </c>
      <c r="M310" s="21" t="n">
        <f aca="false">M$5*4_Normalizacion!M308</f>
        <v>0.000535400199602974</v>
      </c>
      <c r="N310" s="21" t="n">
        <f aca="false">N$5*4_Normalizacion!N308</f>
        <v>0.00455938819577508</v>
      </c>
      <c r="O310" s="21" t="n">
        <f aca="false">O$5*4_Normalizacion!O308</f>
        <v>0.00200587264654955</v>
      </c>
      <c r="P310" s="21" t="n">
        <f aca="false">P$5*4_Normalizacion!P308</f>
        <v>0.00135841219936972</v>
      </c>
      <c r="Q310" s="21" t="n">
        <f aca="false">Q$5*4_Normalizacion!Q308</f>
        <v>0.00857779715396695</v>
      </c>
    </row>
    <row r="311" customFormat="false" ht="15" hidden="false" customHeight="false" outlineLevel="0" collapsed="false">
      <c r="A311" s="15" t="n">
        <f aca="false">4_Normalizacion!A309</f>
        <v>304</v>
      </c>
      <c r="B311" s="16" t="n">
        <f aca="false">4_Normalizacion!B309</f>
        <v>30.64</v>
      </c>
      <c r="C311" s="21" t="n">
        <f aca="false">C$5*4_Normalizacion!C309</f>
        <v>0.00211491006743141</v>
      </c>
      <c r="D311" s="21" t="n">
        <f aca="false">D$5*4_Normalizacion!D309</f>
        <v>0.00016434498190068</v>
      </c>
      <c r="E311" s="21" t="n">
        <f aca="false">E$5*4_Normalizacion!E309</f>
        <v>0.000928469526824133</v>
      </c>
      <c r="F311" s="21" t="n">
        <f aca="false">F$5*4_Normalizacion!F309</f>
        <v>0.00121052804556228</v>
      </c>
      <c r="G311" s="21" t="n">
        <f aca="false">G$5*4_Normalizacion!G309</f>
        <v>0.000280339284607229</v>
      </c>
      <c r="H311" s="21" t="n">
        <f aca="false">H$5*4_Normalizacion!H309</f>
        <v>0.00509263768149227</v>
      </c>
      <c r="I311" s="21" t="n">
        <f aca="false">I$5*4_Normalizacion!I309</f>
        <v>0.00281086825420146</v>
      </c>
      <c r="J311" s="21" t="n">
        <f aca="false">J$5*4_Normalizacion!J309</f>
        <v>0.000255567041403239</v>
      </c>
      <c r="K311" s="21" t="n">
        <f aca="false">K$5*4_Normalizacion!K309</f>
        <v>3.90133374367575E-005</v>
      </c>
      <c r="L311" s="21" t="n">
        <f aca="false">L$5*4_Normalizacion!L309</f>
        <v>0.00174231201013243</v>
      </c>
      <c r="M311" s="21" t="n">
        <f aca="false">M$5*4_Normalizacion!M309</f>
        <v>0.000506688537664389</v>
      </c>
      <c r="N311" s="21" t="n">
        <f aca="false">N$5*4_Normalizacion!N309</f>
        <v>0.00455938819577508</v>
      </c>
      <c r="O311" s="21" t="n">
        <f aca="false">O$5*4_Normalizacion!O309</f>
        <v>0.00200587264654955</v>
      </c>
      <c r="P311" s="21" t="n">
        <f aca="false">P$5*4_Normalizacion!P309</f>
        <v>0.00135841219936972</v>
      </c>
      <c r="Q311" s="21" t="n">
        <f aca="false">Q$5*4_Normalizacion!Q309</f>
        <v>0.00857779715396695</v>
      </c>
    </row>
    <row r="312" customFormat="false" ht="15" hidden="false" customHeight="false" outlineLevel="0" collapsed="false">
      <c r="A312" s="15" t="n">
        <f aca="false">4_Normalizacion!A310</f>
        <v>305</v>
      </c>
      <c r="B312" s="16" t="n">
        <f aca="false">4_Normalizacion!B310</f>
        <v>30.739</v>
      </c>
      <c r="C312" s="21" t="n">
        <f aca="false">C$5*4_Normalizacion!C310</f>
        <v>0.00211491006743141</v>
      </c>
      <c r="D312" s="21" t="n">
        <f aca="false">D$5*4_Normalizacion!D310</f>
        <v>0.00020543122737585</v>
      </c>
      <c r="E312" s="21" t="n">
        <f aca="false">E$5*4_Normalizacion!E310</f>
        <v>0.000928469526824133</v>
      </c>
      <c r="F312" s="21" t="n">
        <f aca="false">F$5*4_Normalizacion!F310</f>
        <v>0.00121052804556228</v>
      </c>
      <c r="G312" s="21" t="n">
        <f aca="false">G$5*4_Normalizacion!G310</f>
        <v>0.000280339284607229</v>
      </c>
      <c r="H312" s="21" t="n">
        <f aca="false">H$5*4_Normalizacion!H310</f>
        <v>0.00509263768149227</v>
      </c>
      <c r="I312" s="21" t="n">
        <f aca="false">I$5*4_Normalizacion!I310</f>
        <v>0.00281086825420146</v>
      </c>
      <c r="J312" s="21" t="n">
        <f aca="false">J$5*4_Normalizacion!J310</f>
        <v>0.000255567041403239</v>
      </c>
      <c r="K312" s="21" t="n">
        <f aca="false">K$5*4_Normalizacion!K310</f>
        <v>3.90133374367575E-005</v>
      </c>
      <c r="L312" s="21" t="n">
        <f aca="false">L$5*4_Normalizacion!L310</f>
        <v>0.00148961409556934</v>
      </c>
      <c r="M312" s="21" t="n">
        <f aca="false">M$5*4_Normalizacion!M310</f>
        <v>0.000562459391789698</v>
      </c>
      <c r="N312" s="21" t="n">
        <f aca="false">N$5*4_Normalizacion!N310</f>
        <v>0.00455938819577508</v>
      </c>
      <c r="O312" s="21" t="n">
        <f aca="false">O$5*4_Normalizacion!O310</f>
        <v>0.00200587264654955</v>
      </c>
      <c r="P312" s="21" t="n">
        <f aca="false">P$5*4_Normalizacion!P310</f>
        <v>0.00135841219936972</v>
      </c>
      <c r="Q312" s="21" t="n">
        <f aca="false">Q$5*4_Normalizacion!Q310</f>
        <v>0.00571853143597797</v>
      </c>
    </row>
    <row r="313" customFormat="false" ht="15" hidden="false" customHeight="false" outlineLevel="0" collapsed="false">
      <c r="A313" s="15" t="n">
        <f aca="false">4_Normalizacion!A311</f>
        <v>306</v>
      </c>
      <c r="B313" s="16" t="n">
        <f aca="false">4_Normalizacion!B311</f>
        <v>30.838</v>
      </c>
      <c r="C313" s="21" t="n">
        <f aca="false">C$5*4_Normalizacion!C311</f>
        <v>0.00211491006743141</v>
      </c>
      <c r="D313" s="21" t="n">
        <f aca="false">D$5*4_Normalizacion!D311</f>
        <v>0.00020543122737585</v>
      </c>
      <c r="E313" s="21" t="n">
        <f aca="false">E$5*4_Normalizacion!E311</f>
        <v>0.0013927042902362</v>
      </c>
      <c r="F313" s="21" t="n">
        <f aca="false">F$5*4_Normalizacion!F311</f>
        <v>0.000807018697041519</v>
      </c>
      <c r="G313" s="21" t="n">
        <f aca="false">G$5*4_Normalizacion!G311</f>
        <v>0.000280339284607229</v>
      </c>
      <c r="H313" s="21" t="n">
        <f aca="false">H$5*4_Normalizacion!H311</f>
        <v>0.00509263768149227</v>
      </c>
      <c r="I313" s="21" t="n">
        <f aca="false">I$5*4_Normalizacion!I311</f>
        <v>0.00281086825420146</v>
      </c>
      <c r="J313" s="21" t="n">
        <f aca="false">J$5*4_Normalizacion!J311</f>
        <v>0.000255567041403239</v>
      </c>
      <c r="K313" s="21" t="n">
        <f aca="false">K$5*4_Normalizacion!K311</f>
        <v>3.90133374367575E-005</v>
      </c>
      <c r="L313" s="21" t="n">
        <f aca="false">L$5*4_Normalizacion!L311</f>
        <v>0.00129607958163808</v>
      </c>
      <c r="M313" s="21" t="n">
        <f aca="false">M$5*4_Normalizacion!M311</f>
        <v>0.000630830327772949</v>
      </c>
      <c r="N313" s="21" t="n">
        <f aca="false">N$5*4_Normalizacion!N311</f>
        <v>0.00455938819577508</v>
      </c>
      <c r="O313" s="21" t="n">
        <f aca="false">O$5*4_Normalizacion!O311</f>
        <v>0.00200587264654955</v>
      </c>
      <c r="P313" s="21" t="n">
        <f aca="false">P$5*4_Normalizacion!P311</f>
        <v>0.00135841219936972</v>
      </c>
      <c r="Q313" s="21" t="n">
        <f aca="false">Q$5*4_Normalizacion!Q311</f>
        <v>0.00571853143597797</v>
      </c>
    </row>
    <row r="314" customFormat="false" ht="15" hidden="false" customHeight="false" outlineLevel="0" collapsed="false">
      <c r="A314" s="15" t="n">
        <f aca="false">4_Normalizacion!A312</f>
        <v>307</v>
      </c>
      <c r="B314" s="16" t="n">
        <f aca="false">4_Normalizacion!B312</f>
        <v>30.937</v>
      </c>
      <c r="C314" s="21" t="n">
        <f aca="false">C$5*4_Normalizacion!C312</f>
        <v>0.00211491006743141</v>
      </c>
      <c r="D314" s="21" t="n">
        <f aca="false">D$5*4_Normalizacion!D312</f>
        <v>0.00020543122737585</v>
      </c>
      <c r="E314" s="21" t="n">
        <f aca="false">E$5*4_Normalizacion!E312</f>
        <v>0.0013927042902362</v>
      </c>
      <c r="F314" s="21" t="n">
        <f aca="false">F$5*4_Normalizacion!F312</f>
        <v>0.000807018697041519</v>
      </c>
      <c r="G314" s="21" t="n">
        <f aca="false">G$5*4_Normalizacion!G312</f>
        <v>0.000280339284607229</v>
      </c>
      <c r="H314" s="21" t="n">
        <f aca="false">H$5*4_Normalizacion!H312</f>
        <v>0.00509263768149227</v>
      </c>
      <c r="I314" s="21" t="n">
        <f aca="false">I$5*4_Normalizacion!I312</f>
        <v>0.00281086825420146</v>
      </c>
      <c r="J314" s="21" t="n">
        <f aca="false">J$5*4_Normalizacion!J312</f>
        <v>0.000255567041403239</v>
      </c>
      <c r="K314" s="21" t="n">
        <f aca="false">K$5*4_Normalizacion!K312</f>
        <v>3.90133374367575E-005</v>
      </c>
      <c r="L314" s="21" t="n">
        <f aca="false">L$5*4_Normalizacion!L312</f>
        <v>0.00111106860847582</v>
      </c>
      <c r="M314" s="21" t="n">
        <f aca="false">M$5*4_Normalizacion!M312</f>
        <v>0.000732250658793419</v>
      </c>
      <c r="N314" s="21" t="n">
        <f aca="false">N$5*4_Normalizacion!N312</f>
        <v>0.00455938819577508</v>
      </c>
      <c r="O314" s="21" t="n">
        <f aca="false">O$5*4_Normalizacion!O312</f>
        <v>0.00200587264654955</v>
      </c>
      <c r="P314" s="21" t="n">
        <f aca="false">P$5*4_Normalizacion!P312</f>
        <v>0.00135841219936972</v>
      </c>
      <c r="Q314" s="21" t="n">
        <f aca="false">Q$5*4_Normalizacion!Q312</f>
        <v>0.00285926571798898</v>
      </c>
    </row>
    <row r="315" customFormat="false" ht="15" hidden="false" customHeight="false" outlineLevel="0" collapsed="false">
      <c r="A315" s="15" t="n">
        <f aca="false">4_Normalizacion!A313</f>
        <v>308</v>
      </c>
      <c r="B315" s="16" t="n">
        <f aca="false">4_Normalizacion!B313</f>
        <v>31.036</v>
      </c>
      <c r="C315" s="21" t="n">
        <f aca="false">C$5*4_Normalizacion!C313</f>
        <v>0.00211491006743141</v>
      </c>
      <c r="D315" s="21" t="n">
        <f aca="false">D$5*4_Normalizacion!D313</f>
        <v>0.00016434498190068</v>
      </c>
      <c r="E315" s="21" t="n">
        <f aca="false">E$5*4_Normalizacion!E313</f>
        <v>0.0013927042902362</v>
      </c>
      <c r="F315" s="21" t="n">
        <f aca="false">F$5*4_Normalizacion!F313</f>
        <v>0.00121052804556228</v>
      </c>
      <c r="G315" s="21" t="n">
        <f aca="false">G$5*4_Normalizacion!G313</f>
        <v>0.000280339284607229</v>
      </c>
      <c r="H315" s="21" t="n">
        <f aca="false">H$5*4_Normalizacion!H313</f>
        <v>0.00509263768149227</v>
      </c>
      <c r="I315" s="21" t="n">
        <f aca="false">I$5*4_Normalizacion!I313</f>
        <v>0.00281086825420146</v>
      </c>
      <c r="J315" s="21" t="n">
        <f aca="false">J$5*4_Normalizacion!J313</f>
        <v>0.000255567041403239</v>
      </c>
      <c r="K315" s="21" t="n">
        <f aca="false">K$5*4_Normalizacion!K313</f>
        <v>3.90133374367575E-005</v>
      </c>
      <c r="L315" s="21" t="n">
        <f aca="false">L$5*4_Normalizacion!L313</f>
        <v>0.00155629826746793</v>
      </c>
      <c r="M315" s="21" t="n">
        <f aca="false">M$5*4_Normalizacion!M313</f>
        <v>0.000617197452320095</v>
      </c>
      <c r="N315" s="21" t="n">
        <f aca="false">N$5*4_Normalizacion!N313</f>
        <v>0.00455938819577508</v>
      </c>
      <c r="O315" s="21" t="n">
        <f aca="false">O$5*4_Normalizacion!O313</f>
        <v>0.00200587264654955</v>
      </c>
      <c r="P315" s="21" t="n">
        <f aca="false">P$5*4_Normalizacion!P313</f>
        <v>0.00135841219936972</v>
      </c>
      <c r="Q315" s="21" t="n">
        <f aca="false">Q$5*4_Normalizacion!Q313</f>
        <v>0.00857779715396695</v>
      </c>
    </row>
    <row r="316" customFormat="false" ht="15" hidden="false" customHeight="false" outlineLevel="0" collapsed="false">
      <c r="A316" s="15" t="n">
        <f aca="false">4_Normalizacion!A314</f>
        <v>309</v>
      </c>
      <c r="B316" s="16" t="n">
        <f aca="false">4_Normalizacion!B314</f>
        <v>31.135</v>
      </c>
      <c r="C316" s="21" t="n">
        <f aca="false">C$5*4_Normalizacion!C314</f>
        <v>0.00211491006743141</v>
      </c>
      <c r="D316" s="21" t="n">
        <f aca="false">D$5*4_Normalizacion!D314</f>
        <v>0.00016434498190068</v>
      </c>
      <c r="E316" s="21" t="n">
        <f aca="false">E$5*4_Normalizacion!E314</f>
        <v>0.0013927042902362</v>
      </c>
      <c r="F316" s="21" t="n">
        <f aca="false">F$5*4_Normalizacion!F314</f>
        <v>0.00161403739408304</v>
      </c>
      <c r="G316" s="21" t="n">
        <f aca="false">G$5*4_Normalizacion!G314</f>
        <v>0.000280339284607229</v>
      </c>
      <c r="H316" s="21" t="n">
        <f aca="false">H$5*4_Normalizacion!H314</f>
        <v>0.00509263768149227</v>
      </c>
      <c r="I316" s="21" t="n">
        <f aca="false">I$5*4_Normalizacion!I314</f>
        <v>0.00281086825420146</v>
      </c>
      <c r="J316" s="21" t="n">
        <f aca="false">J$5*4_Normalizacion!J314</f>
        <v>0.000255567041403239</v>
      </c>
      <c r="K316" s="21" t="n">
        <f aca="false">K$5*4_Normalizacion!K314</f>
        <v>3.90133374367575E-005</v>
      </c>
      <c r="L316" s="21" t="n">
        <f aca="false">L$5*4_Normalizacion!L314</f>
        <v>0.00178994356148857</v>
      </c>
      <c r="M316" s="21" t="n">
        <f aca="false">M$5*4_Normalizacion!M314</f>
        <v>0.000479216228039699</v>
      </c>
      <c r="N316" s="21" t="n">
        <f aca="false">N$5*4_Normalizacion!N314</f>
        <v>0.00455938819577508</v>
      </c>
      <c r="O316" s="21" t="n">
        <f aca="false">O$5*4_Normalizacion!O314</f>
        <v>0.00200587264654955</v>
      </c>
      <c r="P316" s="21" t="n">
        <f aca="false">P$5*4_Normalizacion!P314</f>
        <v>0.00135841219936972</v>
      </c>
      <c r="Q316" s="21" t="n">
        <f aca="false">Q$5*4_Normalizacion!Q314</f>
        <v>0.0142963285899449</v>
      </c>
    </row>
    <row r="317" customFormat="false" ht="15" hidden="false" customHeight="false" outlineLevel="0" collapsed="false">
      <c r="A317" s="15" t="n">
        <f aca="false">4_Normalizacion!A315</f>
        <v>310</v>
      </c>
      <c r="B317" s="16" t="n">
        <f aca="false">4_Normalizacion!B315</f>
        <v>31.234</v>
      </c>
      <c r="C317" s="21" t="n">
        <f aca="false">C$5*4_Normalizacion!C315</f>
        <v>0.00211491006743141</v>
      </c>
      <c r="D317" s="21" t="n">
        <f aca="false">D$5*4_Normalizacion!D315</f>
        <v>0.00016434498190068</v>
      </c>
      <c r="E317" s="21" t="n">
        <f aca="false">E$5*4_Normalizacion!E315</f>
        <v>0.00185693905364827</v>
      </c>
      <c r="F317" s="21" t="n">
        <f aca="false">F$5*4_Normalizacion!F315</f>
        <v>0.000807018697041519</v>
      </c>
      <c r="G317" s="21" t="n">
        <f aca="false">G$5*4_Normalizacion!G315</f>
        <v>0.000280339284607229</v>
      </c>
      <c r="H317" s="21" t="n">
        <f aca="false">H$5*4_Normalizacion!H315</f>
        <v>0.00509263768149227</v>
      </c>
      <c r="I317" s="21" t="n">
        <f aca="false">I$5*4_Normalizacion!I315</f>
        <v>0.00281086825420146</v>
      </c>
      <c r="J317" s="21" t="n">
        <f aca="false">J$5*4_Normalizacion!J315</f>
        <v>0.000255567041403239</v>
      </c>
      <c r="K317" s="21" t="n">
        <f aca="false">K$5*4_Normalizacion!K315</f>
        <v>3.90133374367575E-005</v>
      </c>
      <c r="L317" s="21" t="n">
        <f aca="false">L$5*4_Normalizacion!L315</f>
        <v>0.00148109055480035</v>
      </c>
      <c r="M317" s="21" t="n">
        <f aca="false">M$5*4_Normalizacion!M315</f>
        <v>0.000643223850911906</v>
      </c>
      <c r="N317" s="21" t="n">
        <f aca="false">N$5*4_Normalizacion!N315</f>
        <v>0.00455938819577508</v>
      </c>
      <c r="O317" s="21" t="n">
        <f aca="false">O$5*4_Normalizacion!O315</f>
        <v>0.00200587264654955</v>
      </c>
      <c r="P317" s="21" t="n">
        <f aca="false">P$5*4_Normalizacion!P315</f>
        <v>0.00135841219936972</v>
      </c>
      <c r="Q317" s="21" t="n">
        <f aca="false">Q$5*4_Normalizacion!Q315</f>
        <v>0.00285926571798898</v>
      </c>
    </row>
    <row r="318" customFormat="false" ht="15" hidden="false" customHeight="false" outlineLevel="0" collapsed="false">
      <c r="A318" s="15" t="n">
        <f aca="false">4_Normalizacion!A316</f>
        <v>311</v>
      </c>
      <c r="B318" s="16" t="n">
        <f aca="false">4_Normalizacion!B316</f>
        <v>31.333</v>
      </c>
      <c r="C318" s="21" t="n">
        <f aca="false">C$5*4_Normalizacion!C316</f>
        <v>0.00211491006743141</v>
      </c>
      <c r="D318" s="21" t="n">
        <f aca="false">D$5*4_Normalizacion!D316</f>
        <v>0.00016434498190068</v>
      </c>
      <c r="E318" s="21" t="n">
        <f aca="false">E$5*4_Normalizacion!E316</f>
        <v>0.00232117381706033</v>
      </c>
      <c r="F318" s="21" t="n">
        <f aca="false">F$5*4_Normalizacion!F316</f>
        <v>0.00040350934852076</v>
      </c>
      <c r="G318" s="21" t="n">
        <f aca="false">G$5*4_Normalizacion!G316</f>
        <v>0.000280339284607229</v>
      </c>
      <c r="H318" s="21" t="n">
        <f aca="false">H$5*4_Normalizacion!H316</f>
        <v>0.00509263768149227</v>
      </c>
      <c r="I318" s="21" t="n">
        <f aca="false">I$5*4_Normalizacion!I316</f>
        <v>0.0112434730168058</v>
      </c>
      <c r="J318" s="21" t="n">
        <f aca="false">J$5*4_Normalizacion!J316</f>
        <v>0.000255567041403239</v>
      </c>
      <c r="K318" s="21" t="n">
        <f aca="false">K$5*4_Normalizacion!K316</f>
        <v>3.90133374367575E-005</v>
      </c>
      <c r="L318" s="21" t="n">
        <f aca="false">L$5*4_Normalizacion!L316</f>
        <v>0.00176587709343494</v>
      </c>
      <c r="M318" s="21" t="n">
        <f aca="false">M$5*4_Normalizacion!M316</f>
        <v>0.000537878904230766</v>
      </c>
      <c r="N318" s="21" t="n">
        <f aca="false">N$5*4_Normalizacion!N316</f>
        <v>0.00455938819577508</v>
      </c>
      <c r="O318" s="21" t="n">
        <f aca="false">O$5*4_Normalizacion!O316</f>
        <v>0.00200587264654955</v>
      </c>
      <c r="P318" s="21" t="n">
        <f aca="false">P$5*4_Normalizacion!P316</f>
        <v>0.00135841219936972</v>
      </c>
      <c r="Q318" s="21" t="n">
        <f aca="false">Q$5*4_Normalizacion!Q316</f>
        <v>0.00857779715396695</v>
      </c>
    </row>
    <row r="319" customFormat="false" ht="15" hidden="false" customHeight="false" outlineLevel="0" collapsed="false">
      <c r="A319" s="15" t="n">
        <f aca="false">4_Normalizacion!A317</f>
        <v>312</v>
      </c>
      <c r="B319" s="16" t="n">
        <f aca="false">4_Normalizacion!B317</f>
        <v>31.433</v>
      </c>
      <c r="C319" s="21" t="n">
        <f aca="false">C$5*4_Normalizacion!C317</f>
        <v>0.00211491006743141</v>
      </c>
      <c r="D319" s="21" t="n">
        <f aca="false">D$5*4_Normalizacion!D317</f>
        <v>0.00016434498190068</v>
      </c>
      <c r="E319" s="21" t="n">
        <f aca="false">E$5*4_Normalizacion!E317</f>
        <v>0.00232117381706033</v>
      </c>
      <c r="F319" s="21" t="n">
        <f aca="false">F$5*4_Normalizacion!F317</f>
        <v>0.00161403739408304</v>
      </c>
      <c r="G319" s="21" t="n">
        <f aca="false">G$5*4_Normalizacion!G317</f>
        <v>0.000280339284607229</v>
      </c>
      <c r="H319" s="21" t="n">
        <f aca="false">H$5*4_Normalizacion!H317</f>
        <v>0.00509263768149227</v>
      </c>
      <c r="I319" s="21" t="n">
        <f aca="false">I$5*4_Normalizacion!I317</f>
        <v>0.00843260476260438</v>
      </c>
      <c r="J319" s="21" t="n">
        <f aca="false">J$5*4_Normalizacion!J317</f>
        <v>0.000255567041403239</v>
      </c>
      <c r="K319" s="21" t="n">
        <f aca="false">K$5*4_Normalizacion!K317</f>
        <v>3.90133374367575E-005</v>
      </c>
      <c r="L319" s="21" t="n">
        <f aca="false">L$5*4_Normalizacion!L317</f>
        <v>0.00179395463949751</v>
      </c>
      <c r="M319" s="21" t="n">
        <f aca="false">M$5*4_Normalizacion!M317</f>
        <v>0.00048561954832816</v>
      </c>
      <c r="N319" s="21" t="n">
        <f aca="false">N$5*4_Normalizacion!N317</f>
        <v>0.00455938819577508</v>
      </c>
      <c r="O319" s="21" t="n">
        <f aca="false">O$5*4_Normalizacion!O317</f>
        <v>0.00200587264654955</v>
      </c>
      <c r="P319" s="21" t="n">
        <f aca="false">P$5*4_Normalizacion!P317</f>
        <v>0.00135841219936972</v>
      </c>
      <c r="Q319" s="21" t="n">
        <f aca="false">Q$5*4_Normalizacion!Q317</f>
        <v>0.0114370628719559</v>
      </c>
    </row>
    <row r="320" customFormat="false" ht="15" hidden="false" customHeight="false" outlineLevel="0" collapsed="false">
      <c r="A320" s="15" t="n">
        <f aca="false">4_Normalizacion!A318</f>
        <v>313</v>
      </c>
      <c r="B320" s="16" t="n">
        <f aca="false">4_Normalizacion!B318</f>
        <v>31.533</v>
      </c>
      <c r="C320" s="21" t="n">
        <f aca="false">C$5*4_Normalizacion!C318</f>
        <v>0.00211491006743141</v>
      </c>
      <c r="D320" s="21" t="n">
        <f aca="false">D$5*4_Normalizacion!D318</f>
        <v>0.00016434498190068</v>
      </c>
      <c r="E320" s="21" t="n">
        <f aca="false">E$5*4_Normalizacion!E318</f>
        <v>0.00185693905364827</v>
      </c>
      <c r="F320" s="21" t="n">
        <f aca="false">F$5*4_Normalizacion!F318</f>
        <v>0.00161403739408304</v>
      </c>
      <c r="G320" s="21" t="n">
        <f aca="false">G$5*4_Normalizacion!G318</f>
        <v>0.000280339284607229</v>
      </c>
      <c r="H320" s="21" t="n">
        <f aca="false">H$5*4_Normalizacion!H318</f>
        <v>0.00509263768149227</v>
      </c>
      <c r="I320" s="21" t="n">
        <f aca="false">I$5*4_Normalizacion!I318</f>
        <v>0.00281086825420146</v>
      </c>
      <c r="J320" s="21" t="n">
        <f aca="false">J$5*4_Normalizacion!J318</f>
        <v>0.000255567041403239</v>
      </c>
      <c r="K320" s="21" t="n">
        <f aca="false">K$5*4_Normalizacion!K318</f>
        <v>3.90133374367575E-005</v>
      </c>
      <c r="L320" s="21" t="n">
        <f aca="false">L$5*4_Normalizacion!L318</f>
        <v>0.00178643386823075</v>
      </c>
      <c r="M320" s="21" t="n">
        <f aca="false">M$5*4_Normalizacion!M318</f>
        <v>0.000482727726262404</v>
      </c>
      <c r="N320" s="21" t="n">
        <f aca="false">N$5*4_Normalizacion!N318</f>
        <v>0.00455938819577508</v>
      </c>
      <c r="O320" s="21" t="n">
        <f aca="false">O$5*4_Normalizacion!O318</f>
        <v>0.00200587264654955</v>
      </c>
      <c r="P320" s="21" t="n">
        <f aca="false">P$5*4_Normalizacion!P318</f>
        <v>0.00135841219936972</v>
      </c>
      <c r="Q320" s="21" t="n">
        <f aca="false">Q$5*4_Normalizacion!Q318</f>
        <v>0.0114370628719559</v>
      </c>
    </row>
    <row r="321" customFormat="false" ht="15" hidden="false" customHeight="false" outlineLevel="0" collapsed="false">
      <c r="A321" s="15" t="n">
        <f aca="false">4_Normalizacion!A319</f>
        <v>314</v>
      </c>
      <c r="B321" s="16" t="n">
        <f aca="false">4_Normalizacion!B319</f>
        <v>31.633</v>
      </c>
      <c r="C321" s="21" t="n">
        <f aca="false">C$5*4_Normalizacion!C319</f>
        <v>0.00211491006743141</v>
      </c>
      <c r="D321" s="21" t="n">
        <f aca="false">D$5*4_Normalizacion!D319</f>
        <v>0.00020543122737585</v>
      </c>
      <c r="E321" s="21" t="n">
        <f aca="false">E$5*4_Normalizacion!E319</f>
        <v>0.00185693905364827</v>
      </c>
      <c r="F321" s="21" t="n">
        <f aca="false">F$5*4_Normalizacion!F319</f>
        <v>0.00161403739408304</v>
      </c>
      <c r="G321" s="21" t="n">
        <f aca="false">G$5*4_Normalizacion!G319</f>
        <v>0.000280339284607229</v>
      </c>
      <c r="H321" s="21" t="n">
        <f aca="false">H$5*4_Normalizacion!H319</f>
        <v>0.00509263768149227</v>
      </c>
      <c r="I321" s="21" t="n">
        <f aca="false">I$5*4_Normalizacion!I319</f>
        <v>0.00281086825420146</v>
      </c>
      <c r="J321" s="21" t="n">
        <f aca="false">J$5*4_Normalizacion!J319</f>
        <v>0.000255567041403239</v>
      </c>
      <c r="K321" s="21" t="n">
        <f aca="false">K$5*4_Normalizacion!K319</f>
        <v>3.90133374367575E-005</v>
      </c>
      <c r="L321" s="21" t="n">
        <f aca="false">L$5*4_Normalizacion!L319</f>
        <v>0.00189423158972096</v>
      </c>
      <c r="M321" s="21" t="n">
        <f aca="false">M$5*4_Normalizacion!M319</f>
        <v>0.000413117437965258</v>
      </c>
      <c r="N321" s="21" t="n">
        <f aca="false">N$5*4_Normalizacion!N319</f>
        <v>0.00455938819577508</v>
      </c>
      <c r="O321" s="21" t="n">
        <f aca="false">O$5*4_Normalizacion!O319</f>
        <v>0.00200587264654955</v>
      </c>
      <c r="P321" s="21" t="n">
        <f aca="false">P$5*4_Normalizacion!P319</f>
        <v>0.00135841219936972</v>
      </c>
      <c r="Q321" s="21" t="n">
        <f aca="false">Q$5*4_Normalizacion!Q319</f>
        <v>0.0114370628719559</v>
      </c>
    </row>
    <row r="322" customFormat="false" ht="15" hidden="false" customHeight="false" outlineLevel="0" collapsed="false">
      <c r="A322" s="15" t="n">
        <f aca="false">4_Normalizacion!A320</f>
        <v>315</v>
      </c>
      <c r="B322" s="16" t="n">
        <f aca="false">4_Normalizacion!B320</f>
        <v>31.734</v>
      </c>
      <c r="C322" s="21" t="n">
        <f aca="false">C$5*4_Normalizacion!C320</f>
        <v>0.00211491006743141</v>
      </c>
      <c r="D322" s="21" t="n">
        <f aca="false">D$5*4_Normalizacion!D320</f>
        <v>0.00020543122737585</v>
      </c>
      <c r="E322" s="21" t="n">
        <f aca="false">E$5*4_Normalizacion!E320</f>
        <v>0.00185693905364827</v>
      </c>
      <c r="F322" s="21" t="n">
        <f aca="false">F$5*4_Normalizacion!F320</f>
        <v>0.00161403739408304</v>
      </c>
      <c r="G322" s="21" t="n">
        <f aca="false">G$5*4_Normalizacion!G320</f>
        <v>0.000280339284607229</v>
      </c>
      <c r="H322" s="21" t="n">
        <f aca="false">H$5*4_Normalizacion!H320</f>
        <v>0.00509263768149227</v>
      </c>
      <c r="I322" s="21" t="n">
        <f aca="false">I$5*4_Normalizacion!I320</f>
        <v>0.00281086825420146</v>
      </c>
      <c r="J322" s="21" t="n">
        <f aca="false">J$5*4_Normalizacion!J320</f>
        <v>0.000255567041403239</v>
      </c>
      <c r="K322" s="21" t="n">
        <f aca="false">K$5*4_Normalizacion!K320</f>
        <v>3.90133374367575E-005</v>
      </c>
      <c r="L322" s="21" t="n">
        <f aca="false">L$5*4_Normalizacion!L320</f>
        <v>0.00195489914460614</v>
      </c>
      <c r="M322" s="21" t="n">
        <f aca="false">M$5*4_Normalizacion!M320</f>
        <v>0.000413117437965258</v>
      </c>
      <c r="N322" s="21" t="n">
        <f aca="false">N$5*4_Normalizacion!N320</f>
        <v>0.00455938819577508</v>
      </c>
      <c r="O322" s="21" t="n">
        <f aca="false">O$5*4_Normalizacion!O320</f>
        <v>0.00200587264654955</v>
      </c>
      <c r="P322" s="21" t="n">
        <f aca="false">P$5*4_Normalizacion!P320</f>
        <v>0.00135841219936972</v>
      </c>
      <c r="Q322" s="21" t="n">
        <f aca="false">Q$5*4_Normalizacion!Q320</f>
        <v>0.0142963285899449</v>
      </c>
    </row>
    <row r="323" customFormat="false" ht="15" hidden="false" customHeight="false" outlineLevel="0" collapsed="false">
      <c r="A323" s="15" t="n">
        <f aca="false">4_Normalizacion!A321</f>
        <v>316</v>
      </c>
      <c r="B323" s="16" t="n">
        <f aca="false">4_Normalizacion!B321</f>
        <v>31.834</v>
      </c>
      <c r="C323" s="21" t="n">
        <f aca="false">C$5*4_Normalizacion!C321</f>
        <v>0.00211491006743141</v>
      </c>
      <c r="D323" s="21" t="n">
        <f aca="false">D$5*4_Normalizacion!D321</f>
        <v>0.00020543122737585</v>
      </c>
      <c r="E323" s="21" t="n">
        <f aca="false">E$5*4_Normalizacion!E321</f>
        <v>0.00232117381706033</v>
      </c>
      <c r="F323" s="21" t="n">
        <f aca="false">F$5*4_Normalizacion!F321</f>
        <v>0.00161403739408304</v>
      </c>
      <c r="G323" s="21" t="n">
        <f aca="false">G$5*4_Normalizacion!G321</f>
        <v>0.000280339284607229</v>
      </c>
      <c r="H323" s="21" t="n">
        <f aca="false">H$5*4_Normalizacion!H321</f>
        <v>0.00509263768149227</v>
      </c>
      <c r="I323" s="21" t="n">
        <f aca="false">I$5*4_Normalizacion!I321</f>
        <v>0.0112434730168058</v>
      </c>
      <c r="J323" s="21" t="n">
        <f aca="false">J$5*4_Normalizacion!J321</f>
        <v>0.000255567041403239</v>
      </c>
      <c r="K323" s="21" t="n">
        <f aca="false">K$5*4_Normalizacion!K321</f>
        <v>3.90133374367575E-005</v>
      </c>
      <c r="L323" s="21" t="n">
        <f aca="false">L$5*4_Normalizacion!L321</f>
        <v>0.00196643099388184</v>
      </c>
      <c r="M323" s="21" t="n">
        <f aca="false">M$5*4_Normalizacion!M321</f>
        <v>0.000413117437965258</v>
      </c>
      <c r="N323" s="21" t="n">
        <f aca="false">N$5*4_Normalizacion!N321</f>
        <v>0.00455938819577508</v>
      </c>
      <c r="O323" s="21" t="n">
        <f aca="false">O$5*4_Normalizacion!O321</f>
        <v>0.00200587264654955</v>
      </c>
      <c r="P323" s="21" t="n">
        <f aca="false">P$5*4_Normalizacion!P321</f>
        <v>0.00135841219936972</v>
      </c>
      <c r="Q323" s="21" t="n">
        <f aca="false">Q$5*4_Normalizacion!Q321</f>
        <v>0.0142963285899449</v>
      </c>
    </row>
    <row r="324" customFormat="false" ht="15" hidden="false" customHeight="false" outlineLevel="0" collapsed="false">
      <c r="A324" s="15" t="n">
        <f aca="false">4_Normalizacion!A322</f>
        <v>317</v>
      </c>
      <c r="B324" s="16" t="n">
        <f aca="false">4_Normalizacion!B322</f>
        <v>31.933</v>
      </c>
      <c r="C324" s="21" t="n">
        <f aca="false">C$5*4_Normalizacion!C322</f>
        <v>0.00211491006743141</v>
      </c>
      <c r="D324" s="21" t="n">
        <f aca="false">D$5*4_Normalizacion!D322</f>
        <v>0.00020543122737585</v>
      </c>
      <c r="E324" s="21" t="n">
        <f aca="false">E$5*4_Normalizacion!E322</f>
        <v>0.00232117381706033</v>
      </c>
      <c r="F324" s="21" t="n">
        <f aca="false">F$5*4_Normalizacion!F322</f>
        <v>0.00161403739408304</v>
      </c>
      <c r="G324" s="21" t="n">
        <f aca="false">G$5*4_Normalizacion!G322</f>
        <v>0.000280339284607229</v>
      </c>
      <c r="H324" s="21" t="n">
        <f aca="false">H$5*4_Normalizacion!H322</f>
        <v>0.00509263768149227</v>
      </c>
      <c r="I324" s="21" t="n">
        <f aca="false">I$5*4_Normalizacion!I322</f>
        <v>0.00562173650840292</v>
      </c>
      <c r="J324" s="21" t="n">
        <f aca="false">J$5*4_Normalizacion!J322</f>
        <v>0.000255567041403239</v>
      </c>
      <c r="K324" s="21" t="n">
        <f aca="false">K$5*4_Normalizacion!K322</f>
        <v>3.90133374367575E-005</v>
      </c>
      <c r="L324" s="21" t="n">
        <f aca="false">L$5*4_Normalizacion!L322</f>
        <v>0.00197846422790866</v>
      </c>
      <c r="M324" s="21" t="n">
        <f aca="false">M$5*4_Normalizacion!M322</f>
        <v>0.000440589747589947</v>
      </c>
      <c r="N324" s="21" t="n">
        <f aca="false">N$5*4_Normalizacion!N322</f>
        <v>0.00455938819577508</v>
      </c>
      <c r="O324" s="21" t="n">
        <f aca="false">O$5*4_Normalizacion!O322</f>
        <v>0.00200587264654955</v>
      </c>
      <c r="P324" s="21" t="n">
        <f aca="false">P$5*4_Normalizacion!P322</f>
        <v>0.00135841219936972</v>
      </c>
      <c r="Q324" s="21" t="n">
        <f aca="false">Q$5*4_Normalizacion!Q322</f>
        <v>0.0142963285899449</v>
      </c>
    </row>
    <row r="325" customFormat="false" ht="15" hidden="false" customHeight="false" outlineLevel="0" collapsed="false">
      <c r="A325" s="15" t="n">
        <f aca="false">4_Normalizacion!A323</f>
        <v>318</v>
      </c>
      <c r="B325" s="16" t="n">
        <f aca="false">4_Normalizacion!B323</f>
        <v>32.033</v>
      </c>
      <c r="C325" s="21" t="n">
        <f aca="false">C$5*4_Normalizacion!C323</f>
        <v>0.00211491006743141</v>
      </c>
      <c r="D325" s="21" t="n">
        <f aca="false">D$5*4_Normalizacion!D323</f>
        <v>0.00020543122737585</v>
      </c>
      <c r="E325" s="21" t="n">
        <f aca="false">E$5*4_Normalizacion!E323</f>
        <v>0.00185693905364827</v>
      </c>
      <c r="F325" s="21" t="n">
        <f aca="false">F$5*4_Normalizacion!F323</f>
        <v>0.00161403739408304</v>
      </c>
      <c r="G325" s="21" t="n">
        <f aca="false">G$5*4_Normalizacion!G323</f>
        <v>0.000280339284607229</v>
      </c>
      <c r="H325" s="21" t="n">
        <f aca="false">H$5*4_Normalizacion!H323</f>
        <v>0.00509263768149227</v>
      </c>
      <c r="I325" s="21" t="n">
        <f aca="false">I$5*4_Normalizacion!I323</f>
        <v>0.00281086825420146</v>
      </c>
      <c r="J325" s="21" t="n">
        <f aca="false">J$5*4_Normalizacion!J323</f>
        <v>0.000255567041403239</v>
      </c>
      <c r="K325" s="21" t="n">
        <f aca="false">K$5*4_Normalizacion!K323</f>
        <v>3.90133374367575E-005</v>
      </c>
      <c r="L325" s="21" t="n">
        <f aca="false">L$5*4_Normalizacion!L323</f>
        <v>0.00182253357031119</v>
      </c>
      <c r="M325" s="21" t="n">
        <f aca="false">M$5*4_Normalizacion!M323</f>
        <v>0.000562872509227664</v>
      </c>
      <c r="N325" s="21" t="n">
        <f aca="false">N$5*4_Normalizacion!N323</f>
        <v>0.00455938819577508</v>
      </c>
      <c r="O325" s="21" t="n">
        <f aca="false">O$5*4_Normalizacion!O323</f>
        <v>0.00200587264654955</v>
      </c>
      <c r="P325" s="21" t="n">
        <f aca="false">P$5*4_Normalizacion!P323</f>
        <v>0.00135841219936972</v>
      </c>
      <c r="Q325" s="21" t="n">
        <f aca="false">Q$5*4_Normalizacion!Q323</f>
        <v>0.00571853143597797</v>
      </c>
    </row>
    <row r="326" customFormat="false" ht="15" hidden="false" customHeight="false" outlineLevel="0" collapsed="false">
      <c r="A326" s="15" t="n">
        <f aca="false">4_Normalizacion!A324</f>
        <v>319</v>
      </c>
      <c r="B326" s="16" t="n">
        <f aca="false">4_Normalizacion!B324</f>
        <v>32.133</v>
      </c>
      <c r="C326" s="21" t="n">
        <f aca="false">C$5*4_Normalizacion!C324</f>
        <v>0.00211491006743141</v>
      </c>
      <c r="D326" s="21" t="n">
        <f aca="false">D$5*4_Normalizacion!D324</f>
        <v>0.00020543122737585</v>
      </c>
      <c r="E326" s="21" t="n">
        <f aca="false">E$5*4_Normalizacion!E324</f>
        <v>0.00185693905364827</v>
      </c>
      <c r="F326" s="21" t="n">
        <f aca="false">F$5*4_Normalizacion!F324</f>
        <v>0.00121052804556228</v>
      </c>
      <c r="G326" s="21" t="n">
        <f aca="false">G$5*4_Normalizacion!G324</f>
        <v>0.000280339284607229</v>
      </c>
      <c r="H326" s="21" t="n">
        <f aca="false">H$5*4_Normalizacion!H324</f>
        <v>0.00509263768149227</v>
      </c>
      <c r="I326" s="21" t="n">
        <f aca="false">I$5*4_Normalizacion!I324</f>
        <v>0.00562173650840292</v>
      </c>
      <c r="J326" s="21" t="n">
        <f aca="false">J$5*4_Normalizacion!J324</f>
        <v>0.000255567041403239</v>
      </c>
      <c r="K326" s="21" t="n">
        <f aca="false">K$5*4_Normalizacion!K324</f>
        <v>3.90133374367575E-005</v>
      </c>
      <c r="L326" s="21" t="n">
        <f aca="false">L$5*4_Normalizacion!L324</f>
        <v>0.00186715681316063</v>
      </c>
      <c r="M326" s="21" t="n">
        <f aca="false">M$5*4_Normalizacion!M324</f>
        <v>0.000613479395378408</v>
      </c>
      <c r="N326" s="21" t="n">
        <f aca="false">N$5*4_Normalizacion!N324</f>
        <v>0.00455938819577508</v>
      </c>
      <c r="O326" s="21" t="n">
        <f aca="false">O$5*4_Normalizacion!O324</f>
        <v>0.00200587264654955</v>
      </c>
      <c r="P326" s="21" t="n">
        <f aca="false">P$5*4_Normalizacion!P324</f>
        <v>0.00135841219936972</v>
      </c>
      <c r="Q326" s="21" t="n">
        <f aca="false">Q$5*4_Normalizacion!Q324</f>
        <v>0.00857779715396695</v>
      </c>
    </row>
    <row r="327" customFormat="false" ht="15" hidden="false" customHeight="false" outlineLevel="0" collapsed="false">
      <c r="A327" s="15" t="n">
        <f aca="false">4_Normalizacion!A325</f>
        <v>320</v>
      </c>
      <c r="B327" s="16" t="n">
        <f aca="false">4_Normalizacion!B325</f>
        <v>32.233</v>
      </c>
      <c r="C327" s="21" t="n">
        <f aca="false">C$5*4_Normalizacion!C325</f>
        <v>0.00211491006743141</v>
      </c>
      <c r="D327" s="21" t="n">
        <f aca="false">D$5*4_Normalizacion!D325</f>
        <v>0.00020543122737585</v>
      </c>
      <c r="E327" s="21" t="n">
        <f aca="false">E$5*4_Normalizacion!E325</f>
        <v>0.00185693905364827</v>
      </c>
      <c r="F327" s="21" t="n">
        <f aca="false">F$5*4_Normalizacion!F325</f>
        <v>0.0020175467426038</v>
      </c>
      <c r="G327" s="21" t="n">
        <f aca="false">G$5*4_Normalizacion!G325</f>
        <v>0.000280339284607229</v>
      </c>
      <c r="H327" s="21" t="n">
        <f aca="false">H$5*4_Normalizacion!H325</f>
        <v>0.00509263768149227</v>
      </c>
      <c r="I327" s="21" t="n">
        <f aca="false">I$5*4_Normalizacion!I325</f>
        <v>0.00281086825420146</v>
      </c>
      <c r="J327" s="21" t="n">
        <f aca="false">J$5*4_Normalizacion!J325</f>
        <v>0.000255567041403239</v>
      </c>
      <c r="K327" s="21" t="n">
        <f aca="false">K$5*4_Normalizacion!K325</f>
        <v>3.90133374367575E-005</v>
      </c>
      <c r="L327" s="21" t="n">
        <f aca="false">L$5*4_Normalizacion!L325</f>
        <v>0.00154576918769447</v>
      </c>
      <c r="M327" s="21" t="n">
        <f aca="false">M$5*4_Normalizacion!M325</f>
        <v>0.000542836313486349</v>
      </c>
      <c r="N327" s="21" t="n">
        <f aca="false">N$5*4_Normalizacion!N325</f>
        <v>0.00455938819577508</v>
      </c>
      <c r="O327" s="21" t="n">
        <f aca="false">O$5*4_Normalizacion!O325</f>
        <v>0.00200587264654955</v>
      </c>
      <c r="P327" s="21" t="n">
        <f aca="false">P$5*4_Normalizacion!P325</f>
        <v>0.00135841219936972</v>
      </c>
      <c r="Q327" s="21" t="n">
        <f aca="false">Q$5*4_Normalizacion!Q325</f>
        <v>0.0114370628719559</v>
      </c>
    </row>
    <row r="328" customFormat="false" ht="15" hidden="false" customHeight="false" outlineLevel="0" collapsed="false">
      <c r="A328" s="15" t="n">
        <f aca="false">4_Normalizacion!A326</f>
        <v>321</v>
      </c>
      <c r="B328" s="16" t="n">
        <f aca="false">4_Normalizacion!B326</f>
        <v>32.333</v>
      </c>
      <c r="C328" s="21" t="n">
        <f aca="false">C$5*4_Normalizacion!C326</f>
        <v>0.00211491006743141</v>
      </c>
      <c r="D328" s="21" t="n">
        <f aca="false">D$5*4_Normalizacion!D326</f>
        <v>0.00020543122737585</v>
      </c>
      <c r="E328" s="21" t="n">
        <f aca="false">E$5*4_Normalizacion!E326</f>
        <v>0.00185693905364827</v>
      </c>
      <c r="F328" s="21" t="n">
        <f aca="false">F$5*4_Normalizacion!F326</f>
        <v>0.0020175467426038</v>
      </c>
      <c r="G328" s="21" t="n">
        <f aca="false">G$5*4_Normalizacion!G326</f>
        <v>0.000280339284607229</v>
      </c>
      <c r="H328" s="21" t="n">
        <f aca="false">H$5*4_Normalizacion!H326</f>
        <v>0.00509263768149227</v>
      </c>
      <c r="I328" s="21" t="n">
        <f aca="false">I$5*4_Normalizacion!I326</f>
        <v>0.00281086825420146</v>
      </c>
      <c r="J328" s="21" t="n">
        <f aca="false">J$5*4_Normalizacion!J326</f>
        <v>0.000255567041403239</v>
      </c>
      <c r="K328" s="21" t="n">
        <f aca="false">K$5*4_Normalizacion!K326</f>
        <v>3.90133374367575E-005</v>
      </c>
      <c r="L328" s="21" t="n">
        <f aca="false">L$5*4_Normalizacion!L326</f>
        <v>0.00170470815379864</v>
      </c>
      <c r="M328" s="21" t="n">
        <f aca="false">M$5*4_Normalizacion!M326</f>
        <v>0.000463930882834984</v>
      </c>
      <c r="N328" s="21" t="n">
        <f aca="false">N$5*4_Normalizacion!N326</f>
        <v>0.00455938819577508</v>
      </c>
      <c r="O328" s="21" t="n">
        <f aca="false">O$5*4_Normalizacion!O326</f>
        <v>0.00200587264654955</v>
      </c>
      <c r="P328" s="21" t="n">
        <f aca="false">P$5*4_Normalizacion!P326</f>
        <v>0.00135841219936972</v>
      </c>
      <c r="Q328" s="21" t="n">
        <f aca="false">Q$5*4_Normalizacion!Q326</f>
        <v>0.0114370628719559</v>
      </c>
    </row>
    <row r="329" customFormat="false" ht="15" hidden="false" customHeight="false" outlineLevel="0" collapsed="false">
      <c r="A329" s="15" t="n">
        <f aca="false">4_Normalizacion!A327</f>
        <v>322</v>
      </c>
      <c r="B329" s="16" t="n">
        <f aca="false">4_Normalizacion!B327</f>
        <v>32.434</v>
      </c>
      <c r="C329" s="21" t="n">
        <f aca="false">C$5*4_Normalizacion!C327</f>
        <v>0.00211491006743141</v>
      </c>
      <c r="D329" s="21" t="n">
        <f aca="false">D$5*4_Normalizacion!D327</f>
        <v>0.00020543122737585</v>
      </c>
      <c r="E329" s="21" t="n">
        <f aca="false">E$5*4_Normalizacion!E327</f>
        <v>0.00185693905364827</v>
      </c>
      <c r="F329" s="21" t="n">
        <f aca="false">F$5*4_Normalizacion!F327</f>
        <v>0.0020175467426038</v>
      </c>
      <c r="G329" s="21" t="n">
        <f aca="false">G$5*4_Normalizacion!G327</f>
        <v>0.000280339284607229</v>
      </c>
      <c r="H329" s="21" t="n">
        <f aca="false">H$5*4_Normalizacion!H327</f>
        <v>0.00509263768149227</v>
      </c>
      <c r="I329" s="21" t="n">
        <f aca="false">I$5*4_Normalizacion!I327</f>
        <v>0.00281086825420146</v>
      </c>
      <c r="J329" s="21" t="n">
        <f aca="false">J$5*4_Normalizacion!J327</f>
        <v>0.000255567041403239</v>
      </c>
      <c r="K329" s="21" t="n">
        <f aca="false">K$5*4_Normalizacion!K327</f>
        <v>3.90133374367575E-005</v>
      </c>
      <c r="L329" s="21" t="n">
        <f aca="false">L$5*4_Normalizacion!L327</f>
        <v>0.00187016512166733</v>
      </c>
      <c r="M329" s="21" t="n">
        <f aca="false">M$5*4_Normalizacion!M327</f>
        <v>0.000485412989609178</v>
      </c>
      <c r="N329" s="21" t="n">
        <f aca="false">N$5*4_Normalizacion!N327</f>
        <v>0.00455938819577508</v>
      </c>
      <c r="O329" s="21" t="n">
        <f aca="false">O$5*4_Normalizacion!O327</f>
        <v>0.00200587264654955</v>
      </c>
      <c r="P329" s="21" t="n">
        <f aca="false">P$5*4_Normalizacion!P327</f>
        <v>0.00135841219936972</v>
      </c>
      <c r="Q329" s="21" t="n">
        <f aca="false">Q$5*4_Normalizacion!Q327</f>
        <v>0.0114370628719559</v>
      </c>
    </row>
    <row r="330" customFormat="false" ht="15" hidden="false" customHeight="false" outlineLevel="0" collapsed="false">
      <c r="A330" s="15" t="n">
        <f aca="false">4_Normalizacion!A328</f>
        <v>323</v>
      </c>
      <c r="B330" s="16" t="n">
        <f aca="false">4_Normalizacion!B328</f>
        <v>32.535</v>
      </c>
      <c r="C330" s="21" t="n">
        <f aca="false">C$5*4_Normalizacion!C328</f>
        <v>0.00211491006743141</v>
      </c>
      <c r="D330" s="21" t="n">
        <f aca="false">D$5*4_Normalizacion!D328</f>
        <v>0.00020543122737585</v>
      </c>
      <c r="E330" s="21" t="n">
        <f aca="false">E$5*4_Normalizacion!E328</f>
        <v>0.00185693905364827</v>
      </c>
      <c r="F330" s="21" t="n">
        <f aca="false">F$5*4_Normalizacion!F328</f>
        <v>0.0020175467426038</v>
      </c>
      <c r="G330" s="21" t="n">
        <f aca="false">G$5*4_Normalizacion!G328</f>
        <v>0.000280339284607229</v>
      </c>
      <c r="H330" s="21" t="n">
        <f aca="false">H$5*4_Normalizacion!H328</f>
        <v>0.00509263768149227</v>
      </c>
      <c r="I330" s="21" t="n">
        <f aca="false">I$5*4_Normalizacion!I328</f>
        <v>0.00281086825420146</v>
      </c>
      <c r="J330" s="21" t="n">
        <f aca="false">J$5*4_Normalizacion!J328</f>
        <v>0.000255567041403239</v>
      </c>
      <c r="K330" s="21" t="n">
        <f aca="false">K$5*4_Normalizacion!K328</f>
        <v>3.90133374367575E-005</v>
      </c>
      <c r="L330" s="21" t="n">
        <f aca="false">L$5*4_Normalizacion!L328</f>
        <v>0.00181902387705337</v>
      </c>
      <c r="M330" s="21" t="n">
        <f aca="false">M$5*4_Normalizacion!M328</f>
        <v>0.000475498171098012</v>
      </c>
      <c r="N330" s="21" t="n">
        <f aca="false">N$5*4_Normalizacion!N328</f>
        <v>0.00455938819577508</v>
      </c>
      <c r="O330" s="21" t="n">
        <f aca="false">O$5*4_Normalizacion!O328</f>
        <v>0.00200587264654955</v>
      </c>
      <c r="P330" s="21" t="n">
        <f aca="false">P$5*4_Normalizacion!P328</f>
        <v>0.00135841219936972</v>
      </c>
      <c r="Q330" s="21" t="n">
        <f aca="false">Q$5*4_Normalizacion!Q328</f>
        <v>0.0114370628719559</v>
      </c>
    </row>
    <row r="331" customFormat="false" ht="15" hidden="false" customHeight="false" outlineLevel="0" collapsed="false">
      <c r="A331" s="15" t="n">
        <f aca="false">4_Normalizacion!A329</f>
        <v>324</v>
      </c>
      <c r="B331" s="16" t="n">
        <f aca="false">4_Normalizacion!B329</f>
        <v>32.635</v>
      </c>
      <c r="C331" s="21" t="n">
        <f aca="false">C$5*4_Normalizacion!C329</f>
        <v>0.00211491006743141</v>
      </c>
      <c r="D331" s="21" t="n">
        <f aca="false">D$5*4_Normalizacion!D329</f>
        <v>0.00020543122737585</v>
      </c>
      <c r="E331" s="21" t="n">
        <f aca="false">E$5*4_Normalizacion!E329</f>
        <v>0.00185693905364827</v>
      </c>
      <c r="F331" s="21" t="n">
        <f aca="false">F$5*4_Normalizacion!F329</f>
        <v>0.0020175467426038</v>
      </c>
      <c r="G331" s="21" t="n">
        <f aca="false">G$5*4_Normalizacion!G329</f>
        <v>0.000280339284607229</v>
      </c>
      <c r="H331" s="21" t="n">
        <f aca="false">H$5*4_Normalizacion!H329</f>
        <v>0.00509263768149227</v>
      </c>
      <c r="I331" s="21" t="n">
        <f aca="false">I$5*4_Normalizacion!I329</f>
        <v>0.00281086825420146</v>
      </c>
      <c r="J331" s="21" t="n">
        <f aca="false">J$5*4_Normalizacion!J329</f>
        <v>0.000255567041403239</v>
      </c>
      <c r="K331" s="21" t="n">
        <f aca="false">K$5*4_Normalizacion!K329</f>
        <v>3.90133374367575E-005</v>
      </c>
      <c r="L331" s="21" t="n">
        <f aca="false">L$5*4_Normalizacion!L329</f>
        <v>0.00185261665537823</v>
      </c>
      <c r="M331" s="21" t="n">
        <f aca="false">M$5*4_Normalizacion!M329</f>
        <v>0.000531475583942304</v>
      </c>
      <c r="N331" s="21" t="n">
        <f aca="false">N$5*4_Normalizacion!N329</f>
        <v>0.00455938819577508</v>
      </c>
      <c r="O331" s="21" t="n">
        <f aca="false">O$5*4_Normalizacion!O329</f>
        <v>0.00200587264654955</v>
      </c>
      <c r="P331" s="21" t="n">
        <f aca="false">P$5*4_Normalizacion!P329</f>
        <v>0.00135841219936972</v>
      </c>
      <c r="Q331" s="21" t="n">
        <f aca="false">Q$5*4_Normalizacion!Q329</f>
        <v>0.00857779715396695</v>
      </c>
    </row>
    <row r="332" customFormat="false" ht="15" hidden="false" customHeight="false" outlineLevel="0" collapsed="false">
      <c r="A332" s="15" t="n">
        <f aca="false">4_Normalizacion!A330</f>
        <v>325</v>
      </c>
      <c r="B332" s="16" t="n">
        <f aca="false">4_Normalizacion!B330</f>
        <v>32.736</v>
      </c>
      <c r="C332" s="21" t="n">
        <f aca="false">C$5*4_Normalizacion!C330</f>
        <v>0.00211491006743141</v>
      </c>
      <c r="D332" s="21" t="n">
        <f aca="false">D$5*4_Normalizacion!D330</f>
        <v>0.00020543122737585</v>
      </c>
      <c r="E332" s="21" t="n">
        <f aca="false">E$5*4_Normalizacion!E330</f>
        <v>0.00185693905364827</v>
      </c>
      <c r="F332" s="21" t="n">
        <f aca="false">F$5*4_Normalizacion!F330</f>
        <v>0.0020175467426038</v>
      </c>
      <c r="G332" s="21" t="n">
        <f aca="false">G$5*4_Normalizacion!G330</f>
        <v>0.000280339284607229</v>
      </c>
      <c r="H332" s="21" t="n">
        <f aca="false">H$5*4_Normalizacion!H330</f>
        <v>0.00509263768149227</v>
      </c>
      <c r="I332" s="21" t="n">
        <f aca="false">I$5*4_Normalizacion!I330</f>
        <v>0.00281086825420146</v>
      </c>
      <c r="J332" s="21" t="n">
        <f aca="false">J$5*4_Normalizacion!J330</f>
        <v>0.000255567041403239</v>
      </c>
      <c r="K332" s="21" t="n">
        <f aca="false">K$5*4_Normalizacion!K330</f>
        <v>3.90133374367575E-005</v>
      </c>
      <c r="L332" s="21" t="n">
        <f aca="false">L$5*4_Normalizacion!L330</f>
        <v>0.00180949756678214</v>
      </c>
      <c r="M332" s="21" t="n">
        <f aca="false">M$5*4_Normalizacion!M330</f>
        <v>0.000568243035921212</v>
      </c>
      <c r="N332" s="21" t="n">
        <f aca="false">N$5*4_Normalizacion!N330</f>
        <v>0.00455938819577508</v>
      </c>
      <c r="O332" s="21" t="n">
        <f aca="false">O$5*4_Normalizacion!O330</f>
        <v>0.00200587264654955</v>
      </c>
      <c r="P332" s="21" t="n">
        <f aca="false">P$5*4_Normalizacion!P330</f>
        <v>0.00135841219936972</v>
      </c>
      <c r="Q332" s="21" t="n">
        <f aca="false">Q$5*4_Normalizacion!Q330</f>
        <v>0.00857779715396695</v>
      </c>
    </row>
    <row r="333" customFormat="false" ht="15" hidden="false" customHeight="false" outlineLevel="0" collapsed="false">
      <c r="A333" s="15" t="n">
        <f aca="false">4_Normalizacion!A331</f>
        <v>326</v>
      </c>
      <c r="B333" s="16" t="n">
        <f aca="false">4_Normalizacion!B331</f>
        <v>32.837</v>
      </c>
      <c r="C333" s="21" t="n">
        <f aca="false">C$5*4_Normalizacion!C331</f>
        <v>0.00211491006743141</v>
      </c>
      <c r="D333" s="21" t="n">
        <f aca="false">D$5*4_Normalizacion!D331</f>
        <v>0.00020543122737585</v>
      </c>
      <c r="E333" s="21" t="n">
        <f aca="false">E$5*4_Normalizacion!E331</f>
        <v>0.00185693905364827</v>
      </c>
      <c r="F333" s="21" t="n">
        <f aca="false">F$5*4_Normalizacion!F331</f>
        <v>0.0020175467426038</v>
      </c>
      <c r="G333" s="21" t="n">
        <f aca="false">G$5*4_Normalizacion!G331</f>
        <v>0.000280339284607229</v>
      </c>
      <c r="H333" s="21" t="n">
        <f aca="false">H$5*4_Normalizacion!H331</f>
        <v>0.00509263768149227</v>
      </c>
      <c r="I333" s="21" t="n">
        <f aca="false">I$5*4_Normalizacion!I331</f>
        <v>0.00281086825420146</v>
      </c>
      <c r="J333" s="21" t="n">
        <f aca="false">J$5*4_Normalizacion!J331</f>
        <v>0.000255567041403239</v>
      </c>
      <c r="K333" s="21" t="n">
        <f aca="false">K$5*4_Normalizacion!K331</f>
        <v>3.90133374367575E-005</v>
      </c>
      <c r="L333" s="21" t="n">
        <f aca="false">L$5*4_Normalizacion!L331</f>
        <v>0.00171423446406987</v>
      </c>
      <c r="M333" s="21" t="n">
        <f aca="false">M$5*4_Normalizacion!M331</f>
        <v>0.000576092267242552</v>
      </c>
      <c r="N333" s="21" t="n">
        <f aca="false">N$5*4_Normalizacion!N331</f>
        <v>0.00455938819577508</v>
      </c>
      <c r="O333" s="21" t="n">
        <f aca="false">O$5*4_Normalizacion!O331</f>
        <v>0.00200587264654955</v>
      </c>
      <c r="P333" s="21" t="n">
        <f aca="false">P$5*4_Normalizacion!P331</f>
        <v>0.00135841219936972</v>
      </c>
      <c r="Q333" s="21" t="n">
        <f aca="false">Q$5*4_Normalizacion!Q331</f>
        <v>0.00857779715396695</v>
      </c>
    </row>
    <row r="334" customFormat="false" ht="15" hidden="false" customHeight="false" outlineLevel="0" collapsed="false">
      <c r="A334" s="15" t="n">
        <f aca="false">4_Normalizacion!A332</f>
        <v>327</v>
      </c>
      <c r="B334" s="16" t="n">
        <f aca="false">4_Normalizacion!B332</f>
        <v>32.937</v>
      </c>
      <c r="C334" s="21" t="n">
        <f aca="false">C$5*4_Normalizacion!C332</f>
        <v>0.00211491006743141</v>
      </c>
      <c r="D334" s="21" t="n">
        <f aca="false">D$5*4_Normalizacion!D332</f>
        <v>0.00020543122737585</v>
      </c>
      <c r="E334" s="21" t="n">
        <f aca="false">E$5*4_Normalizacion!E332</f>
        <v>0.00185693905364827</v>
      </c>
      <c r="F334" s="21" t="n">
        <f aca="false">F$5*4_Normalizacion!F332</f>
        <v>0.0020175467426038</v>
      </c>
      <c r="G334" s="21" t="n">
        <f aca="false">G$5*4_Normalizacion!G332</f>
        <v>0.000280339284607229</v>
      </c>
      <c r="H334" s="21" t="n">
        <f aca="false">H$5*4_Normalizacion!H332</f>
        <v>0.00509263768149227</v>
      </c>
      <c r="I334" s="21" t="n">
        <f aca="false">I$5*4_Normalizacion!I332</f>
        <v>0.00843260476260438</v>
      </c>
      <c r="J334" s="21" t="n">
        <f aca="false">J$5*4_Normalizacion!J332</f>
        <v>0.000255567041403239</v>
      </c>
      <c r="K334" s="21" t="n">
        <f aca="false">K$5*4_Normalizacion!K332</f>
        <v>3.90133374367575E-005</v>
      </c>
      <c r="L334" s="21" t="n">
        <f aca="false">L$5*4_Normalizacion!L332</f>
        <v>0.00173228431511009</v>
      </c>
      <c r="M334" s="21" t="n">
        <f aca="false">M$5*4_Normalizacion!M332</f>
        <v>0.000555849512782254</v>
      </c>
      <c r="N334" s="21" t="n">
        <f aca="false">N$5*4_Normalizacion!N332</f>
        <v>0.00455938819577508</v>
      </c>
      <c r="O334" s="21" t="n">
        <f aca="false">O$5*4_Normalizacion!O332</f>
        <v>0.00200587264654955</v>
      </c>
      <c r="P334" s="21" t="n">
        <f aca="false">P$5*4_Normalizacion!P332</f>
        <v>0.00135841219936972</v>
      </c>
      <c r="Q334" s="21" t="n">
        <f aca="false">Q$5*4_Normalizacion!Q332</f>
        <v>0.0114370628719559</v>
      </c>
    </row>
    <row r="335" customFormat="false" ht="15" hidden="false" customHeight="false" outlineLevel="0" collapsed="false">
      <c r="A335" s="15" t="n">
        <f aca="false">4_Normalizacion!A333</f>
        <v>328</v>
      </c>
      <c r="B335" s="16" t="n">
        <f aca="false">4_Normalizacion!B333</f>
        <v>33.037</v>
      </c>
      <c r="C335" s="21" t="n">
        <f aca="false">C$5*4_Normalizacion!C333</f>
        <v>0.00211491006743141</v>
      </c>
      <c r="D335" s="21" t="n">
        <f aca="false">D$5*4_Normalizacion!D333</f>
        <v>0.00020543122737585</v>
      </c>
      <c r="E335" s="21" t="n">
        <f aca="false">E$5*4_Normalizacion!E333</f>
        <v>0.00185693905364827</v>
      </c>
      <c r="F335" s="21" t="n">
        <f aca="false">F$5*4_Normalizacion!F333</f>
        <v>0.0020175467426038</v>
      </c>
      <c r="G335" s="21" t="n">
        <f aca="false">G$5*4_Normalizacion!G333</f>
        <v>0.000280339284607229</v>
      </c>
      <c r="H335" s="21" t="n">
        <f aca="false">H$5*4_Normalizacion!H333</f>
        <v>0.00339509178766152</v>
      </c>
      <c r="I335" s="21" t="n">
        <f aca="false">I$5*4_Normalizacion!I333</f>
        <v>0.00843260476260438</v>
      </c>
      <c r="J335" s="21" t="n">
        <f aca="false">J$5*4_Normalizacion!J333</f>
        <v>0.000255567041403239</v>
      </c>
      <c r="K335" s="21" t="n">
        <f aca="false">K$5*4_Normalizacion!K333</f>
        <v>3.90133374367575E-005</v>
      </c>
      <c r="L335" s="21" t="n">
        <f aca="false">L$5*4_Normalizacion!L333</f>
        <v>0.00169217353502071</v>
      </c>
      <c r="M335" s="21" t="n">
        <f aca="false">M$5*4_Normalizacion!M333</f>
        <v>0.000549859309931758</v>
      </c>
      <c r="N335" s="21" t="n">
        <f aca="false">N$5*4_Normalizacion!N333</f>
        <v>0.00455938819577508</v>
      </c>
      <c r="O335" s="21" t="n">
        <f aca="false">O$5*4_Normalizacion!O333</f>
        <v>0.00200587264654955</v>
      </c>
      <c r="P335" s="21" t="n">
        <f aca="false">P$5*4_Normalizacion!P333</f>
        <v>0.00135841219936972</v>
      </c>
      <c r="Q335" s="21" t="n">
        <f aca="false">Q$5*4_Normalizacion!Q333</f>
        <v>0.00857779715396695</v>
      </c>
    </row>
    <row r="336" customFormat="false" ht="15" hidden="false" customHeight="false" outlineLevel="0" collapsed="false">
      <c r="A336" s="15" t="n">
        <f aca="false">4_Normalizacion!A334</f>
        <v>329</v>
      </c>
      <c r="B336" s="16" t="n">
        <f aca="false">4_Normalizacion!B334</f>
        <v>33.138</v>
      </c>
      <c r="C336" s="21" t="n">
        <f aca="false">C$5*4_Normalizacion!C334</f>
        <v>0.00211491006743141</v>
      </c>
      <c r="D336" s="21" t="n">
        <f aca="false">D$5*4_Normalizacion!D334</f>
        <v>0.00020543122737585</v>
      </c>
      <c r="E336" s="21" t="n">
        <f aca="false">E$5*4_Normalizacion!E334</f>
        <v>0.00185693905364827</v>
      </c>
      <c r="F336" s="21" t="n">
        <f aca="false">F$5*4_Normalizacion!F334</f>
        <v>0.0020175467426038</v>
      </c>
      <c r="G336" s="21" t="n">
        <f aca="false">G$5*4_Normalizacion!G334</f>
        <v>0.000280339284607229</v>
      </c>
      <c r="H336" s="21" t="n">
        <f aca="false">H$5*4_Normalizacion!H334</f>
        <v>0.00339509178766152</v>
      </c>
      <c r="I336" s="21" t="n">
        <f aca="false">I$5*4_Normalizacion!I334</f>
        <v>0.00562173650840292</v>
      </c>
      <c r="J336" s="21" t="n">
        <f aca="false">J$5*4_Normalizacion!J334</f>
        <v>0.000255567041403239</v>
      </c>
      <c r="K336" s="21" t="n">
        <f aca="false">K$5*4_Normalizacion!K334</f>
        <v>3.90133374367575E-005</v>
      </c>
      <c r="L336" s="21" t="n">
        <f aca="false">L$5*4_Normalizacion!L334</f>
        <v>0.00172626769809668</v>
      </c>
      <c r="M336" s="21" t="n">
        <f aca="false">M$5*4_Normalizacion!M334</f>
        <v>0.00054841339889888</v>
      </c>
      <c r="N336" s="21" t="n">
        <f aca="false">N$5*4_Normalizacion!N334</f>
        <v>0.00455938819577508</v>
      </c>
      <c r="O336" s="21" t="n">
        <f aca="false">O$5*4_Normalizacion!O334</f>
        <v>0.00200587264654955</v>
      </c>
      <c r="P336" s="21" t="n">
        <f aca="false">P$5*4_Normalizacion!P334</f>
        <v>0.00135841219936972</v>
      </c>
      <c r="Q336" s="21" t="n">
        <f aca="false">Q$5*4_Normalizacion!Q334</f>
        <v>0.0114370628719559</v>
      </c>
    </row>
    <row r="337" customFormat="false" ht="15" hidden="false" customHeight="false" outlineLevel="0" collapsed="false">
      <c r="A337" s="15" t="n">
        <f aca="false">4_Normalizacion!A335</f>
        <v>330</v>
      </c>
      <c r="B337" s="16" t="n">
        <f aca="false">4_Normalizacion!B335</f>
        <v>33.238</v>
      </c>
      <c r="C337" s="21" t="n">
        <f aca="false">C$5*4_Normalizacion!C335</f>
        <v>0.00211491006743141</v>
      </c>
      <c r="D337" s="21" t="n">
        <f aca="false">D$5*4_Normalizacion!D335</f>
        <v>0.00020543122737585</v>
      </c>
      <c r="E337" s="21" t="n">
        <f aca="false">E$5*4_Normalizacion!E335</f>
        <v>0.00185693905364827</v>
      </c>
      <c r="F337" s="21" t="n">
        <f aca="false">F$5*4_Normalizacion!F335</f>
        <v>0.0020175467426038</v>
      </c>
      <c r="G337" s="21" t="n">
        <f aca="false">G$5*4_Normalizacion!G335</f>
        <v>0.000280339284607229</v>
      </c>
      <c r="H337" s="21" t="n">
        <f aca="false">H$5*4_Normalizacion!H335</f>
        <v>0.00339509178766152</v>
      </c>
      <c r="I337" s="21" t="n">
        <f aca="false">I$5*4_Normalizacion!I335</f>
        <v>0.00843260476260438</v>
      </c>
      <c r="J337" s="21" t="n">
        <f aca="false">J$5*4_Normalizacion!J335</f>
        <v>0.000255567041403239</v>
      </c>
      <c r="K337" s="21" t="n">
        <f aca="false">K$5*4_Normalizacion!K335</f>
        <v>3.1210669949406E-005</v>
      </c>
      <c r="L337" s="21" t="n">
        <f aca="false">L$5*4_Normalizacion!L335</f>
        <v>0.00185361942488046</v>
      </c>
      <c r="M337" s="21" t="n">
        <f aca="false">M$5*4_Normalizacion!M335</f>
        <v>0.000548619957617862</v>
      </c>
      <c r="N337" s="21" t="n">
        <f aca="false">N$5*4_Normalizacion!N335</f>
        <v>0.00455938819577508</v>
      </c>
      <c r="O337" s="21" t="n">
        <f aca="false">O$5*4_Normalizacion!O335</f>
        <v>0.00200587264654955</v>
      </c>
      <c r="P337" s="21" t="n">
        <f aca="false">P$5*4_Normalizacion!P335</f>
        <v>0.00135841219936972</v>
      </c>
      <c r="Q337" s="21" t="n">
        <f aca="false">Q$5*4_Normalizacion!Q335</f>
        <v>0.0114370628719559</v>
      </c>
    </row>
    <row r="338" customFormat="false" ht="15" hidden="false" customHeight="false" outlineLevel="0" collapsed="false">
      <c r="A338" s="15" t="n">
        <f aca="false">4_Normalizacion!A336</f>
        <v>331</v>
      </c>
      <c r="B338" s="16" t="n">
        <f aca="false">4_Normalizacion!B336</f>
        <v>33.338</v>
      </c>
      <c r="C338" s="21" t="n">
        <f aca="false">C$5*4_Normalizacion!C336</f>
        <v>0.00211491006743141</v>
      </c>
      <c r="D338" s="21" t="n">
        <f aca="false">D$5*4_Normalizacion!D336</f>
        <v>0.00020543122737585</v>
      </c>
      <c r="E338" s="21" t="n">
        <f aca="false">E$5*4_Normalizacion!E336</f>
        <v>0.00185693905364827</v>
      </c>
      <c r="F338" s="21" t="n">
        <f aca="false">F$5*4_Normalizacion!F336</f>
        <v>0.0020175467426038</v>
      </c>
      <c r="G338" s="21" t="n">
        <f aca="false">G$5*4_Normalizacion!G336</f>
        <v>0.000280339284607229</v>
      </c>
      <c r="H338" s="21" t="n">
        <f aca="false">H$5*4_Normalizacion!H336</f>
        <v>0.00339509178766152</v>
      </c>
      <c r="I338" s="21" t="n">
        <f aca="false">I$5*4_Normalizacion!I336</f>
        <v>0.00843260476260438</v>
      </c>
      <c r="J338" s="21" t="n">
        <f aca="false">J$5*4_Normalizacion!J336</f>
        <v>0.000255567041403239</v>
      </c>
      <c r="K338" s="21" t="n">
        <f aca="false">K$5*4_Normalizacion!K336</f>
        <v>3.1210669949406E-005</v>
      </c>
      <c r="L338" s="21" t="n">
        <f aca="false">L$5*4_Normalizacion!L336</f>
        <v>0.00196643099388184</v>
      </c>
      <c r="M338" s="21" t="n">
        <f aca="false">M$5*4_Normalizacion!M336</f>
        <v>0.00050916724229218</v>
      </c>
      <c r="N338" s="21" t="n">
        <f aca="false">N$5*4_Normalizacion!N336</f>
        <v>0.00455938819577508</v>
      </c>
      <c r="O338" s="21" t="n">
        <f aca="false">O$5*4_Normalizacion!O336</f>
        <v>0.00200587264654955</v>
      </c>
      <c r="P338" s="21" t="n">
        <f aca="false">P$5*4_Normalizacion!P336</f>
        <v>0.00135841219936972</v>
      </c>
      <c r="Q338" s="21" t="n">
        <f aca="false">Q$5*4_Normalizacion!Q336</f>
        <v>0.0114370628719559</v>
      </c>
    </row>
    <row r="339" customFormat="false" ht="15" hidden="false" customHeight="false" outlineLevel="0" collapsed="false">
      <c r="A339" s="15" t="n">
        <f aca="false">4_Normalizacion!A337</f>
        <v>332</v>
      </c>
      <c r="B339" s="16" t="n">
        <f aca="false">4_Normalizacion!B337</f>
        <v>33.438</v>
      </c>
      <c r="C339" s="21" t="n">
        <f aca="false">C$5*4_Normalizacion!C337</f>
        <v>0.00211491006743141</v>
      </c>
      <c r="D339" s="21" t="n">
        <f aca="false">D$5*4_Normalizacion!D337</f>
        <v>0.00020543122737585</v>
      </c>
      <c r="E339" s="21" t="n">
        <f aca="false">E$5*4_Normalizacion!E337</f>
        <v>0.00185693905364827</v>
      </c>
      <c r="F339" s="21" t="n">
        <f aca="false">F$5*4_Normalizacion!F337</f>
        <v>0.0020175467426038</v>
      </c>
      <c r="G339" s="21" t="n">
        <f aca="false">G$5*4_Normalizacion!G337</f>
        <v>0.000280339284607229</v>
      </c>
      <c r="H339" s="21" t="n">
        <f aca="false">H$5*4_Normalizacion!H337</f>
        <v>0.00339509178766152</v>
      </c>
      <c r="I339" s="21" t="n">
        <f aca="false">I$5*4_Normalizacion!I337</f>
        <v>0.00562173650840292</v>
      </c>
      <c r="J339" s="21" t="n">
        <f aca="false">J$5*4_Normalizacion!J337</f>
        <v>0.000255567041403239</v>
      </c>
      <c r="K339" s="21" t="n">
        <f aca="false">K$5*4_Normalizacion!K337</f>
        <v>3.1210669949406E-005</v>
      </c>
      <c r="L339" s="21" t="n">
        <f aca="false">L$5*4_Normalizacion!L337</f>
        <v>0.00198598499917541</v>
      </c>
      <c r="M339" s="21" t="n">
        <f aca="false">M$5*4_Normalizacion!M337</f>
        <v>0.000452157035852975</v>
      </c>
      <c r="N339" s="21" t="n">
        <f aca="false">N$5*4_Normalizacion!N337</f>
        <v>0.00455938819577508</v>
      </c>
      <c r="O339" s="21" t="n">
        <f aca="false">O$5*4_Normalizacion!O337</f>
        <v>0.00200587264654955</v>
      </c>
      <c r="P339" s="21" t="n">
        <f aca="false">P$5*4_Normalizacion!P337</f>
        <v>0.00135841219936972</v>
      </c>
      <c r="Q339" s="21" t="n">
        <f aca="false">Q$5*4_Normalizacion!Q337</f>
        <v>0.0142963285899449</v>
      </c>
    </row>
    <row r="340" customFormat="false" ht="15" hidden="false" customHeight="false" outlineLevel="0" collapsed="false">
      <c r="A340" s="15" t="n">
        <f aca="false">4_Normalizacion!A338</f>
        <v>333</v>
      </c>
      <c r="B340" s="16" t="n">
        <f aca="false">4_Normalizacion!B338</f>
        <v>33.539</v>
      </c>
      <c r="C340" s="21" t="n">
        <f aca="false">C$5*4_Normalizacion!C338</f>
        <v>0.00211491006743141</v>
      </c>
      <c r="D340" s="21" t="n">
        <f aca="false">D$5*4_Normalizacion!D338</f>
        <v>0.00020543122737585</v>
      </c>
      <c r="E340" s="21" t="n">
        <f aca="false">E$5*4_Normalizacion!E338</f>
        <v>0.00232117381706033</v>
      </c>
      <c r="F340" s="21" t="n">
        <f aca="false">F$5*4_Normalizacion!F338</f>
        <v>0.0020175467426038</v>
      </c>
      <c r="G340" s="21" t="n">
        <f aca="false">G$5*4_Normalizacion!G338</f>
        <v>0.000280339284607229</v>
      </c>
      <c r="H340" s="21" t="n">
        <f aca="false">H$5*4_Normalizacion!H338</f>
        <v>0.00339509178766152</v>
      </c>
      <c r="I340" s="21" t="n">
        <f aca="false">I$5*4_Normalizacion!I338</f>
        <v>0.0140543412710073</v>
      </c>
      <c r="J340" s="21" t="n">
        <f aca="false">J$5*4_Normalizacion!J338</f>
        <v>0.000255567041403239</v>
      </c>
      <c r="K340" s="21" t="n">
        <f aca="false">K$5*4_Normalizacion!K338</f>
        <v>3.1210669949406E-005</v>
      </c>
      <c r="L340" s="21" t="n">
        <f aca="false">L$5*4_Normalizacion!L338</f>
        <v>0.00197595730415307</v>
      </c>
      <c r="M340" s="21" t="n">
        <f aca="false">M$5*4_Normalizacion!M338</f>
        <v>0.000413943672841188</v>
      </c>
      <c r="N340" s="21" t="n">
        <f aca="false">N$5*4_Normalizacion!N338</f>
        <v>0.00455938819577508</v>
      </c>
      <c r="O340" s="21" t="n">
        <f aca="false">O$5*4_Normalizacion!O338</f>
        <v>0.00200587264654955</v>
      </c>
      <c r="P340" s="21" t="n">
        <f aca="false">P$5*4_Normalizacion!P338</f>
        <v>0.00135841219936972</v>
      </c>
      <c r="Q340" s="21" t="n">
        <f aca="false">Q$5*4_Normalizacion!Q338</f>
        <v>0.0114370628719559</v>
      </c>
    </row>
    <row r="341" customFormat="false" ht="15" hidden="false" customHeight="false" outlineLevel="0" collapsed="false">
      <c r="A341" s="15" t="n">
        <f aca="false">4_Normalizacion!A339</f>
        <v>334</v>
      </c>
      <c r="B341" s="16" t="n">
        <f aca="false">4_Normalizacion!B339</f>
        <v>33.639</v>
      </c>
      <c r="C341" s="21" t="n">
        <f aca="false">C$5*4_Normalizacion!C339</f>
        <v>0.00211491006743141</v>
      </c>
      <c r="D341" s="21" t="n">
        <f aca="false">D$5*4_Normalizacion!D339</f>
        <v>0.00020543122737585</v>
      </c>
      <c r="E341" s="21" t="n">
        <f aca="false">E$5*4_Normalizacion!E339</f>
        <v>0.00232117381706033</v>
      </c>
      <c r="F341" s="21" t="n">
        <f aca="false">F$5*4_Normalizacion!F339</f>
        <v>0.0020175467426038</v>
      </c>
      <c r="G341" s="21" t="n">
        <f aca="false">G$5*4_Normalizacion!G339</f>
        <v>0.000280339284607229</v>
      </c>
      <c r="H341" s="21" t="n">
        <f aca="false">H$5*4_Normalizacion!H339</f>
        <v>0.00339509178766152</v>
      </c>
      <c r="I341" s="21" t="n">
        <f aca="false">I$5*4_Normalizacion!I339</f>
        <v>0.0140543412710073</v>
      </c>
      <c r="J341" s="21" t="n">
        <f aca="false">J$5*4_Normalizacion!J339</f>
        <v>0.000255567041403239</v>
      </c>
      <c r="K341" s="21" t="n">
        <f aca="false">K$5*4_Normalizacion!K339</f>
        <v>3.1210669949406E-005</v>
      </c>
      <c r="L341" s="21" t="n">
        <f aca="false">L$5*4_Normalizacion!L339</f>
        <v>0.00197144484139301</v>
      </c>
      <c r="M341" s="21" t="n">
        <f aca="false">M$5*4_Normalizacion!M339</f>
        <v>0.000491196633740691</v>
      </c>
      <c r="N341" s="21" t="n">
        <f aca="false">N$5*4_Normalizacion!N339</f>
        <v>0.00455938819577508</v>
      </c>
      <c r="O341" s="21" t="n">
        <f aca="false">O$5*4_Normalizacion!O339</f>
        <v>0.00200587264654955</v>
      </c>
      <c r="P341" s="21" t="n">
        <f aca="false">P$5*4_Normalizacion!P339</f>
        <v>0.00135841219936972</v>
      </c>
      <c r="Q341" s="21" t="n">
        <f aca="false">Q$5*4_Normalizacion!Q339</f>
        <v>0.00285926571798898</v>
      </c>
    </row>
    <row r="342" customFormat="false" ht="15" hidden="false" customHeight="false" outlineLevel="0" collapsed="false">
      <c r="A342" s="15" t="n">
        <f aca="false">4_Normalizacion!A340</f>
        <v>335</v>
      </c>
      <c r="B342" s="16" t="n">
        <f aca="false">4_Normalizacion!B340</f>
        <v>33.74</v>
      </c>
      <c r="C342" s="21" t="n">
        <f aca="false">C$5*4_Normalizacion!C340</f>
        <v>0.00211491006743141</v>
      </c>
      <c r="D342" s="21" t="n">
        <f aca="false">D$5*4_Normalizacion!D340</f>
        <v>0.00020543122737585</v>
      </c>
      <c r="E342" s="21" t="n">
        <f aca="false">E$5*4_Normalizacion!E340</f>
        <v>0.00232117381706033</v>
      </c>
      <c r="F342" s="21" t="n">
        <f aca="false">F$5*4_Normalizacion!F340</f>
        <v>0.0020175467426038</v>
      </c>
      <c r="G342" s="21" t="n">
        <f aca="false">G$5*4_Normalizacion!G340</f>
        <v>0.000280339284607229</v>
      </c>
      <c r="H342" s="21" t="n">
        <f aca="false">H$5*4_Normalizacion!H340</f>
        <v>0.00339509178766152</v>
      </c>
      <c r="I342" s="21" t="n">
        <f aca="false">I$5*4_Normalizacion!I340</f>
        <v>0.0140543412710073</v>
      </c>
      <c r="J342" s="21" t="n">
        <f aca="false">J$5*4_Normalizacion!J340</f>
        <v>0.000255567041403239</v>
      </c>
      <c r="K342" s="21" t="n">
        <f aca="false">K$5*4_Normalizacion!K340</f>
        <v>3.1210669949406E-005</v>
      </c>
      <c r="L342" s="21" t="n">
        <f aca="false">L$5*4_Normalizacion!L340</f>
        <v>0.00198899330768212</v>
      </c>
      <c r="M342" s="21" t="n">
        <f aca="false">M$5*4_Normalizacion!M340</f>
        <v>0.000424684726228285</v>
      </c>
      <c r="N342" s="21" t="n">
        <f aca="false">N$5*4_Normalizacion!N340</f>
        <v>0.00455938819577508</v>
      </c>
      <c r="O342" s="21" t="n">
        <f aca="false">O$5*4_Normalizacion!O340</f>
        <v>0.00200587264654955</v>
      </c>
      <c r="P342" s="21" t="n">
        <f aca="false">P$5*4_Normalizacion!P340</f>
        <v>0.00135841219936972</v>
      </c>
      <c r="Q342" s="21" t="n">
        <f aca="false">Q$5*4_Normalizacion!Q340</f>
        <v>0.0142963285899449</v>
      </c>
    </row>
    <row r="343" customFormat="false" ht="15" hidden="false" customHeight="false" outlineLevel="0" collapsed="false">
      <c r="A343" s="15" t="n">
        <f aca="false">4_Normalizacion!A341</f>
        <v>336</v>
      </c>
      <c r="B343" s="16" t="n">
        <f aca="false">4_Normalizacion!B341</f>
        <v>33.841</v>
      </c>
      <c r="C343" s="21" t="n">
        <f aca="false">C$5*4_Normalizacion!C341</f>
        <v>0.00211491006743141</v>
      </c>
      <c r="D343" s="21" t="n">
        <f aca="false">D$5*4_Normalizacion!D341</f>
        <v>0.00020543122737585</v>
      </c>
      <c r="E343" s="21" t="n">
        <f aca="false">E$5*4_Normalizacion!E341</f>
        <v>0.00232117381706033</v>
      </c>
      <c r="F343" s="21" t="n">
        <f aca="false">F$5*4_Normalizacion!F341</f>
        <v>0.0020175467426038</v>
      </c>
      <c r="G343" s="21" t="n">
        <f aca="false">G$5*4_Normalizacion!G341</f>
        <v>0.000280339284607229</v>
      </c>
      <c r="H343" s="21" t="n">
        <f aca="false">H$5*4_Normalizacion!H341</f>
        <v>0.00339509178766152</v>
      </c>
      <c r="I343" s="21" t="n">
        <f aca="false">I$5*4_Normalizacion!I341</f>
        <v>0.0140543412710073</v>
      </c>
      <c r="J343" s="21" t="n">
        <f aca="false">J$5*4_Normalizacion!J341</f>
        <v>0.000255567041403239</v>
      </c>
      <c r="K343" s="21" t="n">
        <f aca="false">K$5*4_Normalizacion!K341</f>
        <v>3.1210669949406E-005</v>
      </c>
      <c r="L343" s="21" t="n">
        <f aca="false">L$5*4_Normalizacion!L341</f>
        <v>0.00195239222085056</v>
      </c>
      <c r="M343" s="21" t="n">
        <f aca="false">M$5*4_Normalizacion!M341</f>
        <v>0.00045257015329094</v>
      </c>
      <c r="N343" s="21" t="n">
        <f aca="false">N$5*4_Normalizacion!N341</f>
        <v>0.00455938819577508</v>
      </c>
      <c r="O343" s="21" t="n">
        <f aca="false">O$5*4_Normalizacion!O341</f>
        <v>0.00200587264654955</v>
      </c>
      <c r="P343" s="21" t="n">
        <f aca="false">P$5*4_Normalizacion!P341</f>
        <v>0.00135841219936972</v>
      </c>
      <c r="Q343" s="21" t="n">
        <f aca="false">Q$5*4_Normalizacion!Q341</f>
        <v>0.0142963285899449</v>
      </c>
    </row>
    <row r="344" customFormat="false" ht="15" hidden="false" customHeight="false" outlineLevel="0" collapsed="false">
      <c r="A344" s="15" t="n">
        <f aca="false">4_Normalizacion!A342</f>
        <v>337</v>
      </c>
      <c r="B344" s="16" t="n">
        <f aca="false">4_Normalizacion!B342</f>
        <v>33.942</v>
      </c>
      <c r="C344" s="21" t="n">
        <f aca="false">C$5*4_Normalizacion!C342</f>
        <v>0.00211491006743141</v>
      </c>
      <c r="D344" s="21" t="n">
        <f aca="false">D$5*4_Normalizacion!D342</f>
        <v>0.00020543122737585</v>
      </c>
      <c r="E344" s="21" t="n">
        <f aca="false">E$5*4_Normalizacion!E342</f>
        <v>0.00232117381706033</v>
      </c>
      <c r="F344" s="21" t="n">
        <f aca="false">F$5*4_Normalizacion!F342</f>
        <v>0.0020175467426038</v>
      </c>
      <c r="G344" s="21" t="n">
        <f aca="false">G$5*4_Normalizacion!G342</f>
        <v>0.000280339284607229</v>
      </c>
      <c r="H344" s="21" t="n">
        <f aca="false">H$5*4_Normalizacion!H342</f>
        <v>0.00339509178766152</v>
      </c>
      <c r="I344" s="21" t="n">
        <f aca="false">I$5*4_Normalizacion!I342</f>
        <v>0.0140543412710073</v>
      </c>
      <c r="J344" s="21" t="n">
        <f aca="false">J$5*4_Normalizacion!J342</f>
        <v>0.000255567041403239</v>
      </c>
      <c r="K344" s="21" t="n">
        <f aca="false">K$5*4_Normalizacion!K342</f>
        <v>3.1210669949406E-005</v>
      </c>
      <c r="L344" s="21" t="n">
        <f aca="false">L$5*4_Normalizacion!L342</f>
        <v>0.00175986047642154</v>
      </c>
      <c r="M344" s="21" t="n">
        <f aca="false">M$5*4_Normalizacion!M342</f>
        <v>0.000495121249401361</v>
      </c>
      <c r="N344" s="21" t="n">
        <f aca="false">N$5*4_Normalizacion!N342</f>
        <v>0.00455938819577508</v>
      </c>
      <c r="O344" s="21" t="n">
        <f aca="false">O$5*4_Normalizacion!O342</f>
        <v>0.00200587264654955</v>
      </c>
      <c r="P344" s="21" t="n">
        <f aca="false">P$5*4_Normalizacion!P342</f>
        <v>0.00135841219936972</v>
      </c>
      <c r="Q344" s="21" t="n">
        <f aca="false">Q$5*4_Normalizacion!Q342</f>
        <v>0.00285926571798898</v>
      </c>
    </row>
    <row r="345" customFormat="false" ht="15" hidden="false" customHeight="false" outlineLevel="0" collapsed="false">
      <c r="A345" s="15" t="n">
        <f aca="false">4_Normalizacion!A343</f>
        <v>338</v>
      </c>
      <c r="B345" s="16" t="n">
        <f aca="false">4_Normalizacion!B343</f>
        <v>34.044</v>
      </c>
      <c r="C345" s="21" t="n">
        <f aca="false">C$5*4_Normalizacion!C343</f>
        <v>0.00211491006743141</v>
      </c>
      <c r="D345" s="21" t="n">
        <f aca="false">D$5*4_Normalizacion!D343</f>
        <v>0.00020543122737585</v>
      </c>
      <c r="E345" s="21" t="n">
        <f aca="false">E$5*4_Normalizacion!E343</f>
        <v>0.00232117381706033</v>
      </c>
      <c r="F345" s="21" t="n">
        <f aca="false">F$5*4_Normalizacion!F343</f>
        <v>0.0020175467426038</v>
      </c>
      <c r="G345" s="21" t="n">
        <f aca="false">G$5*4_Normalizacion!G343</f>
        <v>0.000280339284607229</v>
      </c>
      <c r="H345" s="21" t="n">
        <f aca="false">H$5*4_Normalizacion!H343</f>
        <v>0.00339509178766152</v>
      </c>
      <c r="I345" s="21" t="n">
        <f aca="false">I$5*4_Normalizacion!I343</f>
        <v>0.0140543412710073</v>
      </c>
      <c r="J345" s="21" t="n">
        <f aca="false">J$5*4_Normalizacion!J343</f>
        <v>0.000255567041403239</v>
      </c>
      <c r="K345" s="21" t="n">
        <f aca="false">K$5*4_Normalizacion!K343</f>
        <v>3.1210669949406E-005</v>
      </c>
      <c r="L345" s="21" t="n">
        <f aca="false">L$5*4_Normalizacion!L343</f>
        <v>0.00185361942488046</v>
      </c>
      <c r="M345" s="21" t="n">
        <f aca="false">M$5*4_Normalizacion!M343</f>
        <v>0.000445753715564513</v>
      </c>
      <c r="N345" s="21" t="n">
        <f aca="false">N$5*4_Normalizacion!N343</f>
        <v>0.00455938819577508</v>
      </c>
      <c r="O345" s="21" t="n">
        <f aca="false">O$5*4_Normalizacion!O343</f>
        <v>0.00200587264654955</v>
      </c>
      <c r="P345" s="21" t="n">
        <f aca="false">P$5*4_Normalizacion!P343</f>
        <v>0.00135841219936972</v>
      </c>
      <c r="Q345" s="21" t="n">
        <f aca="false">Q$5*4_Normalizacion!Q343</f>
        <v>0.0142963285899449</v>
      </c>
    </row>
    <row r="346" customFormat="false" ht="15" hidden="false" customHeight="false" outlineLevel="0" collapsed="false">
      <c r="A346" s="15" t="n">
        <f aca="false">4_Normalizacion!A344</f>
        <v>339</v>
      </c>
      <c r="B346" s="16" t="n">
        <f aca="false">4_Normalizacion!B344</f>
        <v>34.145</v>
      </c>
      <c r="C346" s="21" t="n">
        <f aca="false">C$5*4_Normalizacion!C344</f>
        <v>0.00211491006743141</v>
      </c>
      <c r="D346" s="21" t="n">
        <f aca="false">D$5*4_Normalizacion!D344</f>
        <v>0.00020543122737585</v>
      </c>
      <c r="E346" s="21" t="n">
        <f aca="false">E$5*4_Normalizacion!E344</f>
        <v>0.00232117381706033</v>
      </c>
      <c r="F346" s="21" t="n">
        <f aca="false">F$5*4_Normalizacion!F344</f>
        <v>0.0020175467426038</v>
      </c>
      <c r="G346" s="21" t="n">
        <f aca="false">G$5*4_Normalizacion!G344</f>
        <v>0.000280339284607229</v>
      </c>
      <c r="H346" s="21" t="n">
        <f aca="false">H$5*4_Normalizacion!H344</f>
        <v>0.00339509178766152</v>
      </c>
      <c r="I346" s="21" t="n">
        <f aca="false">I$5*4_Normalizacion!I344</f>
        <v>0.0140543412710073</v>
      </c>
      <c r="J346" s="21" t="n">
        <f aca="false">J$5*4_Normalizacion!J344</f>
        <v>0.000255567041403239</v>
      </c>
      <c r="K346" s="21" t="n">
        <f aca="false">K$5*4_Normalizacion!K344</f>
        <v>3.1210669949406E-005</v>
      </c>
      <c r="L346" s="21" t="n">
        <f aca="false">L$5*4_Normalizacion!L344</f>
        <v>0.00196542822437961</v>
      </c>
      <c r="M346" s="21" t="n">
        <f aca="false">M$5*4_Normalizacion!M344</f>
        <v>0.00042902245932692</v>
      </c>
      <c r="N346" s="21" t="n">
        <f aca="false">N$5*4_Normalizacion!N344</f>
        <v>0.00455938819577508</v>
      </c>
      <c r="O346" s="21" t="n">
        <f aca="false">O$5*4_Normalizacion!O344</f>
        <v>0.00200587264654955</v>
      </c>
      <c r="P346" s="21" t="n">
        <f aca="false">P$5*4_Normalizacion!P344</f>
        <v>0.00135841219936972</v>
      </c>
      <c r="Q346" s="21" t="n">
        <f aca="false">Q$5*4_Normalizacion!Q344</f>
        <v>0.0142963285899449</v>
      </c>
    </row>
    <row r="347" customFormat="false" ht="15" hidden="false" customHeight="false" outlineLevel="0" collapsed="false">
      <c r="A347" s="15" t="n">
        <f aca="false">4_Normalizacion!A345</f>
        <v>340</v>
      </c>
      <c r="B347" s="16" t="n">
        <f aca="false">4_Normalizacion!B345</f>
        <v>34.246</v>
      </c>
      <c r="C347" s="21" t="n">
        <f aca="false">C$5*4_Normalizacion!C345</f>
        <v>0.00211491006743141</v>
      </c>
      <c r="D347" s="21" t="n">
        <f aca="false">D$5*4_Normalizacion!D345</f>
        <v>0.00020543122737585</v>
      </c>
      <c r="E347" s="21" t="n">
        <f aca="false">E$5*4_Normalizacion!E345</f>
        <v>0.00232117381706033</v>
      </c>
      <c r="F347" s="21" t="n">
        <f aca="false">F$5*4_Normalizacion!F345</f>
        <v>0.0020175467426038</v>
      </c>
      <c r="G347" s="21" t="n">
        <f aca="false">G$5*4_Normalizacion!G345</f>
        <v>0.000280339284607229</v>
      </c>
      <c r="H347" s="21" t="n">
        <f aca="false">H$5*4_Normalizacion!H345</f>
        <v>0.00339509178766152</v>
      </c>
      <c r="I347" s="21" t="n">
        <f aca="false">I$5*4_Normalizacion!I345</f>
        <v>0.0140543412710073</v>
      </c>
      <c r="J347" s="21" t="n">
        <f aca="false">J$5*4_Normalizacion!J345</f>
        <v>0.000255567041403239</v>
      </c>
      <c r="K347" s="21" t="n">
        <f aca="false">K$5*4_Normalizacion!K345</f>
        <v>3.1210669949406E-005</v>
      </c>
      <c r="L347" s="21" t="n">
        <f aca="false">L$5*4_Normalizacion!L345</f>
        <v>0.00197595730415307</v>
      </c>
      <c r="M347" s="21" t="n">
        <f aca="false">M$5*4_Normalizacion!M345</f>
        <v>0.000502763922003719</v>
      </c>
      <c r="N347" s="21" t="n">
        <f aca="false">N$5*4_Normalizacion!N345</f>
        <v>0.00455938819577508</v>
      </c>
      <c r="O347" s="21" t="n">
        <f aca="false">O$5*4_Normalizacion!O345</f>
        <v>0.00200587264654955</v>
      </c>
      <c r="P347" s="21" t="n">
        <f aca="false">P$5*4_Normalizacion!P345</f>
        <v>0.00135841219936972</v>
      </c>
      <c r="Q347" s="21" t="n">
        <f aca="false">Q$5*4_Normalizacion!Q345</f>
        <v>0.0114370628719559</v>
      </c>
    </row>
    <row r="348" customFormat="false" ht="15" hidden="false" customHeight="false" outlineLevel="0" collapsed="false">
      <c r="A348" s="15" t="n">
        <f aca="false">4_Normalizacion!A346</f>
        <v>341</v>
      </c>
      <c r="B348" s="16" t="n">
        <f aca="false">4_Normalizacion!B346</f>
        <v>34.347</v>
      </c>
      <c r="C348" s="21" t="n">
        <f aca="false">C$5*4_Normalizacion!C346</f>
        <v>0.00211491006743141</v>
      </c>
      <c r="D348" s="21" t="n">
        <f aca="false">D$5*4_Normalizacion!D346</f>
        <v>0.00020543122737585</v>
      </c>
      <c r="E348" s="21" t="n">
        <f aca="false">E$5*4_Normalizacion!E346</f>
        <v>0.00185693905364827</v>
      </c>
      <c r="F348" s="21" t="n">
        <f aca="false">F$5*4_Normalizacion!F346</f>
        <v>0.0020175467426038</v>
      </c>
      <c r="G348" s="21" t="n">
        <f aca="false">G$5*4_Normalizacion!G346</f>
        <v>0.000280339284607229</v>
      </c>
      <c r="H348" s="21" t="n">
        <f aca="false">H$5*4_Normalizacion!H346</f>
        <v>0.00339509178766152</v>
      </c>
      <c r="I348" s="21" t="n">
        <f aca="false">I$5*4_Normalizacion!I346</f>
        <v>0.00281086825420146</v>
      </c>
      <c r="J348" s="21" t="n">
        <f aca="false">J$5*4_Normalizacion!J346</f>
        <v>0.000255567041403239</v>
      </c>
      <c r="K348" s="21" t="n">
        <f aca="false">K$5*4_Normalizacion!K346</f>
        <v>3.1210669949406E-005</v>
      </c>
      <c r="L348" s="21" t="n">
        <f aca="false">L$5*4_Normalizacion!L346</f>
        <v>0.00200403485021563</v>
      </c>
      <c r="M348" s="21" t="n">
        <f aca="false">M$5*4_Normalizacion!M346</f>
        <v>0.000453809505604836</v>
      </c>
      <c r="N348" s="21" t="n">
        <f aca="false">N$5*4_Normalizacion!N346</f>
        <v>0.00455938819577508</v>
      </c>
      <c r="O348" s="21" t="n">
        <f aca="false">O$5*4_Normalizacion!O346</f>
        <v>0.00200587264654955</v>
      </c>
      <c r="P348" s="21" t="n">
        <f aca="false">P$5*4_Normalizacion!P346</f>
        <v>0.00135841219936972</v>
      </c>
      <c r="Q348" s="21" t="n">
        <f aca="false">Q$5*4_Normalizacion!Q346</f>
        <v>0.0142963285899449</v>
      </c>
    </row>
    <row r="349" customFormat="false" ht="15" hidden="false" customHeight="false" outlineLevel="0" collapsed="false">
      <c r="A349" s="15" t="n">
        <f aca="false">4_Normalizacion!A347</f>
        <v>342</v>
      </c>
      <c r="B349" s="16" t="n">
        <f aca="false">4_Normalizacion!B347</f>
        <v>34.447</v>
      </c>
      <c r="C349" s="21" t="n">
        <f aca="false">C$5*4_Normalizacion!C347</f>
        <v>0.00211491006743141</v>
      </c>
      <c r="D349" s="21" t="n">
        <f aca="false">D$5*4_Normalizacion!D347</f>
        <v>0.00020543122737585</v>
      </c>
      <c r="E349" s="21" t="n">
        <f aca="false">E$5*4_Normalizacion!E347</f>
        <v>0.00185693905364827</v>
      </c>
      <c r="F349" s="21" t="n">
        <f aca="false">F$5*4_Normalizacion!F347</f>
        <v>0.0020175467426038</v>
      </c>
      <c r="G349" s="21" t="n">
        <f aca="false">G$5*4_Normalizacion!G347</f>
        <v>0.000280339284607229</v>
      </c>
      <c r="H349" s="21" t="n">
        <f aca="false">H$5*4_Normalizacion!H347</f>
        <v>0.00339509178766152</v>
      </c>
      <c r="I349" s="21" t="n">
        <f aca="false">I$5*4_Normalizacion!I347</f>
        <v>0.00843260476260438</v>
      </c>
      <c r="J349" s="21" t="n">
        <f aca="false">J$5*4_Normalizacion!J347</f>
        <v>0.000255567041403239</v>
      </c>
      <c r="K349" s="21" t="n">
        <f aca="false">K$5*4_Normalizacion!K347</f>
        <v>3.1210669949406E-005</v>
      </c>
      <c r="L349" s="21" t="n">
        <f aca="false">L$5*4_Normalizacion!L347</f>
        <v>0.00198448084492206</v>
      </c>
      <c r="M349" s="21" t="n">
        <f aca="false">M$5*4_Normalizacion!M347</f>
        <v>0.000457734121265506</v>
      </c>
      <c r="N349" s="21" t="n">
        <f aca="false">N$5*4_Normalizacion!N347</f>
        <v>0.00607918426103344</v>
      </c>
      <c r="O349" s="21" t="n">
        <f aca="false">O$5*4_Normalizacion!O347</f>
        <v>0.00200587264654955</v>
      </c>
      <c r="P349" s="21" t="n">
        <f aca="false">P$5*4_Normalizacion!P347</f>
        <v>0.00135841219936972</v>
      </c>
      <c r="Q349" s="21" t="n">
        <f aca="false">Q$5*4_Normalizacion!Q347</f>
        <v>0.0142963285899449</v>
      </c>
    </row>
    <row r="350" customFormat="false" ht="15" hidden="false" customHeight="false" outlineLevel="0" collapsed="false">
      <c r="A350" s="15" t="n">
        <f aca="false">4_Normalizacion!A348</f>
        <v>343</v>
      </c>
      <c r="B350" s="16" t="n">
        <f aca="false">4_Normalizacion!B348</f>
        <v>34.546</v>
      </c>
      <c r="C350" s="21" t="n">
        <f aca="false">C$5*4_Normalizacion!C348</f>
        <v>0.00211491006743141</v>
      </c>
      <c r="D350" s="21" t="n">
        <f aca="false">D$5*4_Normalizacion!D348</f>
        <v>0.00020543122737585</v>
      </c>
      <c r="E350" s="21" t="n">
        <f aca="false">E$5*4_Normalizacion!E348</f>
        <v>0.00185693905364827</v>
      </c>
      <c r="F350" s="21" t="n">
        <f aca="false">F$5*4_Normalizacion!F348</f>
        <v>0.0020175467426038</v>
      </c>
      <c r="G350" s="21" t="n">
        <f aca="false">G$5*4_Normalizacion!G348</f>
        <v>0.000280339284607229</v>
      </c>
      <c r="H350" s="21" t="n">
        <f aca="false">H$5*4_Normalizacion!H348</f>
        <v>0.00339509178766152</v>
      </c>
      <c r="I350" s="21" t="n">
        <f aca="false">I$5*4_Normalizacion!I348</f>
        <v>0.0140543412710073</v>
      </c>
      <c r="J350" s="21" t="n">
        <f aca="false">J$5*4_Normalizacion!J348</f>
        <v>0.000255567041403239</v>
      </c>
      <c r="K350" s="21" t="n">
        <f aca="false">K$5*4_Normalizacion!K348</f>
        <v>3.1210669949406E-005</v>
      </c>
      <c r="L350" s="21" t="n">
        <f aca="false">L$5*4_Normalizacion!L348</f>
        <v>0.00195088806659721</v>
      </c>
      <c r="M350" s="21" t="n">
        <f aca="false">M$5*4_Normalizacion!M348</f>
        <v>0.000558741334848011</v>
      </c>
      <c r="N350" s="21" t="n">
        <f aca="false">N$5*4_Normalizacion!N348</f>
        <v>0.00607918426103344</v>
      </c>
      <c r="O350" s="21" t="n">
        <f aca="false">O$5*4_Normalizacion!O348</f>
        <v>0.00200587264654955</v>
      </c>
      <c r="P350" s="21" t="n">
        <f aca="false">P$5*4_Normalizacion!P348</f>
        <v>0.00135841219936972</v>
      </c>
      <c r="Q350" s="21" t="n">
        <f aca="false">Q$5*4_Normalizacion!Q348</f>
        <v>0.0142963285899449</v>
      </c>
    </row>
    <row r="351" customFormat="false" ht="15" hidden="false" customHeight="false" outlineLevel="0" collapsed="false">
      <c r="A351" s="15" t="n">
        <f aca="false">4_Normalizacion!A349</f>
        <v>344</v>
      </c>
      <c r="B351" s="16" t="n">
        <f aca="false">4_Normalizacion!B349</f>
        <v>34.645</v>
      </c>
      <c r="C351" s="21" t="n">
        <f aca="false">C$5*4_Normalizacion!C349</f>
        <v>0.00211491006743141</v>
      </c>
      <c r="D351" s="21" t="n">
        <f aca="false">D$5*4_Normalizacion!D349</f>
        <v>0.00020543122737585</v>
      </c>
      <c r="E351" s="21" t="n">
        <f aca="false">E$5*4_Normalizacion!E349</f>
        <v>0.00185693905364827</v>
      </c>
      <c r="F351" s="21" t="n">
        <f aca="false">F$5*4_Normalizacion!F349</f>
        <v>0.00161403739408304</v>
      </c>
      <c r="G351" s="21" t="n">
        <f aca="false">G$5*4_Normalizacion!G349</f>
        <v>0.000280339284607229</v>
      </c>
      <c r="H351" s="21" t="n">
        <f aca="false">H$5*4_Normalizacion!H349</f>
        <v>0.00339509178766152</v>
      </c>
      <c r="I351" s="21" t="n">
        <f aca="false">I$5*4_Normalizacion!I349</f>
        <v>0.0140543412710073</v>
      </c>
      <c r="J351" s="21" t="n">
        <f aca="false">J$5*4_Normalizacion!J349</f>
        <v>0.000255567041403239</v>
      </c>
      <c r="K351" s="21" t="n">
        <f aca="false">K$5*4_Normalizacion!K349</f>
        <v>3.1210669949406E-005</v>
      </c>
      <c r="L351" s="21" t="n">
        <f aca="false">L$5*4_Normalizacion!L349</f>
        <v>0.00196141714637067</v>
      </c>
      <c r="M351" s="21" t="n">
        <f aca="false">M$5*4_Normalizacion!M349</f>
        <v>0.000568243035921212</v>
      </c>
      <c r="N351" s="21" t="n">
        <f aca="false">N$5*4_Normalizacion!N349</f>
        <v>0.00607918426103344</v>
      </c>
      <c r="O351" s="21" t="n">
        <f aca="false">O$5*4_Normalizacion!O349</f>
        <v>0.00200587264654955</v>
      </c>
      <c r="P351" s="21" t="n">
        <f aca="false">P$5*4_Normalizacion!P349</f>
        <v>0.00135841219936972</v>
      </c>
      <c r="Q351" s="21" t="n">
        <f aca="false">Q$5*4_Normalizacion!Q349</f>
        <v>0.0142963285899449</v>
      </c>
    </row>
    <row r="352" customFormat="false" ht="15" hidden="false" customHeight="false" outlineLevel="0" collapsed="false">
      <c r="A352" s="15" t="n">
        <f aca="false">4_Normalizacion!A350</f>
        <v>345</v>
      </c>
      <c r="B352" s="16" t="n">
        <f aca="false">4_Normalizacion!B350</f>
        <v>34.744</v>
      </c>
      <c r="C352" s="21" t="n">
        <f aca="false">C$5*4_Normalizacion!C350</f>
        <v>0.00211491006743141</v>
      </c>
      <c r="D352" s="21" t="n">
        <f aca="false">D$5*4_Normalizacion!D350</f>
        <v>0.00020543122737585</v>
      </c>
      <c r="E352" s="21" t="n">
        <f aca="false">E$5*4_Normalizacion!E350</f>
        <v>0.00185693905364827</v>
      </c>
      <c r="F352" s="21" t="n">
        <f aca="false">F$5*4_Normalizacion!F350</f>
        <v>0.00121052804556228</v>
      </c>
      <c r="G352" s="21" t="n">
        <f aca="false">G$5*4_Normalizacion!G350</f>
        <v>0.000280339284607229</v>
      </c>
      <c r="H352" s="21" t="n">
        <f aca="false">H$5*4_Normalizacion!H350</f>
        <v>0.00339509178766152</v>
      </c>
      <c r="I352" s="21" t="n">
        <f aca="false">I$5*4_Normalizacion!I350</f>
        <v>0.0140543412710073</v>
      </c>
      <c r="J352" s="21" t="n">
        <f aca="false">J$5*4_Normalizacion!J350</f>
        <v>0.000255567041403239</v>
      </c>
      <c r="K352" s="21" t="n">
        <f aca="false">K$5*4_Normalizacion!K350</f>
        <v>3.90133374367575E-005</v>
      </c>
      <c r="L352" s="21" t="n">
        <f aca="false">L$5*4_Normalizacion!L350</f>
        <v>0.0018837025099475</v>
      </c>
      <c r="M352" s="21" t="n">
        <f aca="false">M$5*4_Normalizacion!M350</f>
        <v>0.000613272836659425</v>
      </c>
      <c r="N352" s="21" t="n">
        <f aca="false">N$5*4_Normalizacion!N350</f>
        <v>0.00607918426103344</v>
      </c>
      <c r="O352" s="21" t="n">
        <f aca="false">O$5*4_Normalizacion!O350</f>
        <v>0.00200587264654955</v>
      </c>
      <c r="P352" s="21" t="n">
        <f aca="false">P$5*4_Normalizacion!P350</f>
        <v>0.00135841219936972</v>
      </c>
      <c r="Q352" s="21" t="n">
        <f aca="false">Q$5*4_Normalizacion!Q350</f>
        <v>0.0142963285899449</v>
      </c>
    </row>
    <row r="353" customFormat="false" ht="15" hidden="false" customHeight="false" outlineLevel="0" collapsed="false">
      <c r="A353" s="15" t="n">
        <f aca="false">4_Normalizacion!A351</f>
        <v>346</v>
      </c>
      <c r="B353" s="16" t="n">
        <f aca="false">4_Normalizacion!B351</f>
        <v>34.843</v>
      </c>
      <c r="C353" s="21" t="n">
        <f aca="false">C$5*4_Normalizacion!C351</f>
        <v>0.00211491006743141</v>
      </c>
      <c r="D353" s="21" t="n">
        <f aca="false">D$5*4_Normalizacion!D351</f>
        <v>0.00020543122737585</v>
      </c>
      <c r="E353" s="21" t="n">
        <f aca="false">E$5*4_Normalizacion!E351</f>
        <v>0.00232117381706033</v>
      </c>
      <c r="F353" s="21" t="n">
        <f aca="false">F$5*4_Normalizacion!F351</f>
        <v>0.000807018697041519</v>
      </c>
      <c r="G353" s="21" t="n">
        <f aca="false">G$5*4_Normalizacion!G351</f>
        <v>0.000280339284607229</v>
      </c>
      <c r="H353" s="21" t="n">
        <f aca="false">H$5*4_Normalizacion!H351</f>
        <v>0.00339509178766152</v>
      </c>
      <c r="I353" s="21" t="n">
        <f aca="false">I$5*4_Normalizacion!I351</f>
        <v>0.0140543412710073</v>
      </c>
      <c r="J353" s="21" t="n">
        <f aca="false">J$5*4_Normalizacion!J351</f>
        <v>0.000255567041403239</v>
      </c>
      <c r="K353" s="21" t="n">
        <f aca="false">K$5*4_Normalizacion!K351</f>
        <v>3.90133374367575E-005</v>
      </c>
      <c r="L353" s="21" t="n">
        <f aca="false">L$5*4_Normalizacion!L351</f>
        <v>0.00176236740017712</v>
      </c>
      <c r="M353" s="21" t="n">
        <f aca="false">M$5*4_Normalizacion!M351</f>
        <v>0.000597987491454711</v>
      </c>
      <c r="N353" s="21" t="n">
        <f aca="false">N$5*4_Normalizacion!N351</f>
        <v>0.00607918426103344</v>
      </c>
      <c r="O353" s="21" t="n">
        <f aca="false">O$5*4_Normalizacion!O351</f>
        <v>0.00200587264654955</v>
      </c>
      <c r="P353" s="21" t="n">
        <f aca="false">P$5*4_Normalizacion!P351</f>
        <v>0.00135841219936972</v>
      </c>
      <c r="Q353" s="21" t="n">
        <f aca="false">Q$5*4_Normalizacion!Q351</f>
        <v>0.0142963285899449</v>
      </c>
    </row>
    <row r="354" customFormat="false" ht="15" hidden="false" customHeight="false" outlineLevel="0" collapsed="false">
      <c r="A354" s="15" t="n">
        <f aca="false">4_Normalizacion!A352</f>
        <v>347</v>
      </c>
      <c r="B354" s="16" t="n">
        <f aca="false">4_Normalizacion!B352</f>
        <v>34.941</v>
      </c>
      <c r="C354" s="21" t="n">
        <f aca="false">C$5*4_Normalizacion!C352</f>
        <v>0.00211491006743141</v>
      </c>
      <c r="D354" s="21" t="n">
        <f aca="false">D$5*4_Normalizacion!D352</f>
        <v>0.00020543122737585</v>
      </c>
      <c r="E354" s="21" t="n">
        <f aca="false">E$5*4_Normalizacion!E352</f>
        <v>0.00232117381706033</v>
      </c>
      <c r="F354" s="21" t="n">
        <f aca="false">F$5*4_Normalizacion!F352</f>
        <v>0.00121052804556228</v>
      </c>
      <c r="G354" s="21" t="n">
        <f aca="false">G$5*4_Normalizacion!G352</f>
        <v>0.000280339284607229</v>
      </c>
      <c r="H354" s="21" t="n">
        <f aca="false">H$5*4_Normalizacion!H352</f>
        <v>0.00339509178766152</v>
      </c>
      <c r="I354" s="21" t="n">
        <f aca="false">I$5*4_Normalizacion!I352</f>
        <v>0.0140543412710073</v>
      </c>
      <c r="J354" s="21" t="n">
        <f aca="false">J$5*4_Normalizacion!J352</f>
        <v>0.000255567041403239</v>
      </c>
      <c r="K354" s="21" t="n">
        <f aca="false">K$5*4_Normalizacion!K352</f>
        <v>3.90133374367575E-005</v>
      </c>
      <c r="L354" s="21" t="n">
        <f aca="false">L$5*4_Normalizacion!L352</f>
        <v>0.00144549223747102</v>
      </c>
      <c r="M354" s="21" t="n">
        <f aca="false">M$5*4_Normalizacion!M352</f>
        <v>0.000637440206780393</v>
      </c>
      <c r="N354" s="21" t="n">
        <f aca="false">N$5*4_Normalizacion!N352</f>
        <v>0.00607918426103344</v>
      </c>
      <c r="O354" s="21" t="n">
        <f aca="false">O$5*4_Normalizacion!O352</f>
        <v>0.00200587264654955</v>
      </c>
      <c r="P354" s="21" t="n">
        <f aca="false">P$5*4_Normalizacion!P352</f>
        <v>0.00135841219936972</v>
      </c>
      <c r="Q354" s="21" t="n">
        <f aca="false">Q$5*4_Normalizacion!Q352</f>
        <v>0.0114370628719559</v>
      </c>
    </row>
    <row r="355" customFormat="false" ht="15" hidden="false" customHeight="false" outlineLevel="0" collapsed="false">
      <c r="A355" s="15" t="n">
        <f aca="false">4_Normalizacion!A353</f>
        <v>348</v>
      </c>
      <c r="B355" s="16" t="n">
        <f aca="false">4_Normalizacion!B353</f>
        <v>35.04</v>
      </c>
      <c r="C355" s="21" t="n">
        <f aca="false">C$5*4_Normalizacion!C353</f>
        <v>0.00211491006743141</v>
      </c>
      <c r="D355" s="21" t="n">
        <f aca="false">D$5*4_Normalizacion!D353</f>
        <v>0.00020543122737585</v>
      </c>
      <c r="E355" s="21" t="n">
        <f aca="false">E$5*4_Normalizacion!E353</f>
        <v>0.00232117381706033</v>
      </c>
      <c r="F355" s="21" t="n">
        <f aca="false">F$5*4_Normalizacion!F353</f>
        <v>0.00161403739408304</v>
      </c>
      <c r="G355" s="21" t="n">
        <f aca="false">G$5*4_Normalizacion!G353</f>
        <v>0.000280339284607229</v>
      </c>
      <c r="H355" s="21" t="n">
        <f aca="false">H$5*4_Normalizacion!H353</f>
        <v>0.00339509178766152</v>
      </c>
      <c r="I355" s="21" t="n">
        <f aca="false">I$5*4_Normalizacion!I353</f>
        <v>0.00843260476260438</v>
      </c>
      <c r="J355" s="21" t="n">
        <f aca="false">J$5*4_Normalizacion!J353</f>
        <v>0.000255567041403239</v>
      </c>
      <c r="K355" s="21" t="n">
        <f aca="false">K$5*4_Normalizacion!K353</f>
        <v>3.90133374367575E-005</v>
      </c>
      <c r="L355" s="21" t="n">
        <f aca="false">L$5*4_Normalizacion!L353</f>
        <v>0.00137529837231461</v>
      </c>
      <c r="M355" s="21" t="n">
        <f aca="false">M$5*4_Normalizacion!M353</f>
        <v>0.000670902719255579</v>
      </c>
      <c r="N355" s="21" t="n">
        <f aca="false">N$5*4_Normalizacion!N353</f>
        <v>0.00607918426103344</v>
      </c>
      <c r="O355" s="21" t="n">
        <f aca="false">O$5*4_Normalizacion!O353</f>
        <v>0.00200587264654955</v>
      </c>
      <c r="P355" s="21" t="n">
        <f aca="false">P$5*4_Normalizacion!P353</f>
        <v>0.00135841219936972</v>
      </c>
      <c r="Q355" s="21" t="n">
        <f aca="false">Q$5*4_Normalizacion!Q353</f>
        <v>0.0114370628719559</v>
      </c>
    </row>
    <row r="356" customFormat="false" ht="15" hidden="false" customHeight="false" outlineLevel="0" collapsed="false">
      <c r="A356" s="15" t="n">
        <f aca="false">4_Normalizacion!A354</f>
        <v>349</v>
      </c>
      <c r="B356" s="16" t="n">
        <f aca="false">4_Normalizacion!B354</f>
        <v>35.139</v>
      </c>
      <c r="C356" s="21" t="n">
        <f aca="false">C$5*4_Normalizacion!C354</f>
        <v>0.00211491006743141</v>
      </c>
      <c r="D356" s="21" t="n">
        <f aca="false">D$5*4_Normalizacion!D354</f>
        <v>0.00020543122737585</v>
      </c>
      <c r="E356" s="21" t="n">
        <f aca="false">E$5*4_Normalizacion!E354</f>
        <v>0.00185693905364827</v>
      </c>
      <c r="F356" s="21" t="n">
        <f aca="false">F$5*4_Normalizacion!F354</f>
        <v>0.0020175467426038</v>
      </c>
      <c r="G356" s="21" t="n">
        <f aca="false">G$5*4_Normalizacion!G354</f>
        <v>0.000280339284607229</v>
      </c>
      <c r="H356" s="21" t="n">
        <f aca="false">H$5*4_Normalizacion!H354</f>
        <v>0.00339509178766152</v>
      </c>
      <c r="I356" s="21" t="n">
        <f aca="false">I$5*4_Normalizacion!I354</f>
        <v>0.00281086825420146</v>
      </c>
      <c r="J356" s="21" t="n">
        <f aca="false">J$5*4_Normalizacion!J354</f>
        <v>0.000255567041403239</v>
      </c>
      <c r="K356" s="21" t="n">
        <f aca="false">K$5*4_Normalizacion!K354</f>
        <v>3.90133374367575E-005</v>
      </c>
      <c r="L356" s="21" t="n">
        <f aca="false">L$5*4_Normalizacion!L354</f>
        <v>0.00122438156222832</v>
      </c>
      <c r="M356" s="21" t="n">
        <f aca="false">M$5*4_Normalizacion!M354</f>
        <v>0.000686188064460293</v>
      </c>
      <c r="N356" s="21" t="n">
        <f aca="false">N$5*4_Normalizacion!N354</f>
        <v>0.00607918426103344</v>
      </c>
      <c r="O356" s="21" t="n">
        <f aca="false">O$5*4_Normalizacion!O354</f>
        <v>0.00200587264654955</v>
      </c>
      <c r="P356" s="21" t="n">
        <f aca="false">P$5*4_Normalizacion!P354</f>
        <v>0.00135841219936972</v>
      </c>
      <c r="Q356" s="21" t="n">
        <f aca="false">Q$5*4_Normalizacion!Q354</f>
        <v>0.0114370628719559</v>
      </c>
    </row>
    <row r="357" customFormat="false" ht="15" hidden="false" customHeight="false" outlineLevel="0" collapsed="false">
      <c r="A357" s="15" t="n">
        <f aca="false">4_Normalizacion!A355</f>
        <v>350</v>
      </c>
      <c r="B357" s="16" t="n">
        <f aca="false">4_Normalizacion!B355</f>
        <v>35.237</v>
      </c>
      <c r="C357" s="21" t="n">
        <f aca="false">C$5*4_Normalizacion!C355</f>
        <v>0.00211491006743141</v>
      </c>
      <c r="D357" s="21" t="n">
        <f aca="false">D$5*4_Normalizacion!D355</f>
        <v>0.00020543122737585</v>
      </c>
      <c r="E357" s="21" t="n">
        <f aca="false">E$5*4_Normalizacion!E355</f>
        <v>0.00185693905364827</v>
      </c>
      <c r="F357" s="21" t="n">
        <f aca="false">F$5*4_Normalizacion!F355</f>
        <v>0.0020175467426038</v>
      </c>
      <c r="G357" s="21" t="n">
        <f aca="false">G$5*4_Normalizacion!G355</f>
        <v>0.000280339284607229</v>
      </c>
      <c r="H357" s="21" t="n">
        <f aca="false">H$5*4_Normalizacion!H355</f>
        <v>0.00339509178766152</v>
      </c>
      <c r="I357" s="21" t="n">
        <f aca="false">I$5*4_Normalizacion!I355</f>
        <v>0.00281086825420146</v>
      </c>
      <c r="J357" s="21" t="n">
        <f aca="false">J$5*4_Normalizacion!J355</f>
        <v>0.000255567041403239</v>
      </c>
      <c r="K357" s="21" t="n">
        <f aca="false">K$5*4_Normalizacion!K355</f>
        <v>3.90133374367575E-005</v>
      </c>
      <c r="L357" s="21" t="n">
        <f aca="false">L$5*4_Normalizacion!L355</f>
        <v>0.00122738987073502</v>
      </c>
      <c r="M357" s="21" t="n">
        <f aca="false">M$5*4_Normalizacion!M355</f>
        <v>0.000621948302856696</v>
      </c>
      <c r="N357" s="21" t="n">
        <f aca="false">N$5*4_Normalizacion!N355</f>
        <v>0.00607918426103344</v>
      </c>
      <c r="O357" s="21" t="n">
        <f aca="false">O$5*4_Normalizacion!O355</f>
        <v>0.00200587264654955</v>
      </c>
      <c r="P357" s="21" t="n">
        <f aca="false">P$5*4_Normalizacion!P355</f>
        <v>0.00135841219936972</v>
      </c>
      <c r="Q357" s="21" t="n">
        <f aca="false">Q$5*4_Normalizacion!Q355</f>
        <v>0.0114370628719559</v>
      </c>
    </row>
    <row r="358" customFormat="false" ht="15" hidden="false" customHeight="false" outlineLevel="0" collapsed="false">
      <c r="A358" s="15" t="n">
        <f aca="false">4_Normalizacion!A356</f>
        <v>351</v>
      </c>
      <c r="B358" s="16" t="n">
        <f aca="false">4_Normalizacion!B356</f>
        <v>35.336</v>
      </c>
      <c r="C358" s="21" t="n">
        <f aca="false">C$5*4_Normalizacion!C356</f>
        <v>0.00211491006743141</v>
      </c>
      <c r="D358" s="21" t="n">
        <f aca="false">D$5*4_Normalizacion!D356</f>
        <v>0.00020543122737585</v>
      </c>
      <c r="E358" s="21" t="n">
        <f aca="false">E$5*4_Normalizacion!E356</f>
        <v>0.00232117381706033</v>
      </c>
      <c r="F358" s="21" t="n">
        <f aca="false">F$5*4_Normalizacion!F356</f>
        <v>0.00161403739408304</v>
      </c>
      <c r="G358" s="21" t="n">
        <f aca="false">G$5*4_Normalizacion!G356</f>
        <v>0.000280339284607229</v>
      </c>
      <c r="H358" s="21" t="n">
        <f aca="false">H$5*4_Normalizacion!H356</f>
        <v>0.00339509178766152</v>
      </c>
      <c r="I358" s="21" t="n">
        <f aca="false">I$5*4_Normalizacion!I356</f>
        <v>0.0112434730168058</v>
      </c>
      <c r="J358" s="21" t="n">
        <f aca="false">J$5*4_Normalizacion!J356</f>
        <v>0.000255567041403239</v>
      </c>
      <c r="K358" s="21" t="n">
        <f aca="false">K$5*4_Normalizacion!K356</f>
        <v>3.90133374367575E-005</v>
      </c>
      <c r="L358" s="21" t="n">
        <f aca="false">L$5*4_Normalizacion!L356</f>
        <v>0.00132165020394506</v>
      </c>
      <c r="M358" s="21" t="n">
        <f aca="false">M$5*4_Normalizacion!M356</f>
        <v>0.000627525388269226</v>
      </c>
      <c r="N358" s="21" t="n">
        <f aca="false">N$5*4_Normalizacion!N356</f>
        <v>0.00607918426103344</v>
      </c>
      <c r="O358" s="21" t="n">
        <f aca="false">O$5*4_Normalizacion!O356</f>
        <v>0.00200587264654955</v>
      </c>
      <c r="P358" s="21" t="n">
        <f aca="false">P$5*4_Normalizacion!P356</f>
        <v>0.00135841219936972</v>
      </c>
      <c r="Q358" s="21" t="n">
        <f aca="false">Q$5*4_Normalizacion!Q356</f>
        <v>0.00857779715396695</v>
      </c>
    </row>
    <row r="359" customFormat="false" ht="15" hidden="false" customHeight="false" outlineLevel="0" collapsed="false">
      <c r="A359" s="15" t="n">
        <f aca="false">4_Normalizacion!A357</f>
        <v>352</v>
      </c>
      <c r="B359" s="16" t="n">
        <f aca="false">4_Normalizacion!B357</f>
        <v>35.435</v>
      </c>
      <c r="C359" s="21" t="n">
        <f aca="false">C$5*4_Normalizacion!C357</f>
        <v>0.00211491006743141</v>
      </c>
      <c r="D359" s="21" t="n">
        <f aca="false">D$5*4_Normalizacion!D357</f>
        <v>0.00020543122737585</v>
      </c>
      <c r="E359" s="21" t="n">
        <f aca="false">E$5*4_Normalizacion!E357</f>
        <v>0.00232117381706033</v>
      </c>
      <c r="F359" s="21" t="n">
        <f aca="false">F$5*4_Normalizacion!F357</f>
        <v>0.00161403739408304</v>
      </c>
      <c r="G359" s="21" t="n">
        <f aca="false">G$5*4_Normalizacion!G357</f>
        <v>0.000280339284607229</v>
      </c>
      <c r="H359" s="21" t="n">
        <f aca="false">H$5*4_Normalizacion!H357</f>
        <v>0.00339509178766152</v>
      </c>
      <c r="I359" s="21" t="n">
        <f aca="false">I$5*4_Normalizacion!I357</f>
        <v>0.0112434730168058</v>
      </c>
      <c r="J359" s="21" t="n">
        <f aca="false">J$5*4_Normalizacion!J357</f>
        <v>0.000255567041403239</v>
      </c>
      <c r="K359" s="21" t="n">
        <f aca="false">K$5*4_Normalizacion!K357</f>
        <v>3.90133374367575E-005</v>
      </c>
      <c r="L359" s="21" t="n">
        <f aca="false">L$5*4_Normalizacion!L357</f>
        <v>0.00143797146620426</v>
      </c>
      <c r="M359" s="21" t="n">
        <f aca="false">M$5*4_Normalizacion!M357</f>
        <v>0.000617197452320095</v>
      </c>
      <c r="N359" s="21" t="n">
        <f aca="false">N$5*4_Normalizacion!N357</f>
        <v>0.00607918426103344</v>
      </c>
      <c r="O359" s="21" t="n">
        <f aca="false">O$5*4_Normalizacion!O357</f>
        <v>0.00200587264654955</v>
      </c>
      <c r="P359" s="21" t="n">
        <f aca="false">P$5*4_Normalizacion!P357</f>
        <v>0.00135841219936972</v>
      </c>
      <c r="Q359" s="21" t="n">
        <f aca="false">Q$5*4_Normalizacion!Q357</f>
        <v>0.0114370628719559</v>
      </c>
    </row>
    <row r="360" customFormat="false" ht="15" hidden="false" customHeight="false" outlineLevel="0" collapsed="false">
      <c r="A360" s="15" t="n">
        <f aca="false">4_Normalizacion!A358</f>
        <v>353</v>
      </c>
      <c r="B360" s="16" t="n">
        <f aca="false">4_Normalizacion!B358</f>
        <v>35.534</v>
      </c>
      <c r="C360" s="21" t="n">
        <f aca="false">C$5*4_Normalizacion!C358</f>
        <v>0.00211491006743141</v>
      </c>
      <c r="D360" s="21" t="n">
        <f aca="false">D$5*4_Normalizacion!D358</f>
        <v>0.00020543122737585</v>
      </c>
      <c r="E360" s="21" t="n">
        <f aca="false">E$5*4_Normalizacion!E358</f>
        <v>0.00185693905364827</v>
      </c>
      <c r="F360" s="21" t="n">
        <f aca="false">F$5*4_Normalizacion!F358</f>
        <v>0.0020175467426038</v>
      </c>
      <c r="G360" s="21" t="n">
        <f aca="false">G$5*4_Normalizacion!G358</f>
        <v>0.000280339284607229</v>
      </c>
      <c r="H360" s="21" t="n">
        <f aca="false">H$5*4_Normalizacion!H358</f>
        <v>0.00339509178766152</v>
      </c>
      <c r="I360" s="21" t="n">
        <f aca="false">I$5*4_Normalizacion!I358</f>
        <v>0.00562173650840292</v>
      </c>
      <c r="J360" s="21" t="n">
        <f aca="false">J$5*4_Normalizacion!J358</f>
        <v>0.000255567041403239</v>
      </c>
      <c r="K360" s="21" t="n">
        <f aca="false">K$5*4_Normalizacion!K358</f>
        <v>3.90133374367575E-005</v>
      </c>
      <c r="L360" s="21" t="n">
        <f aca="false">L$5*4_Normalizacion!L358</f>
        <v>0.00138783299109254</v>
      </c>
      <c r="M360" s="21" t="n">
        <f aca="false">M$5*4_Normalizacion!M358</f>
        <v>0.000631450003929896</v>
      </c>
      <c r="N360" s="21" t="n">
        <f aca="false">N$5*4_Normalizacion!N358</f>
        <v>0.00607918426103344</v>
      </c>
      <c r="O360" s="21" t="n">
        <f aca="false">O$5*4_Normalizacion!O358</f>
        <v>0.00200587264654955</v>
      </c>
      <c r="P360" s="21" t="n">
        <f aca="false">P$5*4_Normalizacion!P358</f>
        <v>0.00135841219936972</v>
      </c>
      <c r="Q360" s="21" t="n">
        <f aca="false">Q$5*4_Normalizacion!Q358</f>
        <v>0.00857779715396695</v>
      </c>
    </row>
    <row r="361" customFormat="false" ht="15" hidden="false" customHeight="false" outlineLevel="0" collapsed="false">
      <c r="A361" s="15" t="n">
        <f aca="false">4_Normalizacion!A359</f>
        <v>354</v>
      </c>
      <c r="B361" s="16" t="n">
        <f aca="false">4_Normalizacion!B359</f>
        <v>35.633</v>
      </c>
      <c r="C361" s="21" t="n">
        <f aca="false">C$5*4_Normalizacion!C359</f>
        <v>0.00211491006743141</v>
      </c>
      <c r="D361" s="21" t="n">
        <f aca="false">D$5*4_Normalizacion!D359</f>
        <v>0.00020543122737585</v>
      </c>
      <c r="E361" s="21" t="n">
        <f aca="false">E$5*4_Normalizacion!E359</f>
        <v>0.00185693905364827</v>
      </c>
      <c r="F361" s="21" t="n">
        <f aca="false">F$5*4_Normalizacion!F359</f>
        <v>0.00161403739408304</v>
      </c>
      <c r="G361" s="21" t="n">
        <f aca="false">G$5*4_Normalizacion!G359</f>
        <v>0.000280339284607229</v>
      </c>
      <c r="H361" s="21" t="n">
        <f aca="false">H$5*4_Normalizacion!H359</f>
        <v>0.00339509178766152</v>
      </c>
      <c r="I361" s="21" t="n">
        <f aca="false">I$5*4_Normalizacion!I359</f>
        <v>0.00562173650840292</v>
      </c>
      <c r="J361" s="21" t="n">
        <f aca="false">J$5*4_Normalizacion!J359</f>
        <v>0.000255567041403239</v>
      </c>
      <c r="K361" s="21" t="n">
        <f aca="false">K$5*4_Normalizacion!K359</f>
        <v>3.90133374367575E-005</v>
      </c>
      <c r="L361" s="21" t="n">
        <f aca="false">L$5*4_Normalizacion!L359</f>
        <v>0.0014449908527199</v>
      </c>
      <c r="M361" s="21" t="n">
        <f aca="false">M$5*4_Normalizacion!M359</f>
        <v>0.000630623769053966</v>
      </c>
      <c r="N361" s="21" t="n">
        <f aca="false">N$5*4_Normalizacion!N359</f>
        <v>0.00607918426103344</v>
      </c>
      <c r="O361" s="21" t="n">
        <f aca="false">O$5*4_Normalizacion!O359</f>
        <v>0.00200587264654955</v>
      </c>
      <c r="P361" s="21" t="n">
        <f aca="false">P$5*4_Normalizacion!P359</f>
        <v>0.00135841219936972</v>
      </c>
      <c r="Q361" s="21" t="n">
        <f aca="false">Q$5*4_Normalizacion!Q359</f>
        <v>0.0114370628719559</v>
      </c>
    </row>
    <row r="362" customFormat="false" ht="15" hidden="false" customHeight="false" outlineLevel="0" collapsed="false">
      <c r="A362" s="15" t="n">
        <f aca="false">4_Normalizacion!A360</f>
        <v>355</v>
      </c>
      <c r="B362" s="16" t="n">
        <f aca="false">4_Normalizacion!B360</f>
        <v>35.732</v>
      </c>
      <c r="C362" s="21" t="n">
        <f aca="false">C$5*4_Normalizacion!C360</f>
        <v>0.00211491006743141</v>
      </c>
      <c r="D362" s="21" t="n">
        <f aca="false">D$5*4_Normalizacion!D360</f>
        <v>0.00020543122737585</v>
      </c>
      <c r="E362" s="21" t="n">
        <f aca="false">E$5*4_Normalizacion!E360</f>
        <v>0.00185693905364827</v>
      </c>
      <c r="F362" s="21" t="n">
        <f aca="false">F$5*4_Normalizacion!F360</f>
        <v>0.00161403739408304</v>
      </c>
      <c r="G362" s="21" t="n">
        <f aca="false">G$5*4_Normalizacion!G360</f>
        <v>0.000280339284607229</v>
      </c>
      <c r="H362" s="21" t="n">
        <f aca="false">H$5*4_Normalizacion!H360</f>
        <v>0.00339509178766152</v>
      </c>
      <c r="I362" s="21" t="n">
        <f aca="false">I$5*4_Normalizacion!I360</f>
        <v>0.00843260476260438</v>
      </c>
      <c r="J362" s="21" t="n">
        <f aca="false">J$5*4_Normalizacion!J360</f>
        <v>0.000255567041403239</v>
      </c>
      <c r="K362" s="21" t="n">
        <f aca="false">K$5*4_Normalizacion!K360</f>
        <v>3.90133374367575E-005</v>
      </c>
      <c r="L362" s="21" t="n">
        <f aca="false">L$5*4_Normalizacion!L360</f>
        <v>0.00142393269317298</v>
      </c>
      <c r="M362" s="21" t="n">
        <f aca="false">M$5*4_Normalizacion!M360</f>
        <v>0.000645495996820715</v>
      </c>
      <c r="N362" s="21" t="n">
        <f aca="false">N$5*4_Normalizacion!N360</f>
        <v>0.00607918426103344</v>
      </c>
      <c r="O362" s="21" t="n">
        <f aca="false">O$5*4_Normalizacion!O360</f>
        <v>0.00200587264654955</v>
      </c>
      <c r="P362" s="21" t="n">
        <f aca="false">P$5*4_Normalizacion!P360</f>
        <v>0.00135841219936972</v>
      </c>
      <c r="Q362" s="21" t="n">
        <f aca="false">Q$5*4_Normalizacion!Q360</f>
        <v>0.0114370628719559</v>
      </c>
    </row>
    <row r="363" customFormat="false" ht="15" hidden="false" customHeight="false" outlineLevel="0" collapsed="false">
      <c r="A363" s="15" t="n">
        <f aca="false">4_Normalizacion!A361</f>
        <v>356</v>
      </c>
      <c r="B363" s="16" t="n">
        <f aca="false">4_Normalizacion!B361</f>
        <v>35.831</v>
      </c>
      <c r="C363" s="21" t="n">
        <f aca="false">C$5*4_Normalizacion!C361</f>
        <v>0.00211491006743141</v>
      </c>
      <c r="D363" s="21" t="n">
        <f aca="false">D$5*4_Normalizacion!D361</f>
        <v>0.00020543122737585</v>
      </c>
      <c r="E363" s="21" t="n">
        <f aca="false">E$5*4_Normalizacion!E361</f>
        <v>0.00185693905364827</v>
      </c>
      <c r="F363" s="21" t="n">
        <f aca="false">F$5*4_Normalizacion!F361</f>
        <v>0.00161403739408304</v>
      </c>
      <c r="G363" s="21" t="n">
        <f aca="false">G$5*4_Normalizacion!G361</f>
        <v>0.000280339284607229</v>
      </c>
      <c r="H363" s="21" t="n">
        <f aca="false">H$5*4_Normalizacion!H361</f>
        <v>0.00339509178766152</v>
      </c>
      <c r="I363" s="21" t="n">
        <f aca="false">I$5*4_Normalizacion!I361</f>
        <v>0.0112434730168058</v>
      </c>
      <c r="J363" s="21" t="n">
        <f aca="false">J$5*4_Normalizacion!J361</f>
        <v>0.000255567041403239</v>
      </c>
      <c r="K363" s="21" t="n">
        <f aca="false">K$5*4_Normalizacion!K361</f>
        <v>3.1210669949406E-005</v>
      </c>
      <c r="L363" s="21" t="n">
        <f aca="false">L$5*4_Normalizacion!L361</f>
        <v>0.00126399095756658</v>
      </c>
      <c r="M363" s="21" t="n">
        <f aca="false">M$5*4_Normalizacion!M361</f>
        <v>0.000585593968315753</v>
      </c>
      <c r="N363" s="21" t="n">
        <f aca="false">N$5*4_Normalizacion!N361</f>
        <v>0.0075989803262918</v>
      </c>
      <c r="O363" s="21" t="n">
        <f aca="false">O$5*4_Normalizacion!O361</f>
        <v>0.00200587264654955</v>
      </c>
      <c r="P363" s="21" t="n">
        <f aca="false">P$5*4_Normalizacion!P361</f>
        <v>0.00135841219936972</v>
      </c>
      <c r="Q363" s="21" t="n">
        <f aca="false">Q$5*4_Normalizacion!Q361</f>
        <v>0.0114370628719559</v>
      </c>
    </row>
    <row r="364" customFormat="false" ht="15" hidden="false" customHeight="false" outlineLevel="0" collapsed="false">
      <c r="A364" s="15" t="n">
        <f aca="false">4_Normalizacion!A362</f>
        <v>357</v>
      </c>
      <c r="B364" s="16" t="n">
        <f aca="false">4_Normalizacion!B362</f>
        <v>35.93</v>
      </c>
      <c r="C364" s="21" t="n">
        <f aca="false">C$5*4_Normalizacion!C362</f>
        <v>0.00211491006743141</v>
      </c>
      <c r="D364" s="21" t="n">
        <f aca="false">D$5*4_Normalizacion!D362</f>
        <v>0.00020543122737585</v>
      </c>
      <c r="E364" s="21" t="n">
        <f aca="false">E$5*4_Normalizacion!E362</f>
        <v>0.00185693905364827</v>
      </c>
      <c r="F364" s="21" t="n">
        <f aca="false">F$5*4_Normalizacion!F362</f>
        <v>0.0020175467426038</v>
      </c>
      <c r="G364" s="21" t="n">
        <f aca="false">G$5*4_Normalizacion!G362</f>
        <v>0.000280339284607229</v>
      </c>
      <c r="H364" s="21" t="n">
        <f aca="false">H$5*4_Normalizacion!H362</f>
        <v>0.00339509178766152</v>
      </c>
      <c r="I364" s="21" t="n">
        <f aca="false">I$5*4_Normalizacion!I362</f>
        <v>0.00843260476260438</v>
      </c>
      <c r="J364" s="21" t="n">
        <f aca="false">J$5*4_Normalizacion!J362</f>
        <v>0.000255567041403239</v>
      </c>
      <c r="K364" s="21" t="n">
        <f aca="false">K$5*4_Normalizacion!K362</f>
        <v>3.1210669949406E-005</v>
      </c>
      <c r="L364" s="21" t="n">
        <f aca="false">L$5*4_Normalizacion!L362</f>
        <v>0.00145602131724448</v>
      </c>
      <c r="M364" s="21" t="n">
        <f aca="false">M$5*4_Normalizacion!M362</f>
        <v>0.0004934687796495</v>
      </c>
      <c r="N364" s="21" t="n">
        <f aca="false">N$5*4_Normalizacion!N362</f>
        <v>0.0075989803262918</v>
      </c>
      <c r="O364" s="21" t="n">
        <f aca="false">O$5*4_Normalizacion!O362</f>
        <v>0.00200587264654955</v>
      </c>
      <c r="P364" s="21" t="n">
        <f aca="false">P$5*4_Normalizacion!P362</f>
        <v>0.00135841219936972</v>
      </c>
      <c r="Q364" s="21" t="n">
        <f aca="false">Q$5*4_Normalizacion!Q362</f>
        <v>0.0142963285899449</v>
      </c>
    </row>
    <row r="365" customFormat="false" ht="15" hidden="false" customHeight="false" outlineLevel="0" collapsed="false">
      <c r="A365" s="15" t="n">
        <f aca="false">4_Normalizacion!A363</f>
        <v>358</v>
      </c>
      <c r="B365" s="16" t="n">
        <f aca="false">4_Normalizacion!B363</f>
        <v>36.029</v>
      </c>
      <c r="C365" s="21" t="n">
        <f aca="false">C$5*4_Normalizacion!C363</f>
        <v>0.00211491006743141</v>
      </c>
      <c r="D365" s="21" t="n">
        <f aca="false">D$5*4_Normalizacion!D363</f>
        <v>0.00020543122737585</v>
      </c>
      <c r="E365" s="21" t="n">
        <f aca="false">E$5*4_Normalizacion!E363</f>
        <v>0.00232117381706033</v>
      </c>
      <c r="F365" s="21" t="n">
        <f aca="false">F$5*4_Normalizacion!F363</f>
        <v>0.00161403739408304</v>
      </c>
      <c r="G365" s="21" t="n">
        <f aca="false">G$5*4_Normalizacion!G363</f>
        <v>0.000280339284607229</v>
      </c>
      <c r="H365" s="21" t="n">
        <f aca="false">H$5*4_Normalizacion!H363</f>
        <v>0.00339509178766152</v>
      </c>
      <c r="I365" s="21" t="n">
        <f aca="false">I$5*4_Normalizacion!I363</f>
        <v>0.0140543412710073</v>
      </c>
      <c r="J365" s="21" t="n">
        <f aca="false">J$5*4_Normalizacion!J363</f>
        <v>0.000255567041403239</v>
      </c>
      <c r="K365" s="21" t="n">
        <f aca="false">K$5*4_Normalizacion!K363</f>
        <v>3.90133374367575E-005</v>
      </c>
      <c r="L365" s="21" t="n">
        <f aca="false">L$5*4_Normalizacion!L363</f>
        <v>0.00132465851245177</v>
      </c>
      <c r="M365" s="21" t="n">
        <f aca="false">M$5*4_Normalizacion!M363</f>
        <v>0.000547793722741932</v>
      </c>
      <c r="N365" s="21" t="n">
        <f aca="false">N$5*4_Normalizacion!N363</f>
        <v>0.0075989803262918</v>
      </c>
      <c r="O365" s="21" t="n">
        <f aca="false">O$5*4_Normalizacion!O363</f>
        <v>0.00200587264654955</v>
      </c>
      <c r="P365" s="21" t="n">
        <f aca="false">P$5*4_Normalizacion!P363</f>
        <v>0.00135841219936972</v>
      </c>
      <c r="Q365" s="21" t="n">
        <f aca="false">Q$5*4_Normalizacion!Q363</f>
        <v>0.0114370628719559</v>
      </c>
    </row>
    <row r="366" customFormat="false" ht="15" hidden="false" customHeight="false" outlineLevel="0" collapsed="false">
      <c r="A366" s="15" t="n">
        <f aca="false">4_Normalizacion!A364</f>
        <v>359</v>
      </c>
      <c r="B366" s="16" t="n">
        <f aca="false">4_Normalizacion!B364</f>
        <v>36.129</v>
      </c>
      <c r="C366" s="21" t="n">
        <f aca="false">C$5*4_Normalizacion!C364</f>
        <v>0.00211491006743141</v>
      </c>
      <c r="D366" s="21" t="n">
        <f aca="false">D$5*4_Normalizacion!D364</f>
        <v>0.00020543122737585</v>
      </c>
      <c r="E366" s="21" t="n">
        <f aca="false">E$5*4_Normalizacion!E364</f>
        <v>0.00232117381706033</v>
      </c>
      <c r="F366" s="21" t="n">
        <f aca="false">F$5*4_Normalizacion!F364</f>
        <v>0.00161403739408304</v>
      </c>
      <c r="G366" s="21" t="n">
        <f aca="false">G$5*4_Normalizacion!G364</f>
        <v>0.000280339284607229</v>
      </c>
      <c r="H366" s="21" t="n">
        <f aca="false">H$5*4_Normalizacion!H364</f>
        <v>0.00339509178766152</v>
      </c>
      <c r="I366" s="21" t="n">
        <f aca="false">I$5*4_Normalizacion!I364</f>
        <v>0.0140543412710073</v>
      </c>
      <c r="J366" s="21" t="n">
        <f aca="false">J$5*4_Normalizacion!J364</f>
        <v>0.000255567041403239</v>
      </c>
      <c r="K366" s="21" t="n">
        <f aca="false">K$5*4_Normalizacion!K364</f>
        <v>3.90133374367575E-005</v>
      </c>
      <c r="L366" s="21" t="n">
        <f aca="false">L$5*4_Normalizacion!L364</f>
        <v>0.0013111211241716</v>
      </c>
      <c r="M366" s="21" t="n">
        <f aca="false">M$5*4_Normalizacion!M364</f>
        <v>0.000576298825961535</v>
      </c>
      <c r="N366" s="21" t="n">
        <f aca="false">N$5*4_Normalizacion!N364</f>
        <v>0.0075989803262918</v>
      </c>
      <c r="O366" s="21" t="n">
        <f aca="false">O$5*4_Normalizacion!O364</f>
        <v>0.00200587264654955</v>
      </c>
      <c r="P366" s="21" t="n">
        <f aca="false">P$5*4_Normalizacion!P364</f>
        <v>0.00135841219936972</v>
      </c>
      <c r="Q366" s="21" t="n">
        <f aca="false">Q$5*4_Normalizacion!Q364</f>
        <v>0.0142963285899449</v>
      </c>
    </row>
    <row r="367" customFormat="false" ht="15" hidden="false" customHeight="false" outlineLevel="0" collapsed="false">
      <c r="A367" s="15" t="n">
        <f aca="false">4_Normalizacion!A365</f>
        <v>360</v>
      </c>
      <c r="B367" s="16" t="n">
        <f aca="false">4_Normalizacion!B365</f>
        <v>36.228</v>
      </c>
      <c r="C367" s="21" t="n">
        <f aca="false">C$5*4_Normalizacion!C365</f>
        <v>0.00211491006743141</v>
      </c>
      <c r="D367" s="21" t="n">
        <f aca="false">D$5*4_Normalizacion!D365</f>
        <v>0.00020543122737585</v>
      </c>
      <c r="E367" s="21" t="n">
        <f aca="false">E$5*4_Normalizacion!E365</f>
        <v>0.00232117381706033</v>
      </c>
      <c r="F367" s="21" t="n">
        <f aca="false">F$5*4_Normalizacion!F365</f>
        <v>0.00161403739408304</v>
      </c>
      <c r="G367" s="21" t="n">
        <f aca="false">G$5*4_Normalizacion!G365</f>
        <v>0.000280339284607229</v>
      </c>
      <c r="H367" s="21" t="n">
        <f aca="false">H$5*4_Normalizacion!H365</f>
        <v>0.00339509178766152</v>
      </c>
      <c r="I367" s="21" t="n">
        <f aca="false">I$5*4_Normalizacion!I365</f>
        <v>0.0140543412710073</v>
      </c>
      <c r="J367" s="21" t="n">
        <f aca="false">J$5*4_Normalizacion!J365</f>
        <v>0.000255567041403239</v>
      </c>
      <c r="K367" s="21" t="n">
        <f aca="false">K$5*4_Normalizacion!K365</f>
        <v>3.90133374367575E-005</v>
      </c>
      <c r="L367" s="21" t="n">
        <f aca="false">L$5*4_Normalizacion!L365</f>
        <v>0.00113714061553392</v>
      </c>
      <c r="M367" s="21" t="n">
        <f aca="false">M$5*4_Normalizacion!M365</f>
        <v>0.000589931701414388</v>
      </c>
      <c r="N367" s="21" t="n">
        <f aca="false">N$5*4_Normalizacion!N365</f>
        <v>0.0075989803262918</v>
      </c>
      <c r="O367" s="21" t="n">
        <f aca="false">O$5*4_Normalizacion!O365</f>
        <v>0.00200587264654955</v>
      </c>
      <c r="P367" s="21" t="n">
        <f aca="false">P$5*4_Normalizacion!P365</f>
        <v>0.00135841219936972</v>
      </c>
      <c r="Q367" s="21" t="n">
        <f aca="false">Q$5*4_Normalizacion!Q365</f>
        <v>0.0142963285899449</v>
      </c>
    </row>
    <row r="368" customFormat="false" ht="15" hidden="false" customHeight="false" outlineLevel="0" collapsed="false">
      <c r="A368" s="15" t="n">
        <f aca="false">4_Normalizacion!A366</f>
        <v>361</v>
      </c>
      <c r="B368" s="16" t="n">
        <f aca="false">4_Normalizacion!B366</f>
        <v>36.328</v>
      </c>
      <c r="C368" s="21" t="n">
        <f aca="false">C$5*4_Normalizacion!C366</f>
        <v>0.00211491006743141</v>
      </c>
      <c r="D368" s="21" t="n">
        <f aca="false">D$5*4_Normalizacion!D366</f>
        <v>0.00020543122737585</v>
      </c>
      <c r="E368" s="21" t="n">
        <f aca="false">E$5*4_Normalizacion!E366</f>
        <v>0.00232117381706033</v>
      </c>
      <c r="F368" s="21" t="n">
        <f aca="false">F$5*4_Normalizacion!F366</f>
        <v>0.00161403739408304</v>
      </c>
      <c r="G368" s="21" t="n">
        <f aca="false">G$5*4_Normalizacion!G366</f>
        <v>0.000280339284607229</v>
      </c>
      <c r="H368" s="21" t="n">
        <f aca="false">H$5*4_Normalizacion!H366</f>
        <v>0.00339509178766152</v>
      </c>
      <c r="I368" s="21" t="n">
        <f aca="false">I$5*4_Normalizacion!I366</f>
        <v>0.0112434730168058</v>
      </c>
      <c r="J368" s="21" t="n">
        <f aca="false">J$5*4_Normalizacion!J366</f>
        <v>0.000255567041403239</v>
      </c>
      <c r="K368" s="21" t="n">
        <f aca="false">K$5*4_Normalizacion!K366</f>
        <v>3.90133374367575E-005</v>
      </c>
      <c r="L368" s="21" t="n">
        <f aca="false">L$5*4_Normalizacion!L366</f>
        <v>0.00129758373589143</v>
      </c>
      <c r="M368" s="21" t="n">
        <f aca="false">M$5*4_Normalizacion!M366</f>
        <v>0.000575679149804587</v>
      </c>
      <c r="N368" s="21" t="n">
        <f aca="false">N$5*4_Normalizacion!N366</f>
        <v>0.0075989803262918</v>
      </c>
      <c r="O368" s="21" t="n">
        <f aca="false">O$5*4_Normalizacion!O366</f>
        <v>0.00200587264654955</v>
      </c>
      <c r="P368" s="21" t="n">
        <f aca="false">P$5*4_Normalizacion!P366</f>
        <v>0.00135841219936972</v>
      </c>
      <c r="Q368" s="21" t="n">
        <f aca="false">Q$5*4_Normalizacion!Q366</f>
        <v>0.00285926571798898</v>
      </c>
    </row>
    <row r="369" customFormat="false" ht="15" hidden="false" customHeight="false" outlineLevel="0" collapsed="false">
      <c r="A369" s="15" t="n">
        <f aca="false">4_Normalizacion!A367</f>
        <v>362</v>
      </c>
      <c r="B369" s="16" t="n">
        <f aca="false">4_Normalizacion!B367</f>
        <v>36.428</v>
      </c>
      <c r="C369" s="21" t="n">
        <f aca="false">C$5*4_Normalizacion!C367</f>
        <v>0.00211491006743141</v>
      </c>
      <c r="D369" s="21" t="n">
        <f aca="false">D$5*4_Normalizacion!D367</f>
        <v>0.00020543122737585</v>
      </c>
      <c r="E369" s="21" t="n">
        <f aca="false">E$5*4_Normalizacion!E367</f>
        <v>0.00185693905364827</v>
      </c>
      <c r="F369" s="21" t="n">
        <f aca="false">F$5*4_Normalizacion!F367</f>
        <v>0.00161403739408304</v>
      </c>
      <c r="G369" s="21" t="n">
        <f aca="false">G$5*4_Normalizacion!G367</f>
        <v>0.000280339284607229</v>
      </c>
      <c r="H369" s="21" t="n">
        <f aca="false">H$5*4_Normalizacion!H367</f>
        <v>0.00339509178766152</v>
      </c>
      <c r="I369" s="21" t="n">
        <f aca="false">I$5*4_Normalizacion!I367</f>
        <v>0.0112434730168058</v>
      </c>
      <c r="J369" s="21" t="n">
        <f aca="false">J$5*4_Normalizacion!J367</f>
        <v>0.000255567041403239</v>
      </c>
      <c r="K369" s="21" t="n">
        <f aca="false">K$5*4_Normalizacion!K367</f>
        <v>3.90133374367575E-005</v>
      </c>
      <c r="L369" s="21" t="n">
        <f aca="false">L$5*4_Normalizacion!L367</f>
        <v>0.00162448659361988</v>
      </c>
      <c r="M369" s="21" t="n">
        <f aca="false">M$5*4_Normalizacion!M367</f>
        <v>0.000547380605303966</v>
      </c>
      <c r="N369" s="21" t="n">
        <f aca="false">N$5*4_Normalizacion!N367</f>
        <v>0.0075989803262918</v>
      </c>
      <c r="O369" s="21" t="n">
        <f aca="false">O$5*4_Normalizacion!O367</f>
        <v>0.00200587264654955</v>
      </c>
      <c r="P369" s="21" t="n">
        <f aca="false">P$5*4_Normalizacion!P367</f>
        <v>0.00135841219936972</v>
      </c>
      <c r="Q369" s="21" t="n">
        <f aca="false">Q$5*4_Normalizacion!Q367</f>
        <v>0.00285926571798898</v>
      </c>
    </row>
    <row r="370" customFormat="false" ht="15" hidden="false" customHeight="false" outlineLevel="0" collapsed="false">
      <c r="A370" s="15" t="n">
        <f aca="false">4_Normalizacion!A368</f>
        <v>363</v>
      </c>
      <c r="B370" s="16" t="n">
        <f aca="false">4_Normalizacion!B368</f>
        <v>36.528</v>
      </c>
      <c r="C370" s="21" t="n">
        <f aca="false">C$5*4_Normalizacion!C368</f>
        <v>0.00211491006743141</v>
      </c>
      <c r="D370" s="21" t="n">
        <f aca="false">D$5*4_Normalizacion!D368</f>
        <v>0.00020543122737585</v>
      </c>
      <c r="E370" s="21" t="n">
        <f aca="false">E$5*4_Normalizacion!E368</f>
        <v>0.00185693905364827</v>
      </c>
      <c r="F370" s="21" t="n">
        <f aca="false">F$5*4_Normalizacion!F368</f>
        <v>0.00121052804556228</v>
      </c>
      <c r="G370" s="21" t="n">
        <f aca="false">G$5*4_Normalizacion!G368</f>
        <v>0.000280339284607229</v>
      </c>
      <c r="H370" s="21" t="n">
        <f aca="false">H$5*4_Normalizacion!H368</f>
        <v>0.00339509178766152</v>
      </c>
      <c r="I370" s="21" t="n">
        <f aca="false">I$5*4_Normalizacion!I368</f>
        <v>0.0112434730168058</v>
      </c>
      <c r="J370" s="21" t="n">
        <f aca="false">J$5*4_Normalizacion!J368</f>
        <v>0.000255567041403239</v>
      </c>
      <c r="K370" s="21" t="n">
        <f aca="false">K$5*4_Normalizacion!K368</f>
        <v>3.90133374367575E-005</v>
      </c>
      <c r="L370" s="21" t="n">
        <f aca="false">L$5*4_Normalizacion!L368</f>
        <v>0.00158537858303273</v>
      </c>
      <c r="M370" s="21" t="n">
        <f aca="false">M$5*4_Normalizacion!M368</f>
        <v>0.000494295014525431</v>
      </c>
      <c r="N370" s="21" t="n">
        <f aca="false">N$5*4_Normalizacion!N368</f>
        <v>0.0075989803262918</v>
      </c>
      <c r="O370" s="21" t="n">
        <f aca="false">O$5*4_Normalizacion!O368</f>
        <v>0.00200587264654955</v>
      </c>
      <c r="P370" s="21" t="n">
        <f aca="false">P$5*4_Normalizacion!P368</f>
        <v>0.00135841219936972</v>
      </c>
      <c r="Q370" s="21" t="n">
        <f aca="false">Q$5*4_Normalizacion!Q368</f>
        <v>0.00285926571798898</v>
      </c>
    </row>
    <row r="371" customFormat="false" ht="15" hidden="false" customHeight="false" outlineLevel="0" collapsed="false">
      <c r="A371" s="15" t="n">
        <f aca="false">4_Normalizacion!A369</f>
        <v>364</v>
      </c>
      <c r="B371" s="16" t="n">
        <f aca="false">4_Normalizacion!B369</f>
        <v>36.628</v>
      </c>
      <c r="C371" s="21" t="n">
        <f aca="false">C$5*4_Normalizacion!C369</f>
        <v>0.00211491006743141</v>
      </c>
      <c r="D371" s="21" t="n">
        <f aca="false">D$5*4_Normalizacion!D369</f>
        <v>0.00020543122737585</v>
      </c>
      <c r="E371" s="21" t="n">
        <f aca="false">E$5*4_Normalizacion!E369</f>
        <v>0.00232117381706033</v>
      </c>
      <c r="F371" s="21" t="n">
        <f aca="false">F$5*4_Normalizacion!F369</f>
        <v>0.00161403739408304</v>
      </c>
      <c r="G371" s="21" t="n">
        <f aca="false">G$5*4_Normalizacion!G369</f>
        <v>0.000280339284607229</v>
      </c>
      <c r="H371" s="21" t="n">
        <f aca="false">H$5*4_Normalizacion!H369</f>
        <v>0.00339509178766152</v>
      </c>
      <c r="I371" s="21" t="n">
        <f aca="false">I$5*4_Normalizacion!I369</f>
        <v>0.0140543412710073</v>
      </c>
      <c r="J371" s="21" t="n">
        <f aca="false">J$5*4_Normalizacion!J369</f>
        <v>0.000255567041403239</v>
      </c>
      <c r="K371" s="21" t="n">
        <f aca="false">K$5*4_Normalizacion!K369</f>
        <v>3.90133374367575E-005</v>
      </c>
      <c r="L371" s="21" t="n">
        <f aca="false">L$5*4_Normalizacion!L369</f>
        <v>0.00147306839878247</v>
      </c>
      <c r="M371" s="21" t="n">
        <f aca="false">M$5*4_Normalizacion!M369</f>
        <v>0.000522800117745034</v>
      </c>
      <c r="N371" s="21" t="n">
        <f aca="false">N$5*4_Normalizacion!N369</f>
        <v>0.0075989803262918</v>
      </c>
      <c r="O371" s="21" t="n">
        <f aca="false">O$5*4_Normalizacion!O369</f>
        <v>0.00200587264654955</v>
      </c>
      <c r="P371" s="21" t="n">
        <f aca="false">P$5*4_Normalizacion!P369</f>
        <v>0.00135841219936972</v>
      </c>
      <c r="Q371" s="21" t="n">
        <f aca="false">Q$5*4_Normalizacion!Q369</f>
        <v>0.00285926571798898</v>
      </c>
    </row>
    <row r="372" customFormat="false" ht="15" hidden="false" customHeight="false" outlineLevel="0" collapsed="false">
      <c r="A372" s="15" t="n">
        <f aca="false">4_Normalizacion!A370</f>
        <v>365</v>
      </c>
      <c r="B372" s="16" t="n">
        <f aca="false">4_Normalizacion!B370</f>
        <v>36.728</v>
      </c>
      <c r="C372" s="21" t="n">
        <f aca="false">C$5*4_Normalizacion!C370</f>
        <v>0.00211491006743141</v>
      </c>
      <c r="D372" s="21" t="n">
        <f aca="false">D$5*4_Normalizacion!D370</f>
        <v>0.00020543122737585</v>
      </c>
      <c r="E372" s="21" t="n">
        <f aca="false">E$5*4_Normalizacion!E370</f>
        <v>0.00232117381706033</v>
      </c>
      <c r="F372" s="21" t="n">
        <f aca="false">F$5*4_Normalizacion!F370</f>
        <v>0.0020175467426038</v>
      </c>
      <c r="G372" s="21" t="n">
        <f aca="false">G$5*4_Normalizacion!G370</f>
        <v>0.000280339284607229</v>
      </c>
      <c r="H372" s="21" t="n">
        <f aca="false">H$5*4_Normalizacion!H370</f>
        <v>0.00339509178766152</v>
      </c>
      <c r="I372" s="21" t="n">
        <f aca="false">I$5*4_Normalizacion!I370</f>
        <v>0.0140543412710073</v>
      </c>
      <c r="J372" s="21" t="n">
        <f aca="false">J$5*4_Normalizacion!J370</f>
        <v>0.000255567041403239</v>
      </c>
      <c r="K372" s="21" t="n">
        <f aca="false">K$5*4_Normalizacion!K370</f>
        <v>3.90133374367575E-005</v>
      </c>
      <c r="L372" s="21" t="n">
        <f aca="false">L$5*4_Normalizacion!L370</f>
        <v>0.00147056147502688</v>
      </c>
      <c r="M372" s="21" t="n">
        <f aca="false">M$5*4_Normalizacion!M370</f>
        <v>0.000512059064357937</v>
      </c>
      <c r="N372" s="21" t="n">
        <f aca="false">N$5*4_Normalizacion!N370</f>
        <v>0.0075989803262918</v>
      </c>
      <c r="O372" s="21" t="n">
        <f aca="false">O$5*4_Normalizacion!O370</f>
        <v>0.00200587264654955</v>
      </c>
      <c r="P372" s="21" t="n">
        <f aca="false">P$5*4_Normalizacion!P370</f>
        <v>0.00135841219936972</v>
      </c>
      <c r="Q372" s="21" t="n">
        <f aca="false">Q$5*4_Normalizacion!Q370</f>
        <v>0.00285926571798898</v>
      </c>
    </row>
    <row r="373" customFormat="false" ht="15" hidden="false" customHeight="false" outlineLevel="0" collapsed="false">
      <c r="A373" s="15" t="n">
        <f aca="false">4_Normalizacion!A371</f>
        <v>366</v>
      </c>
      <c r="B373" s="16" t="n">
        <f aca="false">4_Normalizacion!B371</f>
        <v>36.827</v>
      </c>
      <c r="C373" s="21" t="n">
        <f aca="false">C$5*4_Normalizacion!C371</f>
        <v>0.00211491006743141</v>
      </c>
      <c r="D373" s="21" t="n">
        <f aca="false">D$5*4_Normalizacion!D371</f>
        <v>0.00020543122737585</v>
      </c>
      <c r="E373" s="21" t="n">
        <f aca="false">E$5*4_Normalizacion!E371</f>
        <v>0.00232117381706033</v>
      </c>
      <c r="F373" s="21" t="n">
        <f aca="false">F$5*4_Normalizacion!F371</f>
        <v>0.00161403739408304</v>
      </c>
      <c r="G373" s="21" t="n">
        <f aca="false">G$5*4_Normalizacion!G371</f>
        <v>0.000280339284607229</v>
      </c>
      <c r="H373" s="21" t="n">
        <f aca="false">H$5*4_Normalizacion!H371</f>
        <v>0.00339509178766152</v>
      </c>
      <c r="I373" s="21" t="n">
        <f aca="false">I$5*4_Normalizacion!I371</f>
        <v>0.0140543412710073</v>
      </c>
      <c r="J373" s="21" t="n">
        <f aca="false">J$5*4_Normalizacion!J371</f>
        <v>0.000255567041403239</v>
      </c>
      <c r="K373" s="21" t="n">
        <f aca="false">K$5*4_Normalizacion!K371</f>
        <v>3.90133374367575E-005</v>
      </c>
      <c r="L373" s="21" t="n">
        <f aca="false">L$5*4_Normalizacion!L371</f>
        <v>0.00160894366633524</v>
      </c>
      <c r="M373" s="21" t="n">
        <f aca="false">M$5*4_Normalizacion!M371</f>
        <v>0.000504209833036597</v>
      </c>
      <c r="N373" s="21" t="n">
        <f aca="false">N$5*4_Normalizacion!N371</f>
        <v>0.0075989803262918</v>
      </c>
      <c r="O373" s="21" t="n">
        <f aca="false">O$5*4_Normalizacion!O371</f>
        <v>0.00200587264654955</v>
      </c>
      <c r="P373" s="21" t="n">
        <f aca="false">P$5*4_Normalizacion!P371</f>
        <v>0.00135841219936972</v>
      </c>
      <c r="Q373" s="21" t="n">
        <f aca="false">Q$5*4_Normalizacion!Q371</f>
        <v>0.0142963285899449</v>
      </c>
    </row>
    <row r="374" customFormat="false" ht="15" hidden="false" customHeight="false" outlineLevel="0" collapsed="false">
      <c r="A374" s="15" t="n">
        <f aca="false">4_Normalizacion!A372</f>
        <v>367</v>
      </c>
      <c r="B374" s="16" t="n">
        <f aca="false">4_Normalizacion!B372</f>
        <v>36.928</v>
      </c>
      <c r="C374" s="21" t="n">
        <f aca="false">C$5*4_Normalizacion!C372</f>
        <v>0.00211491006743141</v>
      </c>
      <c r="D374" s="21" t="n">
        <f aca="false">D$5*4_Normalizacion!D372</f>
        <v>0.00020543122737585</v>
      </c>
      <c r="E374" s="21" t="n">
        <f aca="false">E$5*4_Normalizacion!E372</f>
        <v>0.00232117381706033</v>
      </c>
      <c r="F374" s="21" t="n">
        <f aca="false">F$5*4_Normalizacion!F372</f>
        <v>0.0020175467426038</v>
      </c>
      <c r="G374" s="21" t="n">
        <f aca="false">G$5*4_Normalizacion!G372</f>
        <v>0.000280339284607229</v>
      </c>
      <c r="H374" s="21" t="n">
        <f aca="false">H$5*4_Normalizacion!H372</f>
        <v>0.00339509178766152</v>
      </c>
      <c r="I374" s="21" t="n">
        <f aca="false">I$5*4_Normalizacion!I372</f>
        <v>0.0140543412710073</v>
      </c>
      <c r="J374" s="21" t="n">
        <f aca="false">J$5*4_Normalizacion!J372</f>
        <v>0.000255567041403239</v>
      </c>
      <c r="K374" s="21" t="n">
        <f aca="false">K$5*4_Normalizacion!K372</f>
        <v>3.90133374367575E-005</v>
      </c>
      <c r="L374" s="21" t="n">
        <f aca="false">L$5*4_Normalizacion!L372</f>
        <v>0.00166309321945591</v>
      </c>
      <c r="M374" s="21" t="n">
        <f aca="false">M$5*4_Normalizacion!M372</f>
        <v>0.000500285217375927</v>
      </c>
      <c r="N374" s="21" t="n">
        <f aca="false">N$5*4_Normalizacion!N372</f>
        <v>0.0075989803262918</v>
      </c>
      <c r="O374" s="21" t="n">
        <f aca="false">O$5*4_Normalizacion!O372</f>
        <v>0.00200587264654955</v>
      </c>
      <c r="P374" s="21" t="n">
        <f aca="false">P$5*4_Normalizacion!P372</f>
        <v>0.00135841219936972</v>
      </c>
      <c r="Q374" s="21" t="n">
        <f aca="false">Q$5*4_Normalizacion!Q372</f>
        <v>0.0142963285899449</v>
      </c>
    </row>
    <row r="375" customFormat="false" ht="15" hidden="false" customHeight="false" outlineLevel="0" collapsed="false">
      <c r="A375" s="15" t="n">
        <f aca="false">4_Normalizacion!A373</f>
        <v>368</v>
      </c>
      <c r="B375" s="16" t="n">
        <f aca="false">4_Normalizacion!B373</f>
        <v>37.028</v>
      </c>
      <c r="C375" s="21" t="n">
        <f aca="false">C$5*4_Normalizacion!C373</f>
        <v>0.00211491006743141</v>
      </c>
      <c r="D375" s="21" t="n">
        <f aca="false">D$5*4_Normalizacion!D373</f>
        <v>0.00020543122737585</v>
      </c>
      <c r="E375" s="21" t="n">
        <f aca="false">E$5*4_Normalizacion!E373</f>
        <v>0.00232117381706033</v>
      </c>
      <c r="F375" s="21" t="n">
        <f aca="false">F$5*4_Normalizacion!F373</f>
        <v>0.00161403739408304</v>
      </c>
      <c r="G375" s="21" t="n">
        <f aca="false">G$5*4_Normalizacion!G373</f>
        <v>0.000280339284607229</v>
      </c>
      <c r="H375" s="21" t="n">
        <f aca="false">H$5*4_Normalizacion!H373</f>
        <v>0.00339509178766152</v>
      </c>
      <c r="I375" s="21" t="n">
        <f aca="false">I$5*4_Normalizacion!I373</f>
        <v>0.0140543412710073</v>
      </c>
      <c r="J375" s="21" t="n">
        <f aca="false">J$5*4_Normalizacion!J373</f>
        <v>0.000255567041403239</v>
      </c>
      <c r="K375" s="21" t="n">
        <f aca="false">K$5*4_Normalizacion!K373</f>
        <v>3.90133374367575E-005</v>
      </c>
      <c r="L375" s="21" t="n">
        <f aca="false">L$5*4_Normalizacion!L373</f>
        <v>0.0018315584958313</v>
      </c>
      <c r="M375" s="21" t="n">
        <f aca="false">M$5*4_Normalizacion!M373</f>
        <v>0.000513918092828781</v>
      </c>
      <c r="N375" s="21" t="n">
        <f aca="false">N$5*4_Normalizacion!N373</f>
        <v>0.0075989803262918</v>
      </c>
      <c r="O375" s="21" t="n">
        <f aca="false">O$5*4_Normalizacion!O373</f>
        <v>0.00200587264654955</v>
      </c>
      <c r="P375" s="21" t="n">
        <f aca="false">P$5*4_Normalizacion!P373</f>
        <v>0.00135841219936972</v>
      </c>
      <c r="Q375" s="21" t="n">
        <f aca="false">Q$5*4_Normalizacion!Q373</f>
        <v>0.0142963285899449</v>
      </c>
    </row>
    <row r="376" customFormat="false" ht="15" hidden="false" customHeight="false" outlineLevel="0" collapsed="false">
      <c r="A376" s="15" t="n">
        <f aca="false">4_Normalizacion!A374</f>
        <v>369</v>
      </c>
      <c r="B376" s="16" t="n">
        <f aca="false">4_Normalizacion!B374</f>
        <v>37.128</v>
      </c>
      <c r="C376" s="21" t="n">
        <f aca="false">C$5*4_Normalizacion!C374</f>
        <v>0.00211491006743141</v>
      </c>
      <c r="D376" s="21" t="n">
        <f aca="false">D$5*4_Normalizacion!D374</f>
        <v>0.00020543122737585</v>
      </c>
      <c r="E376" s="21" t="n">
        <f aca="false">E$5*4_Normalizacion!E374</f>
        <v>0.00232117381706033</v>
      </c>
      <c r="F376" s="21" t="n">
        <f aca="false">F$5*4_Normalizacion!F374</f>
        <v>0.00121052804556228</v>
      </c>
      <c r="G376" s="21" t="n">
        <f aca="false">G$5*4_Normalizacion!G374</f>
        <v>0.000280339284607229</v>
      </c>
      <c r="H376" s="21" t="n">
        <f aca="false">H$5*4_Normalizacion!H374</f>
        <v>0.00339509178766152</v>
      </c>
      <c r="I376" s="21" t="n">
        <f aca="false">I$5*4_Normalizacion!I374</f>
        <v>0.0140543412710073</v>
      </c>
      <c r="J376" s="21" t="n">
        <f aca="false">J$5*4_Normalizacion!J374</f>
        <v>0.000255567041403239</v>
      </c>
      <c r="K376" s="21" t="n">
        <f aca="false">K$5*4_Normalizacion!K374</f>
        <v>3.90133374367575E-005</v>
      </c>
      <c r="L376" s="21" t="n">
        <f aca="false">L$5*4_Normalizacion!L374</f>
        <v>0.00186264435040057</v>
      </c>
      <c r="M376" s="21" t="n">
        <f aca="false">M$5*4_Normalizacion!M374</f>
        <v>0.000452776712009922</v>
      </c>
      <c r="N376" s="21" t="n">
        <f aca="false">N$5*4_Normalizacion!N374</f>
        <v>0.0075989803262918</v>
      </c>
      <c r="O376" s="21" t="n">
        <f aca="false">O$5*4_Normalizacion!O374</f>
        <v>0.00200587264654955</v>
      </c>
      <c r="P376" s="21" t="n">
        <f aca="false">P$5*4_Normalizacion!P374</f>
        <v>0.00135841219936972</v>
      </c>
      <c r="Q376" s="21" t="n">
        <f aca="false">Q$5*4_Normalizacion!Q374</f>
        <v>0.0142963285899449</v>
      </c>
    </row>
    <row r="377" customFormat="false" ht="15" hidden="false" customHeight="false" outlineLevel="0" collapsed="false">
      <c r="A377" s="15" t="n">
        <f aca="false">4_Normalizacion!A375</f>
        <v>370</v>
      </c>
      <c r="B377" s="16" t="n">
        <f aca="false">4_Normalizacion!B375</f>
        <v>37.229</v>
      </c>
      <c r="C377" s="21" t="n">
        <f aca="false">C$5*4_Normalizacion!C375</f>
        <v>0.00211491006743141</v>
      </c>
      <c r="D377" s="21" t="n">
        <f aca="false">D$5*4_Normalizacion!D375</f>
        <v>0.00020543122737585</v>
      </c>
      <c r="E377" s="21" t="n">
        <f aca="false">E$5*4_Normalizacion!E375</f>
        <v>0.00232117381706033</v>
      </c>
      <c r="F377" s="21" t="n">
        <f aca="false">F$5*4_Normalizacion!F375</f>
        <v>0.00161403739408304</v>
      </c>
      <c r="G377" s="21" t="n">
        <f aca="false">G$5*4_Normalizacion!G375</f>
        <v>0.000280339284607229</v>
      </c>
      <c r="H377" s="21" t="n">
        <f aca="false">H$5*4_Normalizacion!H375</f>
        <v>0.00339509178766152</v>
      </c>
      <c r="I377" s="21" t="n">
        <f aca="false">I$5*4_Normalizacion!I375</f>
        <v>0.0140543412710073</v>
      </c>
      <c r="J377" s="21" t="n">
        <f aca="false">J$5*4_Normalizacion!J375</f>
        <v>0.000255567041403239</v>
      </c>
      <c r="K377" s="21" t="n">
        <f aca="false">K$5*4_Normalizacion!K375</f>
        <v>3.90133374367575E-005</v>
      </c>
      <c r="L377" s="21" t="n">
        <f aca="false">L$5*4_Normalizacion!L375</f>
        <v>0.00188320112519638</v>
      </c>
      <c r="M377" s="21" t="n">
        <f aca="false">M$5*4_Normalizacion!M375</f>
        <v>0.000519082060803346</v>
      </c>
      <c r="N377" s="21" t="n">
        <f aca="false">N$5*4_Normalizacion!N375</f>
        <v>0.0075989803262918</v>
      </c>
      <c r="O377" s="21" t="n">
        <f aca="false">O$5*4_Normalizacion!O375</f>
        <v>0.00200587264654955</v>
      </c>
      <c r="P377" s="21" t="n">
        <f aca="false">P$5*4_Normalizacion!P375</f>
        <v>0.00135841219936972</v>
      </c>
      <c r="Q377" s="21" t="n">
        <f aca="false">Q$5*4_Normalizacion!Q375</f>
        <v>0.0142963285899449</v>
      </c>
    </row>
    <row r="378" customFormat="false" ht="15" hidden="false" customHeight="false" outlineLevel="0" collapsed="false">
      <c r="A378" s="15" t="n">
        <f aca="false">4_Normalizacion!A376</f>
        <v>371</v>
      </c>
      <c r="B378" s="16" t="n">
        <f aca="false">4_Normalizacion!B376</f>
        <v>37.329</v>
      </c>
      <c r="C378" s="21" t="n">
        <f aca="false">C$5*4_Normalizacion!C376</f>
        <v>0.00211491006743141</v>
      </c>
      <c r="D378" s="21" t="n">
        <f aca="false">D$5*4_Normalizacion!D376</f>
        <v>0.00020543122737585</v>
      </c>
      <c r="E378" s="21" t="n">
        <f aca="false">E$5*4_Normalizacion!E376</f>
        <v>0.00232117381706033</v>
      </c>
      <c r="F378" s="21" t="n">
        <f aca="false">F$5*4_Normalizacion!F376</f>
        <v>0.00121052804556228</v>
      </c>
      <c r="G378" s="21" t="n">
        <f aca="false">G$5*4_Normalizacion!G376</f>
        <v>0.000280339284607229</v>
      </c>
      <c r="H378" s="21" t="n">
        <f aca="false">H$5*4_Normalizacion!H376</f>
        <v>0.00339509178766152</v>
      </c>
      <c r="I378" s="21" t="n">
        <f aca="false">I$5*4_Normalizacion!I376</f>
        <v>0.0140543412710073</v>
      </c>
      <c r="J378" s="21" t="n">
        <f aca="false">J$5*4_Normalizacion!J376</f>
        <v>0.000255567041403239</v>
      </c>
      <c r="K378" s="21" t="n">
        <f aca="false">K$5*4_Normalizacion!K376</f>
        <v>3.90133374367575E-005</v>
      </c>
      <c r="L378" s="21" t="n">
        <f aca="false">L$5*4_Normalizacion!L376</f>
        <v>0.0018315584958313</v>
      </c>
      <c r="M378" s="21" t="n">
        <f aca="false">M$5*4_Normalizacion!M376</f>
        <v>0.000571341416705951</v>
      </c>
      <c r="N378" s="21" t="n">
        <f aca="false">N$5*4_Normalizacion!N376</f>
        <v>0.0075989803262918</v>
      </c>
      <c r="O378" s="21" t="n">
        <f aca="false">O$5*4_Normalizacion!O376</f>
        <v>0.00200587264654955</v>
      </c>
      <c r="P378" s="21" t="n">
        <f aca="false">P$5*4_Normalizacion!P376</f>
        <v>0.00135841219936972</v>
      </c>
      <c r="Q378" s="21" t="n">
        <f aca="false">Q$5*4_Normalizacion!Q376</f>
        <v>0.0142963285899449</v>
      </c>
    </row>
    <row r="379" customFormat="false" ht="15" hidden="false" customHeight="false" outlineLevel="0" collapsed="false">
      <c r="A379" s="15" t="n">
        <f aca="false">4_Normalizacion!A377</f>
        <v>372</v>
      </c>
      <c r="B379" s="16" t="n">
        <f aca="false">4_Normalizacion!B377</f>
        <v>37.43</v>
      </c>
      <c r="C379" s="21" t="n">
        <f aca="false">C$5*4_Normalizacion!C377</f>
        <v>0.00211491006743141</v>
      </c>
      <c r="D379" s="21" t="n">
        <f aca="false">D$5*4_Normalizacion!D377</f>
        <v>0.00020543122737585</v>
      </c>
      <c r="E379" s="21" t="n">
        <f aca="false">E$5*4_Normalizacion!E377</f>
        <v>0.00232117381706033</v>
      </c>
      <c r="F379" s="21" t="n">
        <f aca="false">F$5*4_Normalizacion!F377</f>
        <v>0.00040350934852076</v>
      </c>
      <c r="G379" s="21" t="n">
        <f aca="false">G$5*4_Normalizacion!G377</f>
        <v>0.000280339284607229</v>
      </c>
      <c r="H379" s="21" t="n">
        <f aca="false">H$5*4_Normalizacion!H377</f>
        <v>0.00339509178766152</v>
      </c>
      <c r="I379" s="21" t="n">
        <f aca="false">I$5*4_Normalizacion!I377</f>
        <v>0.0140543412710073</v>
      </c>
      <c r="J379" s="21" t="n">
        <f aca="false">J$5*4_Normalizacion!J377</f>
        <v>0.000255567041403239</v>
      </c>
      <c r="K379" s="21" t="n">
        <f aca="false">K$5*4_Normalizacion!K377</f>
        <v>3.90133374367575E-005</v>
      </c>
      <c r="L379" s="21" t="n">
        <f aca="false">L$5*4_Normalizacion!L377</f>
        <v>0.00157083842525033</v>
      </c>
      <c r="M379" s="21" t="n">
        <f aca="false">M$5*4_Normalizacion!M377</f>
        <v>0.00061368595409739</v>
      </c>
      <c r="N379" s="21" t="n">
        <f aca="false">N$5*4_Normalizacion!N377</f>
        <v>0.0075989803262918</v>
      </c>
      <c r="O379" s="21" t="n">
        <f aca="false">O$5*4_Normalizacion!O377</f>
        <v>0.00200587264654955</v>
      </c>
      <c r="P379" s="21" t="n">
        <f aca="false">P$5*4_Normalizacion!P377</f>
        <v>0.00135841219936972</v>
      </c>
      <c r="Q379" s="21" t="n">
        <f aca="false">Q$5*4_Normalizacion!Q377</f>
        <v>0.0142963285899449</v>
      </c>
    </row>
    <row r="380" customFormat="false" ht="15" hidden="false" customHeight="false" outlineLevel="0" collapsed="false">
      <c r="A380" s="15" t="n">
        <f aca="false">4_Normalizacion!A378</f>
        <v>373</v>
      </c>
      <c r="B380" s="16" t="n">
        <f aca="false">4_Normalizacion!B378</f>
        <v>37.53</v>
      </c>
      <c r="C380" s="21" t="n">
        <f aca="false">C$5*4_Normalizacion!C378</f>
        <v>0.00211491006743141</v>
      </c>
      <c r="D380" s="21" t="n">
        <f aca="false">D$5*4_Normalizacion!D378</f>
        <v>0.00016434498190068</v>
      </c>
      <c r="E380" s="21" t="n">
        <f aca="false">E$5*4_Normalizacion!E378</f>
        <v>0.00232117381706033</v>
      </c>
      <c r="F380" s="21" t="n">
        <f aca="false">F$5*4_Normalizacion!F378</f>
        <v>0.00121052804556228</v>
      </c>
      <c r="G380" s="21" t="n">
        <f aca="false">G$5*4_Normalizacion!G378</f>
        <v>0.000280339284607229</v>
      </c>
      <c r="H380" s="21" t="n">
        <f aca="false">H$5*4_Normalizacion!H378</f>
        <v>0.00339509178766152</v>
      </c>
      <c r="I380" s="21" t="n">
        <f aca="false">I$5*4_Normalizacion!I378</f>
        <v>0.00843260476260438</v>
      </c>
      <c r="J380" s="21" t="n">
        <f aca="false">J$5*4_Normalizacion!J378</f>
        <v>0.000255567041403239</v>
      </c>
      <c r="K380" s="21" t="n">
        <f aca="false">K$5*4_Normalizacion!K378</f>
        <v>3.90133374367575E-005</v>
      </c>
      <c r="L380" s="21" t="n">
        <f aca="false">L$5*4_Normalizacion!L378</f>
        <v>0.00136476929254115</v>
      </c>
      <c r="M380" s="21" t="n">
        <f aca="false">M$5*4_Normalizacion!M378</f>
        <v>0.000604184253024189</v>
      </c>
      <c r="N380" s="21" t="n">
        <f aca="false">N$5*4_Normalizacion!N378</f>
        <v>0.0075989803262918</v>
      </c>
      <c r="O380" s="21" t="n">
        <f aca="false">O$5*4_Normalizacion!O378</f>
        <v>0.00200587264654955</v>
      </c>
      <c r="P380" s="21" t="n">
        <f aca="false">P$5*4_Normalizacion!P378</f>
        <v>0.00135841219936972</v>
      </c>
      <c r="Q380" s="21" t="n">
        <f aca="false">Q$5*4_Normalizacion!Q378</f>
        <v>0.0142963285899449</v>
      </c>
    </row>
    <row r="381" customFormat="false" ht="15" hidden="false" customHeight="false" outlineLevel="0" collapsed="false">
      <c r="A381" s="15" t="n">
        <f aca="false">4_Normalizacion!A379</f>
        <v>374</v>
      </c>
      <c r="B381" s="16" t="n">
        <f aca="false">4_Normalizacion!B379</f>
        <v>37.63</v>
      </c>
      <c r="C381" s="21" t="n">
        <f aca="false">C$5*4_Normalizacion!C379</f>
        <v>0.00211491006743141</v>
      </c>
      <c r="D381" s="21" t="n">
        <f aca="false">D$5*4_Normalizacion!D379</f>
        <v>0.00016434498190068</v>
      </c>
      <c r="E381" s="21" t="n">
        <f aca="false">E$5*4_Normalizacion!E379</f>
        <v>0.00185693905364827</v>
      </c>
      <c r="F381" s="21" t="n">
        <f aca="false">F$5*4_Normalizacion!F379</f>
        <v>0.0020175467426038</v>
      </c>
      <c r="G381" s="21" t="n">
        <f aca="false">G$5*4_Normalizacion!G379</f>
        <v>0.000280339284607229</v>
      </c>
      <c r="H381" s="21" t="n">
        <f aca="false">H$5*4_Normalizacion!H379</f>
        <v>0.00339509178766152</v>
      </c>
      <c r="I381" s="21" t="n">
        <f aca="false">I$5*4_Normalizacion!I379</f>
        <v>0.00562173650840292</v>
      </c>
      <c r="J381" s="21" t="n">
        <f aca="false">J$5*4_Normalizacion!J379</f>
        <v>0.000255567041403239</v>
      </c>
      <c r="K381" s="21" t="n">
        <f aca="false">K$5*4_Normalizacion!K379</f>
        <v>3.90133374367575E-005</v>
      </c>
      <c r="L381" s="21" t="n">
        <f aca="false">L$5*4_Normalizacion!L379</f>
        <v>0.0010639384418708</v>
      </c>
      <c r="M381" s="21" t="n">
        <f aca="false">M$5*4_Normalizacion!M379</f>
        <v>0.00069300450218672</v>
      </c>
      <c r="N381" s="21" t="n">
        <f aca="false">N$5*4_Normalizacion!N379</f>
        <v>0.0075989803262918</v>
      </c>
      <c r="O381" s="21" t="n">
        <f aca="false">O$5*4_Normalizacion!O379</f>
        <v>0.00200587264654955</v>
      </c>
      <c r="P381" s="21" t="n">
        <f aca="false">P$5*4_Normalizacion!P379</f>
        <v>0.00135841219936972</v>
      </c>
      <c r="Q381" s="21" t="n">
        <f aca="false">Q$5*4_Normalizacion!Q379</f>
        <v>0.00285926571798898</v>
      </c>
    </row>
    <row r="382" customFormat="false" ht="15" hidden="false" customHeight="false" outlineLevel="0" collapsed="false">
      <c r="A382" s="15" t="n">
        <f aca="false">4_Normalizacion!A380</f>
        <v>375</v>
      </c>
      <c r="B382" s="16" t="n">
        <f aca="false">4_Normalizacion!B380</f>
        <v>37.731</v>
      </c>
      <c r="C382" s="21" t="n">
        <f aca="false">C$5*4_Normalizacion!C380</f>
        <v>0.00211491006743141</v>
      </c>
      <c r="D382" s="21" t="n">
        <f aca="false">D$5*4_Normalizacion!D380</f>
        <v>0.00016434498190068</v>
      </c>
      <c r="E382" s="21" t="n">
        <f aca="false">E$5*4_Normalizacion!E380</f>
        <v>0.00185693905364827</v>
      </c>
      <c r="F382" s="21" t="n">
        <f aca="false">F$5*4_Normalizacion!F380</f>
        <v>0.0020175467426038</v>
      </c>
      <c r="G382" s="21" t="n">
        <f aca="false">G$5*4_Normalizacion!G380</f>
        <v>0.000280339284607229</v>
      </c>
      <c r="H382" s="21" t="n">
        <f aca="false">H$5*4_Normalizacion!H380</f>
        <v>0.00339509178766152</v>
      </c>
      <c r="I382" s="21" t="n">
        <f aca="false">I$5*4_Normalizacion!I380</f>
        <v>0.00281086825420146</v>
      </c>
      <c r="J382" s="21" t="n">
        <f aca="false">J$5*4_Normalizacion!J380</f>
        <v>0.000255567041403239</v>
      </c>
      <c r="K382" s="21" t="n">
        <f aca="false">K$5*4_Normalizacion!K380</f>
        <v>3.90133374367575E-005</v>
      </c>
      <c r="L382" s="21" t="n">
        <f aca="false">L$5*4_Normalizacion!L380</f>
        <v>0.000751074357173635</v>
      </c>
      <c r="M382" s="21" t="n">
        <f aca="false">M$5*4_Normalizacion!M380</f>
        <v>0.000648181260167489</v>
      </c>
      <c r="N382" s="21" t="n">
        <f aca="false">N$5*4_Normalizacion!N380</f>
        <v>0.0075989803262918</v>
      </c>
      <c r="O382" s="21" t="n">
        <f aca="false">O$5*4_Normalizacion!O380</f>
        <v>0.00200587264654955</v>
      </c>
      <c r="P382" s="21" t="n">
        <f aca="false">P$5*4_Normalizacion!P380</f>
        <v>0.00135841219936972</v>
      </c>
      <c r="Q382" s="21" t="n">
        <f aca="false">Q$5*4_Normalizacion!Q380</f>
        <v>0.00285926571798898</v>
      </c>
    </row>
    <row r="383" customFormat="false" ht="15" hidden="false" customHeight="false" outlineLevel="0" collapsed="false">
      <c r="A383" s="15" t="n">
        <f aca="false">4_Normalizacion!A381</f>
        <v>376</v>
      </c>
      <c r="B383" s="16" t="n">
        <f aca="false">4_Normalizacion!B381</f>
        <v>37.831</v>
      </c>
      <c r="C383" s="21" t="n">
        <f aca="false">C$5*4_Normalizacion!C381</f>
        <v>0.00211491006743141</v>
      </c>
      <c r="D383" s="21" t="n">
        <f aca="false">D$5*4_Normalizacion!D381</f>
        <v>0.00016434498190068</v>
      </c>
      <c r="E383" s="21" t="n">
        <f aca="false">E$5*4_Normalizacion!E381</f>
        <v>0.00185693905364827</v>
      </c>
      <c r="F383" s="21" t="n">
        <f aca="false">F$5*4_Normalizacion!F381</f>
        <v>0.0020175467426038</v>
      </c>
      <c r="G383" s="21" t="n">
        <f aca="false">G$5*4_Normalizacion!G381</f>
        <v>0.000280339284607229</v>
      </c>
      <c r="H383" s="21" t="n">
        <f aca="false">H$5*4_Normalizacion!H381</f>
        <v>0.00339509178766152</v>
      </c>
      <c r="I383" s="21" t="n">
        <f aca="false">I$5*4_Normalizacion!I381</f>
        <v>0.00281086825420146</v>
      </c>
      <c r="J383" s="21" t="n">
        <f aca="false">J$5*4_Normalizacion!J381</f>
        <v>0.000255567041403239</v>
      </c>
      <c r="K383" s="21" t="n">
        <f aca="false">K$5*4_Normalizacion!K381</f>
        <v>3.90133374367575E-005</v>
      </c>
      <c r="L383" s="21" t="n">
        <f aca="false">L$5*4_Normalizacion!L381</f>
        <v>0.00065731540871471</v>
      </c>
      <c r="M383" s="21" t="n">
        <f aca="false">M$5*4_Normalizacion!M381</f>
        <v>0.000791739569860416</v>
      </c>
      <c r="N383" s="21" t="n">
        <f aca="false">N$5*4_Normalizacion!N381</f>
        <v>0.0075989803262918</v>
      </c>
      <c r="O383" s="21" t="n">
        <f aca="false">O$5*4_Normalizacion!O381</f>
        <v>0.00200587264654955</v>
      </c>
      <c r="P383" s="21" t="n">
        <f aca="false">P$5*4_Normalizacion!P381</f>
        <v>0.00135841219936972</v>
      </c>
      <c r="Q383" s="21" t="n">
        <f aca="false">Q$5*4_Normalizacion!Q381</f>
        <v>0.00285926571798898</v>
      </c>
    </row>
    <row r="384" customFormat="false" ht="15" hidden="false" customHeight="false" outlineLevel="0" collapsed="false">
      <c r="A384" s="15" t="n">
        <f aca="false">4_Normalizacion!A382</f>
        <v>377</v>
      </c>
      <c r="B384" s="16" t="n">
        <f aca="false">4_Normalizacion!B382</f>
        <v>37.931</v>
      </c>
      <c r="C384" s="21" t="n">
        <f aca="false">C$5*4_Normalizacion!C382</f>
        <v>0.00211491006743141</v>
      </c>
      <c r="D384" s="21" t="n">
        <f aca="false">D$5*4_Normalizacion!D382</f>
        <v>0.00016434498190068</v>
      </c>
      <c r="E384" s="21" t="n">
        <f aca="false">E$5*4_Normalizacion!E382</f>
        <v>0.00185693905364827</v>
      </c>
      <c r="F384" s="21" t="n">
        <f aca="false">F$5*4_Normalizacion!F382</f>
        <v>0.0020175467426038</v>
      </c>
      <c r="G384" s="21" t="n">
        <f aca="false">G$5*4_Normalizacion!G382</f>
        <v>0.000280339284607229</v>
      </c>
      <c r="H384" s="21" t="n">
        <f aca="false">H$5*4_Normalizacion!H382</f>
        <v>0.00339509178766152</v>
      </c>
      <c r="I384" s="21" t="n">
        <f aca="false">I$5*4_Normalizacion!I382</f>
        <v>0.00562173650840292</v>
      </c>
      <c r="J384" s="21" t="n">
        <f aca="false">J$5*4_Normalizacion!J382</f>
        <v>0.000255567041403239</v>
      </c>
      <c r="K384" s="21" t="n">
        <f aca="false">K$5*4_Normalizacion!K382</f>
        <v>3.90133374367575E-005</v>
      </c>
      <c r="L384" s="21" t="n">
        <f aca="false">L$5*4_Normalizacion!L382</f>
        <v>0.000916029940291209</v>
      </c>
      <c r="M384" s="21" t="n">
        <f aca="false">M$5*4_Normalizacion!M382</f>
        <v>0.000718824342059548</v>
      </c>
      <c r="N384" s="21" t="n">
        <f aca="false">N$5*4_Normalizacion!N382</f>
        <v>0.00607918426103344</v>
      </c>
      <c r="O384" s="21" t="n">
        <f aca="false">O$5*4_Normalizacion!O382</f>
        <v>0.00200587264654955</v>
      </c>
      <c r="P384" s="21" t="n">
        <f aca="false">P$5*4_Normalizacion!P382</f>
        <v>0.00135841219936972</v>
      </c>
      <c r="Q384" s="21" t="n">
        <f aca="false">Q$5*4_Normalizacion!Q382</f>
        <v>0.0142963285899449</v>
      </c>
    </row>
    <row r="385" customFormat="false" ht="15" hidden="false" customHeight="false" outlineLevel="0" collapsed="false">
      <c r="A385" s="15" t="n">
        <f aca="false">4_Normalizacion!A383</f>
        <v>378</v>
      </c>
      <c r="B385" s="16" t="n">
        <f aca="false">4_Normalizacion!B383</f>
        <v>38.031</v>
      </c>
      <c r="C385" s="21" t="n">
        <f aca="false">C$5*4_Normalizacion!C383</f>
        <v>0.00211491006743141</v>
      </c>
      <c r="D385" s="21" t="n">
        <f aca="false">D$5*4_Normalizacion!D383</f>
        <v>0.00016434498190068</v>
      </c>
      <c r="E385" s="21" t="n">
        <f aca="false">E$5*4_Normalizacion!E383</f>
        <v>0.00232117381706033</v>
      </c>
      <c r="F385" s="21" t="n">
        <f aca="false">F$5*4_Normalizacion!F383</f>
        <v>0.0020175467426038</v>
      </c>
      <c r="G385" s="21" t="n">
        <f aca="false">G$5*4_Normalizacion!G383</f>
        <v>0.000280339284607229</v>
      </c>
      <c r="H385" s="21" t="n">
        <f aca="false">H$5*4_Normalizacion!H383</f>
        <v>0.00339509178766152</v>
      </c>
      <c r="I385" s="21" t="n">
        <f aca="false">I$5*4_Normalizacion!I383</f>
        <v>0.0112434730168058</v>
      </c>
      <c r="J385" s="21" t="n">
        <f aca="false">J$5*4_Normalizacion!J383</f>
        <v>0.000255567041403239</v>
      </c>
      <c r="K385" s="21" t="n">
        <f aca="false">K$5*4_Normalizacion!K383</f>
        <v>3.90133374367575E-005</v>
      </c>
      <c r="L385" s="21" t="n">
        <f aca="false">L$5*4_Normalizacion!L383</f>
        <v>0.00106644536562638</v>
      </c>
      <c r="M385" s="21" t="n">
        <f aca="false">M$5*4_Normalizacion!M383</f>
        <v>0.0006254598010794</v>
      </c>
      <c r="N385" s="21" t="n">
        <f aca="false">N$5*4_Normalizacion!N383</f>
        <v>0.00607918426103344</v>
      </c>
      <c r="O385" s="21" t="n">
        <f aca="false">O$5*4_Normalizacion!O383</f>
        <v>0.00200587264654955</v>
      </c>
      <c r="P385" s="21" t="n">
        <f aca="false">P$5*4_Normalizacion!P383</f>
        <v>0.00135841219936972</v>
      </c>
      <c r="Q385" s="21" t="n">
        <f aca="false">Q$5*4_Normalizacion!Q383</f>
        <v>0.0142963285899449</v>
      </c>
    </row>
    <row r="386" customFormat="false" ht="15" hidden="false" customHeight="false" outlineLevel="0" collapsed="false">
      <c r="A386" s="15" t="n">
        <f aca="false">4_Normalizacion!A384</f>
        <v>379</v>
      </c>
      <c r="B386" s="16" t="n">
        <f aca="false">4_Normalizacion!B384</f>
        <v>38.131</v>
      </c>
      <c r="C386" s="21" t="n">
        <f aca="false">C$5*4_Normalizacion!C384</f>
        <v>0.00211491006743141</v>
      </c>
      <c r="D386" s="21" t="n">
        <f aca="false">D$5*4_Normalizacion!D384</f>
        <v>0.00016434498190068</v>
      </c>
      <c r="E386" s="21" t="n">
        <f aca="false">E$5*4_Normalizacion!E384</f>
        <v>0.00185693905364827</v>
      </c>
      <c r="F386" s="21" t="n">
        <f aca="false">F$5*4_Normalizacion!F384</f>
        <v>0.0020175467426038</v>
      </c>
      <c r="G386" s="21" t="n">
        <f aca="false">G$5*4_Normalizacion!G384</f>
        <v>0.000280339284607229</v>
      </c>
      <c r="H386" s="21" t="n">
        <f aca="false">H$5*4_Normalizacion!H384</f>
        <v>0.00339509178766152</v>
      </c>
      <c r="I386" s="21" t="n">
        <f aca="false">I$5*4_Normalizacion!I384</f>
        <v>0.0112434730168058</v>
      </c>
      <c r="J386" s="21" t="n">
        <f aca="false">J$5*4_Normalizacion!J384</f>
        <v>0.000255567041403239</v>
      </c>
      <c r="K386" s="21" t="n">
        <f aca="false">K$5*4_Normalizacion!K384</f>
        <v>3.90133374367575E-005</v>
      </c>
      <c r="L386" s="21" t="n">
        <f aca="false">L$5*4_Normalizacion!L384</f>
        <v>0.00102182212277695</v>
      </c>
      <c r="M386" s="21" t="n">
        <f aca="false">M$5*4_Normalizacion!M384</f>
        <v>0.000722955516439201</v>
      </c>
      <c r="N386" s="21" t="n">
        <f aca="false">N$5*4_Normalizacion!N384</f>
        <v>0.00607918426103344</v>
      </c>
      <c r="O386" s="21" t="n">
        <f aca="false">O$5*4_Normalizacion!O384</f>
        <v>0.00200587264654955</v>
      </c>
      <c r="P386" s="21" t="n">
        <f aca="false">P$5*4_Normalizacion!P384</f>
        <v>0.00135841219936972</v>
      </c>
      <c r="Q386" s="21" t="n">
        <f aca="false">Q$5*4_Normalizacion!Q384</f>
        <v>0.0142963285899449</v>
      </c>
    </row>
    <row r="387" customFormat="false" ht="15" hidden="false" customHeight="false" outlineLevel="0" collapsed="false">
      <c r="A387" s="15" t="n">
        <f aca="false">4_Normalizacion!A385</f>
        <v>380</v>
      </c>
      <c r="B387" s="16" t="n">
        <f aca="false">4_Normalizacion!B385</f>
        <v>38.23</v>
      </c>
      <c r="C387" s="21" t="n">
        <f aca="false">C$5*4_Normalizacion!C385</f>
        <v>0.00211491006743141</v>
      </c>
      <c r="D387" s="21" t="n">
        <f aca="false">D$5*4_Normalizacion!D385</f>
        <v>0.00016434498190068</v>
      </c>
      <c r="E387" s="21" t="n">
        <f aca="false">E$5*4_Normalizacion!E385</f>
        <v>0.00185693905364827</v>
      </c>
      <c r="F387" s="21" t="n">
        <f aca="false">F$5*4_Normalizacion!F385</f>
        <v>0.0020175467426038</v>
      </c>
      <c r="G387" s="21" t="n">
        <f aca="false">G$5*4_Normalizacion!G385</f>
        <v>0.000280339284607229</v>
      </c>
      <c r="H387" s="21" t="n">
        <f aca="false">H$5*4_Normalizacion!H385</f>
        <v>0.00339509178766152</v>
      </c>
      <c r="I387" s="21" t="n">
        <f aca="false">I$5*4_Normalizacion!I385</f>
        <v>0.0112434730168058</v>
      </c>
      <c r="J387" s="21" t="n">
        <f aca="false">J$5*4_Normalizacion!J385</f>
        <v>0.000255567041403239</v>
      </c>
      <c r="K387" s="21" t="n">
        <f aca="false">K$5*4_Normalizacion!K385</f>
        <v>3.90133374367575E-005</v>
      </c>
      <c r="L387" s="21" t="n">
        <f aca="false">L$5*4_Normalizacion!L385</f>
        <v>0.00105090243834175</v>
      </c>
      <c r="M387" s="21" t="n">
        <f aca="false">M$5*4_Normalizacion!M385</f>
        <v>0.000636200854466497</v>
      </c>
      <c r="N387" s="21" t="n">
        <f aca="false">N$5*4_Normalizacion!N385</f>
        <v>0.00607918426103344</v>
      </c>
      <c r="O387" s="21" t="n">
        <f aca="false">O$5*4_Normalizacion!O385</f>
        <v>0.00200587264654955</v>
      </c>
      <c r="P387" s="21" t="n">
        <f aca="false">P$5*4_Normalizacion!P385</f>
        <v>0.00135841219936972</v>
      </c>
      <c r="Q387" s="21" t="n">
        <f aca="false">Q$5*4_Normalizacion!Q385</f>
        <v>0.0142963285899449</v>
      </c>
    </row>
    <row r="388" customFormat="false" ht="15" hidden="false" customHeight="false" outlineLevel="0" collapsed="false">
      <c r="A388" s="15" t="n">
        <f aca="false">4_Normalizacion!A386</f>
        <v>381</v>
      </c>
      <c r="B388" s="16" t="n">
        <f aca="false">4_Normalizacion!B386</f>
        <v>38.329</v>
      </c>
      <c r="C388" s="21" t="n">
        <f aca="false">C$5*4_Normalizacion!C386</f>
        <v>0.00211491006743141</v>
      </c>
      <c r="D388" s="21" t="n">
        <f aca="false">D$5*4_Normalizacion!D386</f>
        <v>0.00016434498190068</v>
      </c>
      <c r="E388" s="21" t="n">
        <f aca="false">E$5*4_Normalizacion!E386</f>
        <v>0.00185693905364827</v>
      </c>
      <c r="F388" s="21" t="n">
        <f aca="false">F$5*4_Normalizacion!F386</f>
        <v>0.0020175467426038</v>
      </c>
      <c r="G388" s="21" t="n">
        <f aca="false">G$5*4_Normalizacion!G386</f>
        <v>0.000280339284607229</v>
      </c>
      <c r="H388" s="21" t="n">
        <f aca="false">H$5*4_Normalizacion!H386</f>
        <v>0.00339509178766152</v>
      </c>
      <c r="I388" s="21" t="n">
        <f aca="false">I$5*4_Normalizacion!I386</f>
        <v>0.0112434730168058</v>
      </c>
      <c r="J388" s="21" t="n">
        <f aca="false">J$5*4_Normalizacion!J386</f>
        <v>0.000255567041403239</v>
      </c>
      <c r="K388" s="21" t="n">
        <f aca="false">K$5*4_Normalizacion!K386</f>
        <v>3.90133374367575E-005</v>
      </c>
      <c r="L388" s="21" t="n">
        <f aca="false">L$5*4_Normalizacion!L386</f>
        <v>0.000731018967128946</v>
      </c>
      <c r="M388" s="21" t="n">
        <f aca="false">M$5*4_Normalizacion!M386</f>
        <v>0.000673587982602353</v>
      </c>
      <c r="N388" s="21" t="n">
        <f aca="false">N$5*4_Normalizacion!N386</f>
        <v>0.00607918426103344</v>
      </c>
      <c r="O388" s="21" t="n">
        <f aca="false">O$5*4_Normalizacion!O386</f>
        <v>0.00200587264654955</v>
      </c>
      <c r="P388" s="21" t="n">
        <f aca="false">P$5*4_Normalizacion!P386</f>
        <v>0.00135841219936972</v>
      </c>
      <c r="Q388" s="21" t="n">
        <f aca="false">Q$5*4_Normalizacion!Q386</f>
        <v>0.00285926571798898</v>
      </c>
    </row>
    <row r="389" customFormat="false" ht="15" hidden="false" customHeight="false" outlineLevel="0" collapsed="false">
      <c r="A389" s="15" t="n">
        <f aca="false">4_Normalizacion!A387</f>
        <v>382</v>
      </c>
      <c r="B389" s="16" t="n">
        <f aca="false">4_Normalizacion!B387</f>
        <v>38.428</v>
      </c>
      <c r="C389" s="21" t="n">
        <f aca="false">C$5*4_Normalizacion!C387</f>
        <v>0.00211491006743141</v>
      </c>
      <c r="D389" s="21" t="n">
        <f aca="false">D$5*4_Normalizacion!D387</f>
        <v>0.00016434498190068</v>
      </c>
      <c r="E389" s="21" t="n">
        <f aca="false">E$5*4_Normalizacion!E387</f>
        <v>0.00232117381706033</v>
      </c>
      <c r="F389" s="21" t="n">
        <f aca="false">F$5*4_Normalizacion!F387</f>
        <v>0.000807018697041519</v>
      </c>
      <c r="G389" s="21" t="n">
        <f aca="false">G$5*4_Normalizacion!G387</f>
        <v>0.000280339284607229</v>
      </c>
      <c r="H389" s="21" t="n">
        <f aca="false">H$5*4_Normalizacion!H387</f>
        <v>0.00339509178766152</v>
      </c>
      <c r="I389" s="21" t="n">
        <f aca="false">I$5*4_Normalizacion!I387</f>
        <v>0.0140543412710073</v>
      </c>
      <c r="J389" s="21" t="n">
        <f aca="false">J$5*4_Normalizacion!J387</f>
        <v>0.000255567041403239</v>
      </c>
      <c r="K389" s="21" t="n">
        <f aca="false">K$5*4_Normalizacion!K387</f>
        <v>3.90133374367575E-005</v>
      </c>
      <c r="L389" s="21" t="n">
        <f aca="false">L$5*4_Normalizacion!L387</f>
        <v>0.000759597897942629</v>
      </c>
      <c r="M389" s="21" t="n">
        <f aca="false">M$5*4_Normalizacion!M387</f>
        <v>0.000684329035989449</v>
      </c>
      <c r="N389" s="21" t="n">
        <f aca="false">N$5*4_Normalizacion!N387</f>
        <v>0.00607918426103344</v>
      </c>
      <c r="O389" s="21" t="n">
        <f aca="false">O$5*4_Normalizacion!O387</f>
        <v>0.00200587264654955</v>
      </c>
      <c r="P389" s="21" t="n">
        <f aca="false">P$5*4_Normalizacion!P387</f>
        <v>0.00135841219936972</v>
      </c>
      <c r="Q389" s="21" t="n">
        <f aca="false">Q$5*4_Normalizacion!Q387</f>
        <v>0.00285926571798898</v>
      </c>
    </row>
    <row r="390" customFormat="false" ht="15" hidden="false" customHeight="false" outlineLevel="0" collapsed="false">
      <c r="A390" s="15" t="n">
        <f aca="false">4_Normalizacion!A388</f>
        <v>383</v>
      </c>
      <c r="B390" s="16" t="n">
        <f aca="false">4_Normalizacion!B388</f>
        <v>38.528</v>
      </c>
      <c r="C390" s="21" t="n">
        <f aca="false">C$5*4_Normalizacion!C388</f>
        <v>0.00211491006743141</v>
      </c>
      <c r="D390" s="21" t="n">
        <f aca="false">D$5*4_Normalizacion!D388</f>
        <v>0.00016434498190068</v>
      </c>
      <c r="E390" s="21" t="n">
        <f aca="false">E$5*4_Normalizacion!E388</f>
        <v>0.00232117381706033</v>
      </c>
      <c r="F390" s="21" t="n">
        <f aca="false">F$5*4_Normalizacion!F388</f>
        <v>0.00121052804556228</v>
      </c>
      <c r="G390" s="21" t="n">
        <f aca="false">G$5*4_Normalizacion!G388</f>
        <v>0.000280339284607229</v>
      </c>
      <c r="H390" s="21" t="n">
        <f aca="false">H$5*4_Normalizacion!H388</f>
        <v>0.00339509178766152</v>
      </c>
      <c r="I390" s="21" t="n">
        <f aca="false">I$5*4_Normalizacion!I388</f>
        <v>0.0140543412710073</v>
      </c>
      <c r="J390" s="21" t="n">
        <f aca="false">J$5*4_Normalizacion!J388</f>
        <v>0.000255567041403239</v>
      </c>
      <c r="K390" s="21" t="n">
        <f aca="false">K$5*4_Normalizacion!K388</f>
        <v>3.90133374367575E-005</v>
      </c>
      <c r="L390" s="21" t="n">
        <f aca="false">L$5*4_Normalizacion!L388</f>
        <v>0.000929065943820258</v>
      </c>
      <c r="M390" s="21" t="n">
        <f aca="false">M$5*4_Normalizacion!M388</f>
        <v>0.000738653979081881</v>
      </c>
      <c r="N390" s="21" t="n">
        <f aca="false">N$5*4_Normalizacion!N388</f>
        <v>0.00607918426103344</v>
      </c>
      <c r="O390" s="21" t="n">
        <f aca="false">O$5*4_Normalizacion!O388</f>
        <v>0.00200587264654955</v>
      </c>
      <c r="P390" s="21" t="n">
        <f aca="false">P$5*4_Normalizacion!P388</f>
        <v>0.00135841219936972</v>
      </c>
      <c r="Q390" s="21" t="n">
        <f aca="false">Q$5*4_Normalizacion!Q388</f>
        <v>0.00285926571798898</v>
      </c>
    </row>
    <row r="391" customFormat="false" ht="15" hidden="false" customHeight="false" outlineLevel="0" collapsed="false">
      <c r="A391" s="15" t="n">
        <f aca="false">4_Normalizacion!A389</f>
        <v>384</v>
      </c>
      <c r="B391" s="16" t="n">
        <f aca="false">4_Normalizacion!B389</f>
        <v>38.627</v>
      </c>
      <c r="C391" s="21" t="n">
        <f aca="false">C$5*4_Normalizacion!C389</f>
        <v>0.00211491006743141</v>
      </c>
      <c r="D391" s="21" t="n">
        <f aca="false">D$5*4_Normalizacion!D389</f>
        <v>0.00016434498190068</v>
      </c>
      <c r="E391" s="21" t="n">
        <f aca="false">E$5*4_Normalizacion!E389</f>
        <v>0.00232117381706033</v>
      </c>
      <c r="F391" s="21" t="n">
        <f aca="false">F$5*4_Normalizacion!F389</f>
        <v>0.000807018697041519</v>
      </c>
      <c r="G391" s="21" t="n">
        <f aca="false">G$5*4_Normalizacion!G389</f>
        <v>0.000280339284607229</v>
      </c>
      <c r="H391" s="21" t="n">
        <f aca="false">H$5*4_Normalizacion!H389</f>
        <v>0.00339509178766152</v>
      </c>
      <c r="I391" s="21" t="n">
        <f aca="false">I$5*4_Normalizacion!I389</f>
        <v>0.0140543412710073</v>
      </c>
      <c r="J391" s="21" t="n">
        <f aca="false">J$5*4_Normalizacion!J389</f>
        <v>0.000255567041403239</v>
      </c>
      <c r="K391" s="21" t="n">
        <f aca="false">K$5*4_Normalizacion!K389</f>
        <v>3.90133374367575E-005</v>
      </c>
      <c r="L391" s="21" t="n">
        <f aca="false">L$5*4_Normalizacion!L389</f>
        <v>0.00102884150929259</v>
      </c>
      <c r="M391" s="21" t="n">
        <f aca="false">M$5*4_Normalizacion!M389</f>
        <v>0.000742165477304585</v>
      </c>
      <c r="N391" s="21" t="n">
        <f aca="false">N$5*4_Normalizacion!N389</f>
        <v>0.00607918426103344</v>
      </c>
      <c r="O391" s="21" t="n">
        <f aca="false">O$5*4_Normalizacion!O389</f>
        <v>0.00200587264654955</v>
      </c>
      <c r="P391" s="21" t="n">
        <f aca="false">P$5*4_Normalizacion!P389</f>
        <v>0.00135841219936972</v>
      </c>
      <c r="Q391" s="21" t="n">
        <f aca="false">Q$5*4_Normalizacion!Q389</f>
        <v>0.00285926571798898</v>
      </c>
    </row>
    <row r="392" customFormat="false" ht="15" hidden="false" customHeight="false" outlineLevel="0" collapsed="false">
      <c r="A392" s="15" t="n">
        <f aca="false">4_Normalizacion!A390</f>
        <v>385</v>
      </c>
      <c r="B392" s="16" t="n">
        <f aca="false">4_Normalizacion!B390</f>
        <v>38.726</v>
      </c>
      <c r="C392" s="21" t="n">
        <f aca="false">C$5*4_Normalizacion!C390</f>
        <v>0.00211491006743141</v>
      </c>
      <c r="D392" s="21" t="n">
        <f aca="false">D$5*4_Normalizacion!D390</f>
        <v>0.00016434498190068</v>
      </c>
      <c r="E392" s="21" t="n">
        <f aca="false">E$5*4_Normalizacion!E390</f>
        <v>0.00232117381706033</v>
      </c>
      <c r="F392" s="21" t="n">
        <f aca="false">F$5*4_Normalizacion!F390</f>
        <v>0.000807018697041519</v>
      </c>
      <c r="G392" s="21" t="n">
        <f aca="false">G$5*4_Normalizacion!G390</f>
        <v>0.000280339284607229</v>
      </c>
      <c r="H392" s="21" t="n">
        <f aca="false">H$5*4_Normalizacion!H390</f>
        <v>0.00339509178766152</v>
      </c>
      <c r="I392" s="21" t="n">
        <f aca="false">I$5*4_Normalizacion!I390</f>
        <v>0.0140543412710073</v>
      </c>
      <c r="J392" s="21" t="n">
        <f aca="false">J$5*4_Normalizacion!J390</f>
        <v>0.000255567041403239</v>
      </c>
      <c r="K392" s="21" t="n">
        <f aca="false">K$5*4_Normalizacion!K390</f>
        <v>3.90133374367575E-005</v>
      </c>
      <c r="L392" s="21" t="n">
        <f aca="false">L$5*4_Normalizacion!L390</f>
        <v>0.0009942459614655</v>
      </c>
      <c r="M392" s="21" t="n">
        <f aca="false">M$5*4_Normalizacion!M390</f>
        <v>0.000656650167645777</v>
      </c>
      <c r="N392" s="21" t="n">
        <f aca="false">N$5*4_Normalizacion!N390</f>
        <v>0.00607918426103344</v>
      </c>
      <c r="O392" s="21" t="n">
        <f aca="false">O$5*4_Normalizacion!O390</f>
        <v>0.00200587264654955</v>
      </c>
      <c r="P392" s="21" t="n">
        <f aca="false">P$5*4_Normalizacion!P390</f>
        <v>0.00135841219936972</v>
      </c>
      <c r="Q392" s="21" t="n">
        <f aca="false">Q$5*4_Normalizacion!Q390</f>
        <v>0.00285926571798898</v>
      </c>
    </row>
    <row r="393" customFormat="false" ht="15" hidden="false" customHeight="false" outlineLevel="0" collapsed="false">
      <c r="A393" s="15" t="n">
        <f aca="false">4_Normalizacion!A391</f>
        <v>386</v>
      </c>
      <c r="B393" s="16" t="n">
        <f aca="false">4_Normalizacion!B391</f>
        <v>38.827</v>
      </c>
      <c r="C393" s="21" t="n">
        <f aca="false">C$5*4_Normalizacion!C391</f>
        <v>0.00211491006743141</v>
      </c>
      <c r="D393" s="21" t="n">
        <f aca="false">D$5*4_Normalizacion!D391</f>
        <v>0.00016434498190068</v>
      </c>
      <c r="E393" s="21" t="n">
        <f aca="false">E$5*4_Normalizacion!E391</f>
        <v>0.00232117381706033</v>
      </c>
      <c r="F393" s="21" t="n">
        <f aca="false">F$5*4_Normalizacion!F391</f>
        <v>0.000807018697041519</v>
      </c>
      <c r="G393" s="21" t="n">
        <f aca="false">G$5*4_Normalizacion!G391</f>
        <v>0.000280339284607229</v>
      </c>
      <c r="H393" s="21" t="n">
        <f aca="false">H$5*4_Normalizacion!H391</f>
        <v>0.00339509178766152</v>
      </c>
      <c r="I393" s="21" t="n">
        <f aca="false">I$5*4_Normalizacion!I391</f>
        <v>0.0140543412710073</v>
      </c>
      <c r="J393" s="21" t="n">
        <f aca="false">J$5*4_Normalizacion!J391</f>
        <v>0.000255567041403239</v>
      </c>
      <c r="K393" s="21" t="n">
        <f aca="false">K$5*4_Normalizacion!K391</f>
        <v>3.90133374367575E-005</v>
      </c>
      <c r="L393" s="21" t="n">
        <f aca="false">L$5*4_Normalizacion!L391</f>
        <v>0.000859373463414961</v>
      </c>
      <c r="M393" s="21" t="n">
        <f aca="false">M$5*4_Normalizacion!M391</f>
        <v>0.000648181260167489</v>
      </c>
      <c r="N393" s="21" t="n">
        <f aca="false">N$5*4_Normalizacion!N391</f>
        <v>0.00607918426103344</v>
      </c>
      <c r="O393" s="21" t="n">
        <f aca="false">O$5*4_Normalizacion!O391</f>
        <v>0.00200587264654955</v>
      </c>
      <c r="P393" s="21" t="n">
        <f aca="false">P$5*4_Normalizacion!P391</f>
        <v>0.00135841219936972</v>
      </c>
      <c r="Q393" s="21" t="n">
        <f aca="false">Q$5*4_Normalizacion!Q391</f>
        <v>0.00285926571798898</v>
      </c>
    </row>
    <row r="394" customFormat="false" ht="15" hidden="false" customHeight="false" outlineLevel="0" collapsed="false">
      <c r="A394" s="15" t="n">
        <f aca="false">4_Normalizacion!A392</f>
        <v>387</v>
      </c>
      <c r="B394" s="16" t="n">
        <f aca="false">4_Normalizacion!B392</f>
        <v>38.927</v>
      </c>
      <c r="C394" s="21" t="n">
        <f aca="false">C$5*4_Normalizacion!C392</f>
        <v>0.00211491006743141</v>
      </c>
      <c r="D394" s="21" t="n">
        <f aca="false">D$5*4_Normalizacion!D392</f>
        <v>0.00016434498190068</v>
      </c>
      <c r="E394" s="21" t="n">
        <f aca="false">E$5*4_Normalizacion!E392</f>
        <v>0.00232117381706033</v>
      </c>
      <c r="F394" s="21" t="n">
        <f aca="false">F$5*4_Normalizacion!F392</f>
        <v>0.00040350934852076</v>
      </c>
      <c r="G394" s="21" t="n">
        <f aca="false">G$5*4_Normalizacion!G392</f>
        <v>0.000280339284607229</v>
      </c>
      <c r="H394" s="21" t="n">
        <f aca="false">H$5*4_Normalizacion!H392</f>
        <v>0.00339509178766152</v>
      </c>
      <c r="I394" s="21" t="n">
        <f aca="false">I$5*4_Normalizacion!I392</f>
        <v>0.0140543412710073</v>
      </c>
      <c r="J394" s="21" t="n">
        <f aca="false">J$5*4_Normalizacion!J392</f>
        <v>0.000255567041403239</v>
      </c>
      <c r="K394" s="21" t="n">
        <f aca="false">K$5*4_Normalizacion!K392</f>
        <v>3.90133374367575E-005</v>
      </c>
      <c r="L394" s="21" t="n">
        <f aca="false">L$5*4_Normalizacion!L392</f>
        <v>0.00100527642599008</v>
      </c>
      <c r="M394" s="21" t="n">
        <f aca="false">M$5*4_Normalizacion!M392</f>
        <v>0.000713660374084983</v>
      </c>
      <c r="N394" s="21" t="n">
        <f aca="false">N$5*4_Normalizacion!N392</f>
        <v>0.00607918426103344</v>
      </c>
      <c r="O394" s="21" t="n">
        <f aca="false">O$5*4_Normalizacion!O392</f>
        <v>0.00200587264654955</v>
      </c>
      <c r="P394" s="21" t="n">
        <f aca="false">P$5*4_Normalizacion!P392</f>
        <v>0.00135841219936972</v>
      </c>
      <c r="Q394" s="21" t="n">
        <f aca="false">Q$5*4_Normalizacion!Q392</f>
        <v>0.00285926571798898</v>
      </c>
    </row>
    <row r="395" customFormat="false" ht="15" hidden="false" customHeight="false" outlineLevel="0" collapsed="false">
      <c r="A395" s="15" t="n">
        <f aca="false">4_Normalizacion!A393</f>
        <v>388</v>
      </c>
      <c r="B395" s="16" t="n">
        <f aca="false">4_Normalizacion!B393</f>
        <v>39.027</v>
      </c>
      <c r="C395" s="21" t="n">
        <f aca="false">C$5*4_Normalizacion!C393</f>
        <v>0.00211491006743141</v>
      </c>
      <c r="D395" s="21" t="n">
        <f aca="false">D$5*4_Normalizacion!D393</f>
        <v>0.00016434498190068</v>
      </c>
      <c r="E395" s="21" t="n">
        <f aca="false">E$5*4_Normalizacion!E393</f>
        <v>0.00232117381706033</v>
      </c>
      <c r="F395" s="21" t="n">
        <f aca="false">F$5*4_Normalizacion!F393</f>
        <v>0.000807018697041519</v>
      </c>
      <c r="G395" s="21" t="n">
        <f aca="false">G$5*4_Normalizacion!G393</f>
        <v>0.000280339284607229</v>
      </c>
      <c r="H395" s="21" t="n">
        <f aca="false">H$5*4_Normalizacion!H393</f>
        <v>0.00339509178766152</v>
      </c>
      <c r="I395" s="21" t="n">
        <f aca="false">I$5*4_Normalizacion!I393</f>
        <v>0.0140543412710073</v>
      </c>
      <c r="J395" s="21" t="n">
        <f aca="false">J$5*4_Normalizacion!J393</f>
        <v>0.000255567041403239</v>
      </c>
      <c r="K395" s="21" t="n">
        <f aca="false">K$5*4_Normalizacion!K393</f>
        <v>3.90133374367575E-005</v>
      </c>
      <c r="L395" s="21" t="n">
        <f aca="false">L$5*4_Normalizacion!L393</f>
        <v>0.00109251737268448</v>
      </c>
      <c r="M395" s="21" t="n">
        <f aca="false">M$5*4_Normalizacion!M393</f>
        <v>0.000727499808256819</v>
      </c>
      <c r="N395" s="21" t="n">
        <f aca="false">N$5*4_Normalizacion!N393</f>
        <v>0.00607918426103344</v>
      </c>
      <c r="O395" s="21" t="n">
        <f aca="false">O$5*4_Normalizacion!O393</f>
        <v>0.00200587264654955</v>
      </c>
      <c r="P395" s="21" t="n">
        <f aca="false">P$5*4_Normalizacion!P393</f>
        <v>0.00135841219936972</v>
      </c>
      <c r="Q395" s="21" t="n">
        <f aca="false">Q$5*4_Normalizacion!Q393</f>
        <v>0.00285926571798898</v>
      </c>
    </row>
    <row r="396" customFormat="false" ht="15" hidden="false" customHeight="false" outlineLevel="0" collapsed="false">
      <c r="A396" s="15" t="n">
        <f aca="false">4_Normalizacion!A394</f>
        <v>389</v>
      </c>
      <c r="B396" s="16" t="n">
        <f aca="false">4_Normalizacion!B394</f>
        <v>39.127</v>
      </c>
      <c r="C396" s="21" t="n">
        <f aca="false">C$5*4_Normalizacion!C394</f>
        <v>0.00211491006743141</v>
      </c>
      <c r="D396" s="21" t="n">
        <f aca="false">D$5*4_Normalizacion!D394</f>
        <v>0.00016434498190068</v>
      </c>
      <c r="E396" s="21" t="n">
        <f aca="false">E$5*4_Normalizacion!E394</f>
        <v>0.00232117381706033</v>
      </c>
      <c r="F396" s="21" t="n">
        <f aca="false">F$5*4_Normalizacion!F394</f>
        <v>0.00040350934852076</v>
      </c>
      <c r="G396" s="21" t="n">
        <f aca="false">G$5*4_Normalizacion!G394</f>
        <v>0.000280339284607229</v>
      </c>
      <c r="H396" s="21" t="n">
        <f aca="false">H$5*4_Normalizacion!H394</f>
        <v>0.00339509178766152</v>
      </c>
      <c r="I396" s="21" t="n">
        <f aca="false">I$5*4_Normalizacion!I394</f>
        <v>0.0140543412710073</v>
      </c>
      <c r="J396" s="21" t="n">
        <f aca="false">J$5*4_Normalizacion!J394</f>
        <v>0.000255567041403239</v>
      </c>
      <c r="K396" s="21" t="n">
        <f aca="false">K$5*4_Normalizacion!K394</f>
        <v>3.90133374367575E-005</v>
      </c>
      <c r="L396" s="21" t="n">
        <f aca="false">L$5*4_Normalizacion!L394</f>
        <v>0.00114014892404062</v>
      </c>
      <c r="M396" s="21" t="n">
        <f aca="false">M$5*4_Normalizacion!M394</f>
        <v>0.000662640370496273</v>
      </c>
      <c r="N396" s="21" t="n">
        <f aca="false">N$5*4_Normalizacion!N394</f>
        <v>0.00607918426103344</v>
      </c>
      <c r="O396" s="21" t="n">
        <f aca="false">O$5*4_Normalizacion!O394</f>
        <v>0.00200587264654955</v>
      </c>
      <c r="P396" s="21" t="n">
        <f aca="false">P$5*4_Normalizacion!P394</f>
        <v>0.00135841219936972</v>
      </c>
      <c r="Q396" s="21" t="n">
        <f aca="false">Q$5*4_Normalizacion!Q394</f>
        <v>0.00285926571798898</v>
      </c>
    </row>
    <row r="397" customFormat="false" ht="15" hidden="false" customHeight="false" outlineLevel="0" collapsed="false">
      <c r="A397" s="15" t="n">
        <f aca="false">4_Normalizacion!A395</f>
        <v>390</v>
      </c>
      <c r="B397" s="16" t="n">
        <f aca="false">4_Normalizacion!B395</f>
        <v>39.227</v>
      </c>
      <c r="C397" s="21" t="n">
        <f aca="false">C$5*4_Normalizacion!C395</f>
        <v>0.00211491006743141</v>
      </c>
      <c r="D397" s="21" t="n">
        <f aca="false">D$5*4_Normalizacion!D395</f>
        <v>0.00016434498190068</v>
      </c>
      <c r="E397" s="21" t="n">
        <f aca="false">E$5*4_Normalizacion!E395</f>
        <v>0.00232117381706033</v>
      </c>
      <c r="F397" s="21" t="n">
        <f aca="false">F$5*4_Normalizacion!F395</f>
        <v>0.000807018697041519</v>
      </c>
      <c r="G397" s="21" t="n">
        <f aca="false">G$5*4_Normalizacion!G395</f>
        <v>0.000280339284607229</v>
      </c>
      <c r="H397" s="21" t="n">
        <f aca="false">H$5*4_Normalizacion!H395</f>
        <v>0.00339509178766152</v>
      </c>
      <c r="I397" s="21" t="n">
        <f aca="false">I$5*4_Normalizacion!I395</f>
        <v>0.0140543412710073</v>
      </c>
      <c r="J397" s="21" t="n">
        <f aca="false">J$5*4_Normalizacion!J395</f>
        <v>0.000255567041403239</v>
      </c>
      <c r="K397" s="21" t="n">
        <f aca="false">K$5*4_Normalizacion!K395</f>
        <v>3.90133374367575E-005</v>
      </c>
      <c r="L397" s="21" t="n">
        <f aca="false">L$5*4_Normalizacion!L395</f>
        <v>0.00117825416512553</v>
      </c>
      <c r="M397" s="21" t="n">
        <f aca="false">M$5*4_Normalizacion!M395</f>
        <v>0.000791326452422451</v>
      </c>
      <c r="N397" s="21" t="n">
        <f aca="false">N$5*4_Normalizacion!N395</f>
        <v>0.00607918426103344</v>
      </c>
      <c r="O397" s="21" t="n">
        <f aca="false">O$5*4_Normalizacion!O395</f>
        <v>0.00200587264654955</v>
      </c>
      <c r="P397" s="21" t="n">
        <f aca="false">P$5*4_Normalizacion!P395</f>
        <v>0.00135841219936972</v>
      </c>
      <c r="Q397" s="21" t="n">
        <f aca="false">Q$5*4_Normalizacion!Q395</f>
        <v>0.00285926571798898</v>
      </c>
    </row>
    <row r="398" customFormat="false" ht="15" hidden="false" customHeight="false" outlineLevel="0" collapsed="false">
      <c r="A398" s="15" t="n">
        <f aca="false">4_Normalizacion!A396</f>
        <v>391</v>
      </c>
      <c r="B398" s="16" t="n">
        <f aca="false">4_Normalizacion!B396</f>
        <v>39.327</v>
      </c>
      <c r="C398" s="21" t="n">
        <f aca="false">C$5*4_Normalizacion!C396</f>
        <v>0.00211491006743141</v>
      </c>
      <c r="D398" s="21" t="n">
        <f aca="false">D$5*4_Normalizacion!D396</f>
        <v>0.00016434498190068</v>
      </c>
      <c r="E398" s="21" t="n">
        <f aca="false">E$5*4_Normalizacion!E396</f>
        <v>0.00232117381706033</v>
      </c>
      <c r="F398" s="21" t="n">
        <f aca="false">F$5*4_Normalizacion!F396</f>
        <v>0.000807018697041519</v>
      </c>
      <c r="G398" s="21" t="n">
        <f aca="false">G$5*4_Normalizacion!G396</f>
        <v>0.000280339284607229</v>
      </c>
      <c r="H398" s="21" t="n">
        <f aca="false">H$5*4_Normalizacion!H396</f>
        <v>0.00339509178766152</v>
      </c>
      <c r="I398" s="21" t="n">
        <f aca="false">I$5*4_Normalizacion!I396</f>
        <v>0.0140543412710073</v>
      </c>
      <c r="J398" s="21" t="n">
        <f aca="false">J$5*4_Normalizacion!J396</f>
        <v>0.000255567041403239</v>
      </c>
      <c r="K398" s="21" t="n">
        <f aca="false">K$5*4_Normalizacion!K396</f>
        <v>3.90133374367575E-005</v>
      </c>
      <c r="L398" s="21" t="n">
        <f aca="false">L$5*4_Normalizacion!L396</f>
        <v>0.00106293567236856</v>
      </c>
      <c r="M398" s="21" t="n">
        <f aca="false">M$5*4_Normalizacion!M396</f>
        <v>0.00074960159118796</v>
      </c>
      <c r="N398" s="21" t="n">
        <f aca="false">N$5*4_Normalizacion!N396</f>
        <v>0.00607918426103344</v>
      </c>
      <c r="O398" s="21" t="n">
        <f aca="false">O$5*4_Normalizacion!O396</f>
        <v>0.00200587264654955</v>
      </c>
      <c r="P398" s="21" t="n">
        <f aca="false">P$5*4_Normalizacion!P396</f>
        <v>0.00135841219936972</v>
      </c>
      <c r="Q398" s="21" t="n">
        <f aca="false">Q$5*4_Normalizacion!Q396</f>
        <v>0.00285926571798898</v>
      </c>
    </row>
    <row r="399" customFormat="false" ht="15" hidden="false" customHeight="false" outlineLevel="0" collapsed="false">
      <c r="A399" s="15" t="n">
        <f aca="false">4_Normalizacion!A397</f>
        <v>392</v>
      </c>
      <c r="B399" s="16" t="n">
        <f aca="false">4_Normalizacion!B397</f>
        <v>39.427</v>
      </c>
      <c r="C399" s="21" t="n">
        <f aca="false">C$5*4_Normalizacion!C397</f>
        <v>0.00211491006743141</v>
      </c>
      <c r="D399" s="21" t="n">
        <f aca="false">D$5*4_Normalizacion!D397</f>
        <v>0.00016434498190068</v>
      </c>
      <c r="E399" s="21" t="n">
        <f aca="false">E$5*4_Normalizacion!E397</f>
        <v>0.00232117381706033</v>
      </c>
      <c r="F399" s="21" t="n">
        <f aca="false">F$5*4_Normalizacion!F397</f>
        <v>0.000807018697041519</v>
      </c>
      <c r="G399" s="21" t="n">
        <f aca="false">G$5*4_Normalizacion!G397</f>
        <v>0.000280339284607229</v>
      </c>
      <c r="H399" s="21" t="n">
        <f aca="false">H$5*4_Normalizacion!H397</f>
        <v>0.00339509178766152</v>
      </c>
      <c r="I399" s="21" t="n">
        <f aca="false">I$5*4_Normalizacion!I397</f>
        <v>0.0140543412710073</v>
      </c>
      <c r="J399" s="21" t="n">
        <f aca="false">J$5*4_Normalizacion!J397</f>
        <v>0.000255567041403239</v>
      </c>
      <c r="K399" s="21" t="n">
        <f aca="false">K$5*4_Normalizacion!K397</f>
        <v>3.90133374367575E-005</v>
      </c>
      <c r="L399" s="21" t="n">
        <f aca="false">L$5*4_Normalizacion!L397</f>
        <v>0.0012093400196948</v>
      </c>
      <c r="M399" s="21" t="n">
        <f aca="false">M$5*4_Normalizacion!M397</f>
        <v>0.000708083288672452</v>
      </c>
      <c r="N399" s="21" t="n">
        <f aca="false">N$5*4_Normalizacion!N397</f>
        <v>0.00607918426103344</v>
      </c>
      <c r="O399" s="21" t="n">
        <f aca="false">O$5*4_Normalizacion!O397</f>
        <v>0.00200587264654955</v>
      </c>
      <c r="P399" s="21" t="n">
        <f aca="false">P$5*4_Normalizacion!P397</f>
        <v>0.00135841219936972</v>
      </c>
      <c r="Q399" s="21" t="n">
        <f aca="false">Q$5*4_Normalizacion!Q397</f>
        <v>0.00285926571798898</v>
      </c>
    </row>
    <row r="400" customFormat="false" ht="15" hidden="false" customHeight="false" outlineLevel="0" collapsed="false">
      <c r="A400" s="15" t="n">
        <f aca="false">4_Normalizacion!A398</f>
        <v>393</v>
      </c>
      <c r="B400" s="16" t="n">
        <f aca="false">4_Normalizacion!B398</f>
        <v>39.526</v>
      </c>
      <c r="C400" s="21" t="n">
        <f aca="false">C$5*4_Normalizacion!C398</f>
        <v>0.00211491006743141</v>
      </c>
      <c r="D400" s="21" t="n">
        <f aca="false">D$5*4_Normalizacion!D398</f>
        <v>0.00016434498190068</v>
      </c>
      <c r="E400" s="21" t="n">
        <f aca="false">E$5*4_Normalizacion!E398</f>
        <v>0.00232117381706033</v>
      </c>
      <c r="F400" s="21" t="n">
        <f aca="false">F$5*4_Normalizacion!F398</f>
        <v>0.00040350934852076</v>
      </c>
      <c r="G400" s="21" t="n">
        <f aca="false">G$5*4_Normalizacion!G398</f>
        <v>0.000280339284607229</v>
      </c>
      <c r="H400" s="21" t="n">
        <f aca="false">H$5*4_Normalizacion!H398</f>
        <v>0.00339509178766152</v>
      </c>
      <c r="I400" s="21" t="n">
        <f aca="false">I$5*4_Normalizacion!I398</f>
        <v>0.0140543412710073</v>
      </c>
      <c r="J400" s="21" t="n">
        <f aca="false">J$5*4_Normalizacion!J398</f>
        <v>0.000255567041403239</v>
      </c>
      <c r="K400" s="21" t="n">
        <f aca="false">K$5*4_Normalizacion!K398</f>
        <v>3.90133374367575E-005</v>
      </c>
      <c r="L400" s="21" t="n">
        <f aca="false">L$5*4_Normalizacion!L398</f>
        <v>0.00123089956399284</v>
      </c>
      <c r="M400" s="21" t="n">
        <f aca="false">M$5*4_Normalizacion!M398</f>
        <v>0.000728326043132749</v>
      </c>
      <c r="N400" s="21" t="n">
        <f aca="false">N$5*4_Normalizacion!N398</f>
        <v>0.00607918426103344</v>
      </c>
      <c r="O400" s="21" t="n">
        <f aca="false">O$5*4_Normalizacion!O398</f>
        <v>0.00200587264654955</v>
      </c>
      <c r="P400" s="21" t="n">
        <f aca="false">P$5*4_Normalizacion!P398</f>
        <v>0.00135841219936972</v>
      </c>
      <c r="Q400" s="21" t="n">
        <f aca="false">Q$5*4_Normalizacion!Q398</f>
        <v>0.00285926571798898</v>
      </c>
    </row>
    <row r="401" customFormat="false" ht="15" hidden="false" customHeight="false" outlineLevel="0" collapsed="false">
      <c r="A401" s="15" t="n">
        <f aca="false">4_Normalizacion!A399</f>
        <v>394</v>
      </c>
      <c r="B401" s="16" t="n">
        <f aca="false">4_Normalizacion!B399</f>
        <v>39.626</v>
      </c>
      <c r="C401" s="21" t="n">
        <f aca="false">C$5*4_Normalizacion!C399</f>
        <v>0.00211491006743141</v>
      </c>
      <c r="D401" s="21" t="n">
        <f aca="false">D$5*4_Normalizacion!D399</f>
        <v>0.00016434498190068</v>
      </c>
      <c r="E401" s="21" t="n">
        <f aca="false">E$5*4_Normalizacion!E399</f>
        <v>0.00232117381706033</v>
      </c>
      <c r="F401" s="21" t="n">
        <f aca="false">F$5*4_Normalizacion!F399</f>
        <v>0.000807018697041519</v>
      </c>
      <c r="G401" s="21" t="n">
        <f aca="false">G$5*4_Normalizacion!G399</f>
        <v>0.000280339284607229</v>
      </c>
      <c r="H401" s="21" t="n">
        <f aca="false">H$5*4_Normalizacion!H399</f>
        <v>0.00339509178766152</v>
      </c>
      <c r="I401" s="21" t="n">
        <f aca="false">I$5*4_Normalizacion!I399</f>
        <v>0.0112434730168058</v>
      </c>
      <c r="J401" s="21" t="n">
        <f aca="false">J$5*4_Normalizacion!J399</f>
        <v>0.000255567041403239</v>
      </c>
      <c r="K401" s="21" t="n">
        <f aca="false">K$5*4_Normalizacion!K399</f>
        <v>3.90133374367575E-005</v>
      </c>
      <c r="L401" s="21" t="n">
        <f aca="false">L$5*4_Normalizacion!L399</f>
        <v>0.00135875267552774</v>
      </c>
      <c r="M401" s="21" t="n">
        <f aca="false">M$5*4_Normalizacion!M399</f>
        <v>0.000685774947022328</v>
      </c>
      <c r="N401" s="21" t="n">
        <f aca="false">N$5*4_Normalizacion!N399</f>
        <v>0.00607918426103344</v>
      </c>
      <c r="O401" s="21" t="n">
        <f aca="false">O$5*4_Normalizacion!O399</f>
        <v>0.00200587264654955</v>
      </c>
      <c r="P401" s="21" t="n">
        <f aca="false">P$5*4_Normalizacion!P399</f>
        <v>0.00135841219936972</v>
      </c>
      <c r="Q401" s="21" t="n">
        <f aca="false">Q$5*4_Normalizacion!Q399</f>
        <v>0.00285926571798898</v>
      </c>
    </row>
    <row r="402" customFormat="false" ht="15" hidden="false" customHeight="false" outlineLevel="0" collapsed="false">
      <c r="A402" s="15" t="n">
        <f aca="false">4_Normalizacion!A400</f>
        <v>395</v>
      </c>
      <c r="B402" s="16" t="n">
        <f aca="false">4_Normalizacion!B400</f>
        <v>39.725</v>
      </c>
      <c r="C402" s="21" t="n">
        <f aca="false">C$5*4_Normalizacion!C400</f>
        <v>0.00211491006743141</v>
      </c>
      <c r="D402" s="21" t="n">
        <f aca="false">D$5*4_Normalizacion!D400</f>
        <v>0.00016434498190068</v>
      </c>
      <c r="E402" s="21" t="n">
        <f aca="false">E$5*4_Normalizacion!E400</f>
        <v>0.00185693905364827</v>
      </c>
      <c r="F402" s="21" t="n">
        <f aca="false">F$5*4_Normalizacion!F400</f>
        <v>0.00121052804556228</v>
      </c>
      <c r="G402" s="21" t="n">
        <f aca="false">G$5*4_Normalizacion!G400</f>
        <v>0.000280339284607229</v>
      </c>
      <c r="H402" s="21" t="n">
        <f aca="false">H$5*4_Normalizacion!H400</f>
        <v>0.00339509178766152</v>
      </c>
      <c r="I402" s="21" t="n">
        <f aca="false">I$5*4_Normalizacion!I400</f>
        <v>0.0112434730168058</v>
      </c>
      <c r="J402" s="21" t="n">
        <f aca="false">J$5*4_Normalizacion!J400</f>
        <v>0.000255567041403239</v>
      </c>
      <c r="K402" s="21" t="n">
        <f aca="false">K$5*4_Normalizacion!K400</f>
        <v>3.90133374367575E-005</v>
      </c>
      <c r="L402" s="21" t="n">
        <f aca="false">L$5*4_Normalizacion!L400</f>
        <v>0.0013111211241716</v>
      </c>
      <c r="M402" s="21" t="n">
        <f aca="false">M$5*4_Normalizacion!M400</f>
        <v>0.000731630982636471</v>
      </c>
      <c r="N402" s="21" t="n">
        <f aca="false">N$5*4_Normalizacion!N400</f>
        <v>0.00607918426103344</v>
      </c>
      <c r="O402" s="21" t="n">
        <f aca="false">O$5*4_Normalizacion!O400</f>
        <v>0.00200587264654955</v>
      </c>
      <c r="P402" s="21" t="n">
        <f aca="false">P$5*4_Normalizacion!P400</f>
        <v>0.00135841219936972</v>
      </c>
      <c r="Q402" s="21" t="n">
        <f aca="false">Q$5*4_Normalizacion!Q400</f>
        <v>0.00285926571798898</v>
      </c>
    </row>
    <row r="403" customFormat="false" ht="15" hidden="false" customHeight="false" outlineLevel="0" collapsed="false">
      <c r="A403" s="15" t="n">
        <f aca="false">4_Normalizacion!A401</f>
        <v>396</v>
      </c>
      <c r="B403" s="16" t="n">
        <f aca="false">4_Normalizacion!B401</f>
        <v>39.824</v>
      </c>
      <c r="C403" s="21" t="n">
        <f aca="false">C$5*4_Normalizacion!C401</f>
        <v>0.00211491006743141</v>
      </c>
      <c r="D403" s="21" t="n">
        <f aca="false">D$5*4_Normalizacion!D401</f>
        <v>0.00016434498190068</v>
      </c>
      <c r="E403" s="21" t="n">
        <f aca="false">E$5*4_Normalizacion!E401</f>
        <v>0.00185693905364827</v>
      </c>
      <c r="F403" s="21" t="n">
        <f aca="false">F$5*4_Normalizacion!F401</f>
        <v>0.000807018697041519</v>
      </c>
      <c r="G403" s="21" t="n">
        <f aca="false">G$5*4_Normalizacion!G401</f>
        <v>0.000280339284607229</v>
      </c>
      <c r="H403" s="21" t="n">
        <f aca="false">H$5*4_Normalizacion!H401</f>
        <v>0.00339509178766152</v>
      </c>
      <c r="I403" s="21" t="n">
        <f aca="false">I$5*4_Normalizacion!I401</f>
        <v>0.0112434730168058</v>
      </c>
      <c r="J403" s="21" t="n">
        <f aca="false">J$5*4_Normalizacion!J401</f>
        <v>0.000255567041403239</v>
      </c>
      <c r="K403" s="21" t="n">
        <f aca="false">K$5*4_Normalizacion!K401</f>
        <v>3.90133374367575E-005</v>
      </c>
      <c r="L403" s="21" t="n">
        <f aca="false">L$5*4_Normalizacion!L401</f>
        <v>0.00130109342914925</v>
      </c>
      <c r="M403" s="21" t="n">
        <f aca="false">M$5*4_Normalizacion!M401</f>
        <v>0.000735142480859176</v>
      </c>
      <c r="N403" s="21" t="n">
        <f aca="false">N$5*4_Normalizacion!N401</f>
        <v>0.00607918426103344</v>
      </c>
      <c r="O403" s="21" t="n">
        <f aca="false">O$5*4_Normalizacion!O401</f>
        <v>0.00200587264654955</v>
      </c>
      <c r="P403" s="21" t="n">
        <f aca="false">P$5*4_Normalizacion!P401</f>
        <v>0.00135841219936972</v>
      </c>
      <c r="Q403" s="21" t="n">
        <f aca="false">Q$5*4_Normalizacion!Q401</f>
        <v>0.00285926571798898</v>
      </c>
    </row>
    <row r="404" customFormat="false" ht="15" hidden="false" customHeight="false" outlineLevel="0" collapsed="false">
      <c r="A404" s="15" t="n">
        <f aca="false">4_Normalizacion!A402</f>
        <v>397</v>
      </c>
      <c r="B404" s="16" t="n">
        <f aca="false">4_Normalizacion!B402</f>
        <v>39.924</v>
      </c>
      <c r="C404" s="21" t="n">
        <f aca="false">C$5*4_Normalizacion!C402</f>
        <v>0.00211491006743141</v>
      </c>
      <c r="D404" s="21" t="n">
        <f aca="false">D$5*4_Normalizacion!D402</f>
        <v>0.00016434498190068</v>
      </c>
      <c r="E404" s="21" t="n">
        <f aca="false">E$5*4_Normalizacion!E402</f>
        <v>0.00185693905364827</v>
      </c>
      <c r="F404" s="21" t="n">
        <f aca="false">F$5*4_Normalizacion!F402</f>
        <v>0.000807018697041519</v>
      </c>
      <c r="G404" s="21" t="n">
        <f aca="false">G$5*4_Normalizacion!G402</f>
        <v>0.000280339284607229</v>
      </c>
      <c r="H404" s="21" t="n">
        <f aca="false">H$5*4_Normalizacion!H402</f>
        <v>0.00339509178766152</v>
      </c>
      <c r="I404" s="21" t="n">
        <f aca="false">I$5*4_Normalizacion!I402</f>
        <v>0.0112434730168058</v>
      </c>
      <c r="J404" s="21" t="n">
        <f aca="false">J$5*4_Normalizacion!J402</f>
        <v>0.000255567041403239</v>
      </c>
      <c r="K404" s="21" t="n">
        <f aca="false">K$5*4_Normalizacion!K402</f>
        <v>3.90133374367575E-005</v>
      </c>
      <c r="L404" s="21" t="n">
        <f aca="false">L$5*4_Normalizacion!L402</f>
        <v>0.00104187751282164</v>
      </c>
      <c r="M404" s="21" t="n">
        <f aca="false">M$5*4_Normalizacion!M402</f>
        <v>0.000750014708625925</v>
      </c>
      <c r="N404" s="21" t="n">
        <f aca="false">N$5*4_Normalizacion!N402</f>
        <v>0.00607918426103344</v>
      </c>
      <c r="O404" s="21" t="n">
        <f aca="false">O$5*4_Normalizacion!O402</f>
        <v>0.00200587264654955</v>
      </c>
      <c r="P404" s="21" t="n">
        <f aca="false">P$5*4_Normalizacion!P402</f>
        <v>0.00135841219936972</v>
      </c>
      <c r="Q404" s="21" t="n">
        <f aca="false">Q$5*4_Normalizacion!Q402</f>
        <v>0.00285926571798898</v>
      </c>
    </row>
    <row r="405" customFormat="false" ht="15" hidden="false" customHeight="false" outlineLevel="0" collapsed="false">
      <c r="A405" s="15" t="n">
        <f aca="false">4_Normalizacion!A403</f>
        <v>398</v>
      </c>
      <c r="B405" s="16" t="n">
        <f aca="false">4_Normalizacion!B403</f>
        <v>40.023</v>
      </c>
      <c r="C405" s="21" t="n">
        <f aca="false">C$5*4_Normalizacion!C403</f>
        <v>0.00211491006743141</v>
      </c>
      <c r="D405" s="21" t="n">
        <f aca="false">D$5*4_Normalizacion!D403</f>
        <v>0.00016434498190068</v>
      </c>
      <c r="E405" s="21" t="n">
        <f aca="false">E$5*4_Normalizacion!E403</f>
        <v>0.00232117381706033</v>
      </c>
      <c r="F405" s="21" t="n">
        <f aca="false">F$5*4_Normalizacion!F403</f>
        <v>0.000807018697041519</v>
      </c>
      <c r="G405" s="21" t="n">
        <f aca="false">G$5*4_Normalizacion!G403</f>
        <v>0.000280339284607229</v>
      </c>
      <c r="H405" s="21" t="n">
        <f aca="false">H$5*4_Normalizacion!H403</f>
        <v>0.00339509178766152</v>
      </c>
      <c r="I405" s="21" t="n">
        <f aca="false">I$5*4_Normalizacion!I403</f>
        <v>0.0112434730168058</v>
      </c>
      <c r="J405" s="21" t="n">
        <f aca="false">J$5*4_Normalizacion!J403</f>
        <v>0.000255567041403239</v>
      </c>
      <c r="K405" s="21" t="n">
        <f aca="false">K$5*4_Normalizacion!K403</f>
        <v>3.90133374367575E-005</v>
      </c>
      <c r="L405" s="21" t="n">
        <f aca="false">L$5*4_Normalizacion!L403</f>
        <v>0.000975193340923045</v>
      </c>
      <c r="M405" s="21" t="n">
        <f aca="false">M$5*4_Normalizacion!M403</f>
        <v>0.000770670580524188</v>
      </c>
      <c r="N405" s="21" t="n">
        <f aca="false">N$5*4_Normalizacion!N403</f>
        <v>0.00607918426103344</v>
      </c>
      <c r="O405" s="21" t="n">
        <f aca="false">O$5*4_Normalizacion!O403</f>
        <v>0.00200587264654955</v>
      </c>
      <c r="P405" s="21" t="n">
        <f aca="false">P$5*4_Normalizacion!P403</f>
        <v>0.00135841219936972</v>
      </c>
      <c r="Q405" s="21" t="n">
        <f aca="false">Q$5*4_Normalizacion!Q403</f>
        <v>0.00285926571798898</v>
      </c>
    </row>
    <row r="406" customFormat="false" ht="15" hidden="false" customHeight="false" outlineLevel="0" collapsed="false">
      <c r="A406" s="15" t="n">
        <f aca="false">4_Normalizacion!A404</f>
        <v>399</v>
      </c>
      <c r="B406" s="16" t="n">
        <f aca="false">4_Normalizacion!B404</f>
        <v>40.123</v>
      </c>
      <c r="C406" s="21" t="n">
        <f aca="false">C$5*4_Normalizacion!C404</f>
        <v>0.00211491006743141</v>
      </c>
      <c r="D406" s="21" t="n">
        <f aca="false">D$5*4_Normalizacion!D404</f>
        <v>0.00016434498190068</v>
      </c>
      <c r="E406" s="21" t="n">
        <f aca="false">E$5*4_Normalizacion!E404</f>
        <v>0.00232117381706033</v>
      </c>
      <c r="F406" s="21" t="n">
        <f aca="false">F$5*4_Normalizacion!F404</f>
        <v>0.000807018697041519</v>
      </c>
      <c r="G406" s="21" t="n">
        <f aca="false">G$5*4_Normalizacion!G404</f>
        <v>0.000280339284607229</v>
      </c>
      <c r="H406" s="21" t="n">
        <f aca="false">H$5*4_Normalizacion!H404</f>
        <v>0.00339509178766152</v>
      </c>
      <c r="I406" s="21" t="n">
        <f aca="false">I$5*4_Normalizacion!I404</f>
        <v>0.0140543412710073</v>
      </c>
      <c r="J406" s="21" t="n">
        <f aca="false">J$5*4_Normalizacion!J404</f>
        <v>0.000255567041403239</v>
      </c>
      <c r="K406" s="21" t="n">
        <f aca="false">K$5*4_Normalizacion!K404</f>
        <v>3.90133374367575E-005</v>
      </c>
      <c r="L406" s="21" t="n">
        <f aca="false">L$5*4_Normalizacion!L404</f>
        <v>0.000955639335629472</v>
      </c>
      <c r="M406" s="21" t="n">
        <f aca="false">M$5*4_Normalizacion!M404</f>
        <v>0.000769018110772327</v>
      </c>
      <c r="N406" s="21" t="n">
        <f aca="false">N$5*4_Normalizacion!N404</f>
        <v>0.00607918426103344</v>
      </c>
      <c r="O406" s="21" t="n">
        <f aca="false">O$5*4_Normalizacion!O404</f>
        <v>0.00200587264654955</v>
      </c>
      <c r="P406" s="21" t="n">
        <f aca="false">P$5*4_Normalizacion!P404</f>
        <v>0.00135841219936972</v>
      </c>
      <c r="Q406" s="21" t="n">
        <f aca="false">Q$5*4_Normalizacion!Q404</f>
        <v>0.00285926571798898</v>
      </c>
    </row>
    <row r="407" customFormat="false" ht="15" hidden="false" customHeight="false" outlineLevel="0" collapsed="false">
      <c r="A407" s="15" t="n">
        <f aca="false">4_Normalizacion!A405</f>
        <v>400</v>
      </c>
      <c r="B407" s="16" t="n">
        <f aca="false">4_Normalizacion!B405</f>
        <v>40.223</v>
      </c>
      <c r="C407" s="21" t="n">
        <f aca="false">C$5*4_Normalizacion!C405</f>
        <v>0.00211491006743141</v>
      </c>
      <c r="D407" s="21" t="n">
        <f aca="false">D$5*4_Normalizacion!D405</f>
        <v>0.00016434498190068</v>
      </c>
      <c r="E407" s="21" t="n">
        <f aca="false">E$5*4_Normalizacion!E405</f>
        <v>0.00232117381706033</v>
      </c>
      <c r="F407" s="21" t="n">
        <f aca="false">F$5*4_Normalizacion!F405</f>
        <v>0.000807018697041519</v>
      </c>
      <c r="G407" s="21" t="n">
        <f aca="false">G$5*4_Normalizacion!G405</f>
        <v>0.000280339284607229</v>
      </c>
      <c r="H407" s="21" t="n">
        <f aca="false">H$5*4_Normalizacion!H405</f>
        <v>0.00339509178766152</v>
      </c>
      <c r="I407" s="21" t="n">
        <f aca="false">I$5*4_Normalizacion!I405</f>
        <v>0.0112434730168058</v>
      </c>
      <c r="J407" s="21" t="n">
        <f aca="false">J$5*4_Normalizacion!J405</f>
        <v>0.000255567041403239</v>
      </c>
      <c r="K407" s="21" t="n">
        <f aca="false">K$5*4_Normalizacion!K405</f>
        <v>3.90133374367575E-005</v>
      </c>
      <c r="L407" s="21" t="n">
        <f aca="false">L$5*4_Normalizacion!L405</f>
        <v>0.0009942459614655</v>
      </c>
      <c r="M407" s="21" t="n">
        <f aca="false">M$5*4_Normalizacion!M405</f>
        <v>0.000799382242462774</v>
      </c>
      <c r="N407" s="21" t="n">
        <f aca="false">N$5*4_Normalizacion!N405</f>
        <v>0.00607918426103344</v>
      </c>
      <c r="O407" s="21" t="n">
        <f aca="false">O$5*4_Normalizacion!O405</f>
        <v>0.00200587264654955</v>
      </c>
      <c r="P407" s="21" t="n">
        <f aca="false">P$5*4_Normalizacion!P405</f>
        <v>0.00135841219936972</v>
      </c>
      <c r="Q407" s="21" t="n">
        <f aca="false">Q$5*4_Normalizacion!Q405</f>
        <v>0.00285926571798898</v>
      </c>
    </row>
    <row r="408" customFormat="false" ht="15" hidden="false" customHeight="false" outlineLevel="0" collapsed="false">
      <c r="A408" s="15" t="n">
        <f aca="false">4_Normalizacion!A406</f>
        <v>401</v>
      </c>
      <c r="B408" s="16" t="n">
        <f aca="false">4_Normalizacion!B406</f>
        <v>40.323</v>
      </c>
      <c r="C408" s="21" t="n">
        <f aca="false">C$5*4_Normalizacion!C406</f>
        <v>0.00211491006743141</v>
      </c>
      <c r="D408" s="21" t="n">
        <f aca="false">D$5*4_Normalizacion!D406</f>
        <v>0.00016434498190068</v>
      </c>
      <c r="E408" s="21" t="n">
        <f aca="false">E$5*4_Normalizacion!E406</f>
        <v>0.00185693905364827</v>
      </c>
      <c r="F408" s="21" t="n">
        <f aca="false">F$5*4_Normalizacion!F406</f>
        <v>0.00121052804556228</v>
      </c>
      <c r="G408" s="21" t="n">
        <f aca="false">G$5*4_Normalizacion!G406</f>
        <v>0.000280339284607229</v>
      </c>
      <c r="H408" s="21" t="n">
        <f aca="false">H$5*4_Normalizacion!H406</f>
        <v>0.00339509178766152</v>
      </c>
      <c r="I408" s="21" t="n">
        <f aca="false">I$5*4_Normalizacion!I406</f>
        <v>0.0112434730168058</v>
      </c>
      <c r="J408" s="21" t="n">
        <f aca="false">J$5*4_Normalizacion!J406</f>
        <v>0.000255567041403239</v>
      </c>
      <c r="K408" s="21" t="n">
        <f aca="false">K$5*4_Normalizacion!K406</f>
        <v>3.90133374367575E-005</v>
      </c>
      <c r="L408" s="21" t="n">
        <f aca="false">L$5*4_Normalizacion!L406</f>
        <v>0.000993243191963266</v>
      </c>
      <c r="M408" s="21" t="n">
        <f aca="false">M$5*4_Normalizacion!M406</f>
        <v>0.000826234875930515</v>
      </c>
      <c r="N408" s="21" t="n">
        <f aca="false">N$5*4_Normalizacion!N406</f>
        <v>0.00607918426103344</v>
      </c>
      <c r="O408" s="21" t="n">
        <f aca="false">O$5*4_Normalizacion!O406</f>
        <v>0.00200587264654955</v>
      </c>
      <c r="P408" s="21" t="n">
        <f aca="false">P$5*4_Normalizacion!P406</f>
        <v>0.00135841219936972</v>
      </c>
      <c r="Q408" s="21" t="n">
        <f aca="false">Q$5*4_Normalizacion!Q406</f>
        <v>0.00285926571798898</v>
      </c>
    </row>
    <row r="409" customFormat="false" ht="15" hidden="false" customHeight="false" outlineLevel="0" collapsed="false">
      <c r="A409" s="15" t="n">
        <f aca="false">4_Normalizacion!A407</f>
        <v>402</v>
      </c>
      <c r="B409" s="16" t="n">
        <f aca="false">4_Normalizacion!B407</f>
        <v>40.423</v>
      </c>
      <c r="C409" s="21" t="n">
        <f aca="false">C$5*4_Normalizacion!C407</f>
        <v>0.00211491006743141</v>
      </c>
      <c r="D409" s="21" t="n">
        <f aca="false">D$5*4_Normalizacion!D407</f>
        <v>0.00016434498190068</v>
      </c>
      <c r="E409" s="21" t="n">
        <f aca="false">E$5*4_Normalizacion!E407</f>
        <v>0.00185693905364827</v>
      </c>
      <c r="F409" s="21" t="n">
        <f aca="false">F$5*4_Normalizacion!F407</f>
        <v>0.000807018697041519</v>
      </c>
      <c r="G409" s="21" t="n">
        <f aca="false">G$5*4_Normalizacion!G407</f>
        <v>0.000280339284607229</v>
      </c>
      <c r="H409" s="21" t="n">
        <f aca="false">H$5*4_Normalizacion!H407</f>
        <v>0.00339509178766152</v>
      </c>
      <c r="I409" s="21" t="n">
        <f aca="false">I$5*4_Normalizacion!I407</f>
        <v>0.0112434730168058</v>
      </c>
      <c r="J409" s="21" t="n">
        <f aca="false">J$5*4_Normalizacion!J407</f>
        <v>0.000255567041403239</v>
      </c>
      <c r="K409" s="21" t="n">
        <f aca="false">K$5*4_Normalizacion!K407</f>
        <v>3.90133374367575E-005</v>
      </c>
      <c r="L409" s="21" t="n">
        <f aca="false">L$5*4_Normalizacion!L407</f>
        <v>0.00105792182485739</v>
      </c>
      <c r="M409" s="21" t="n">
        <f aca="false">M$5*4_Normalizacion!M407</f>
        <v>0.00081404791151054</v>
      </c>
      <c r="N409" s="21" t="n">
        <f aca="false">N$5*4_Normalizacion!N407</f>
        <v>0.00607918426103344</v>
      </c>
      <c r="O409" s="21" t="n">
        <f aca="false">O$5*4_Normalizacion!O407</f>
        <v>0.00200587264654955</v>
      </c>
      <c r="P409" s="21" t="n">
        <f aca="false">P$5*4_Normalizacion!P407</f>
        <v>0.00135841219936972</v>
      </c>
      <c r="Q409" s="21" t="n">
        <f aca="false">Q$5*4_Normalizacion!Q407</f>
        <v>0.00285926571798898</v>
      </c>
    </row>
    <row r="410" customFormat="false" ht="15" hidden="false" customHeight="false" outlineLevel="0" collapsed="false">
      <c r="A410" s="15" t="n">
        <f aca="false">4_Normalizacion!A408</f>
        <v>403</v>
      </c>
      <c r="B410" s="16" t="n">
        <f aca="false">4_Normalizacion!B408</f>
        <v>40.523</v>
      </c>
      <c r="C410" s="21" t="n">
        <f aca="false">C$5*4_Normalizacion!C408</f>
        <v>0.00211491006743141</v>
      </c>
      <c r="D410" s="21" t="n">
        <f aca="false">D$5*4_Normalizacion!D408</f>
        <v>0.00016434498190068</v>
      </c>
      <c r="E410" s="21" t="n">
        <f aca="false">E$5*4_Normalizacion!E408</f>
        <v>0.00232117381706033</v>
      </c>
      <c r="F410" s="21" t="n">
        <f aca="false">F$5*4_Normalizacion!F408</f>
        <v>0.000807018697041519</v>
      </c>
      <c r="G410" s="21" t="n">
        <f aca="false">G$5*4_Normalizacion!G408</f>
        <v>0.000280339284607229</v>
      </c>
      <c r="H410" s="21" t="n">
        <f aca="false">H$5*4_Normalizacion!H408</f>
        <v>0.00339509178766152</v>
      </c>
      <c r="I410" s="21" t="n">
        <f aca="false">I$5*4_Normalizacion!I408</f>
        <v>0.0112434730168058</v>
      </c>
      <c r="J410" s="21" t="n">
        <f aca="false">J$5*4_Normalizacion!J408</f>
        <v>0.000255567041403239</v>
      </c>
      <c r="K410" s="21" t="n">
        <f aca="false">K$5*4_Normalizacion!K408</f>
        <v>3.90133374367575E-005</v>
      </c>
      <c r="L410" s="21" t="n">
        <f aca="false">L$5*4_Normalizacion!L408</f>
        <v>0.00132515989720288</v>
      </c>
      <c r="M410" s="21" t="n">
        <f aca="false">M$5*4_Normalizacion!M408</f>
        <v>0.000821484025393915</v>
      </c>
      <c r="N410" s="21" t="n">
        <f aca="false">N$5*4_Normalizacion!N408</f>
        <v>0.00607918426103344</v>
      </c>
      <c r="O410" s="21" t="n">
        <f aca="false">O$5*4_Normalizacion!O408</f>
        <v>0.00200587264654955</v>
      </c>
      <c r="P410" s="21" t="n">
        <f aca="false">P$5*4_Normalizacion!P408</f>
        <v>0.00135841219936972</v>
      </c>
      <c r="Q410" s="21" t="n">
        <f aca="false">Q$5*4_Normalizacion!Q408</f>
        <v>0.00285926571798898</v>
      </c>
    </row>
    <row r="411" customFormat="false" ht="15" hidden="false" customHeight="false" outlineLevel="0" collapsed="false">
      <c r="A411" s="15" t="n">
        <f aca="false">4_Normalizacion!A409</f>
        <v>404</v>
      </c>
      <c r="B411" s="16" t="n">
        <f aca="false">4_Normalizacion!B409</f>
        <v>40.623</v>
      </c>
      <c r="C411" s="21" t="n">
        <f aca="false">C$5*4_Normalizacion!C409</f>
        <v>0.00211491006743141</v>
      </c>
      <c r="D411" s="21" t="n">
        <f aca="false">D$5*4_Normalizacion!D409</f>
        <v>0.00016434498190068</v>
      </c>
      <c r="E411" s="21" t="n">
        <f aca="false">E$5*4_Normalizacion!E409</f>
        <v>0.00232117381706033</v>
      </c>
      <c r="F411" s="21" t="n">
        <f aca="false">F$5*4_Normalizacion!F409</f>
        <v>0.000807018697041519</v>
      </c>
      <c r="G411" s="21" t="n">
        <f aca="false">G$5*4_Normalizacion!G409</f>
        <v>0.000280339284607229</v>
      </c>
      <c r="H411" s="21" t="n">
        <f aca="false">H$5*4_Normalizacion!H409</f>
        <v>0.00339509178766152</v>
      </c>
      <c r="I411" s="21" t="n">
        <f aca="false">I$5*4_Normalizacion!I409</f>
        <v>0.0112434730168058</v>
      </c>
      <c r="J411" s="21" t="n">
        <f aca="false">J$5*4_Normalizacion!J409</f>
        <v>0.000255567041403239</v>
      </c>
      <c r="K411" s="21" t="n">
        <f aca="false">K$5*4_Normalizacion!K409</f>
        <v>3.90133374367575E-005</v>
      </c>
      <c r="L411" s="21" t="n">
        <f aca="false">L$5*4_Normalizacion!L409</f>
        <v>0.00152019856538749</v>
      </c>
      <c r="M411" s="21" t="n">
        <f aca="false">M$5*4_Normalizacion!M409</f>
        <v>0.000803926534280391</v>
      </c>
      <c r="N411" s="21" t="n">
        <f aca="false">N$5*4_Normalizacion!N409</f>
        <v>0.00607918426103344</v>
      </c>
      <c r="O411" s="21" t="n">
        <f aca="false">O$5*4_Normalizacion!O409</f>
        <v>0.00200587264654955</v>
      </c>
      <c r="P411" s="21" t="n">
        <f aca="false">P$5*4_Normalizacion!P409</f>
        <v>0.00135841219936972</v>
      </c>
      <c r="Q411" s="21" t="n">
        <f aca="false">Q$5*4_Normalizacion!Q409</f>
        <v>0.00285926571798898</v>
      </c>
    </row>
    <row r="412" customFormat="false" ht="15" hidden="false" customHeight="false" outlineLevel="0" collapsed="false">
      <c r="A412" s="15" t="n">
        <f aca="false">4_Normalizacion!A410</f>
        <v>405</v>
      </c>
      <c r="B412" s="16" t="n">
        <f aca="false">4_Normalizacion!B410</f>
        <v>40.722</v>
      </c>
      <c r="C412" s="21" t="n">
        <f aca="false">C$5*4_Normalizacion!C410</f>
        <v>0.00211491006743141</v>
      </c>
      <c r="D412" s="21" t="n">
        <f aca="false">D$5*4_Normalizacion!D410</f>
        <v>0.00016434498190068</v>
      </c>
      <c r="E412" s="21" t="n">
        <f aca="false">E$5*4_Normalizacion!E410</f>
        <v>0.00185693905364827</v>
      </c>
      <c r="F412" s="21" t="n">
        <f aca="false">F$5*4_Normalizacion!F410</f>
        <v>0.00121052804556228</v>
      </c>
      <c r="G412" s="21" t="n">
        <f aca="false">G$5*4_Normalizacion!G410</f>
        <v>0.000280339284607229</v>
      </c>
      <c r="H412" s="21" t="n">
        <f aca="false">H$5*4_Normalizacion!H410</f>
        <v>0.00339509178766152</v>
      </c>
      <c r="I412" s="21" t="n">
        <f aca="false">I$5*4_Normalizacion!I410</f>
        <v>0.00843260476260438</v>
      </c>
      <c r="J412" s="21" t="n">
        <f aca="false">J$5*4_Normalizacion!J410</f>
        <v>0.000255567041403239</v>
      </c>
      <c r="K412" s="21" t="n">
        <f aca="false">K$5*4_Normalizacion!K410</f>
        <v>3.90133374367575E-005</v>
      </c>
      <c r="L412" s="21" t="n">
        <f aca="false">L$5*4_Normalizacion!L410</f>
        <v>0.00155679965221905</v>
      </c>
      <c r="M412" s="21" t="n">
        <f aca="false">M$5*4_Normalizacion!M410</f>
        <v>0.000787814954199746</v>
      </c>
      <c r="N412" s="21" t="n">
        <f aca="false">N$5*4_Normalizacion!N410</f>
        <v>0.00607918426103344</v>
      </c>
      <c r="O412" s="21" t="n">
        <f aca="false">O$5*4_Normalizacion!O410</f>
        <v>0.00200587264654955</v>
      </c>
      <c r="P412" s="21" t="n">
        <f aca="false">P$5*4_Normalizacion!P410</f>
        <v>0.00135841219936972</v>
      </c>
      <c r="Q412" s="21" t="n">
        <f aca="false">Q$5*4_Normalizacion!Q410</f>
        <v>0.00285926571798898</v>
      </c>
    </row>
    <row r="413" customFormat="false" ht="15" hidden="false" customHeight="false" outlineLevel="0" collapsed="false">
      <c r="A413" s="15" t="n">
        <f aca="false">4_Normalizacion!A411</f>
        <v>406</v>
      </c>
      <c r="B413" s="16" t="n">
        <f aca="false">4_Normalizacion!B411</f>
        <v>40.822</v>
      </c>
      <c r="C413" s="21" t="n">
        <f aca="false">C$5*4_Normalizacion!C411</f>
        <v>0.00211491006743141</v>
      </c>
      <c r="D413" s="21" t="n">
        <f aca="false">D$5*4_Normalizacion!D411</f>
        <v>0.00016434498190068</v>
      </c>
      <c r="E413" s="21" t="n">
        <f aca="false">E$5*4_Normalizacion!E411</f>
        <v>0.00185693905364827</v>
      </c>
      <c r="F413" s="21" t="n">
        <f aca="false">F$5*4_Normalizacion!F411</f>
        <v>0.00121052804556228</v>
      </c>
      <c r="G413" s="21" t="n">
        <f aca="false">G$5*4_Normalizacion!G411</f>
        <v>0.000280339284607229</v>
      </c>
      <c r="H413" s="21" t="n">
        <f aca="false">H$5*4_Normalizacion!H411</f>
        <v>0.00339509178766152</v>
      </c>
      <c r="I413" s="21" t="n">
        <f aca="false">I$5*4_Normalizacion!I411</f>
        <v>0.00843260476260438</v>
      </c>
      <c r="J413" s="21" t="n">
        <f aca="false">J$5*4_Normalizacion!J411</f>
        <v>0.000255567041403239</v>
      </c>
      <c r="K413" s="21" t="n">
        <f aca="false">K$5*4_Normalizacion!K411</f>
        <v>3.90133374367575E-005</v>
      </c>
      <c r="L413" s="21" t="n">
        <f aca="false">L$5*4_Normalizacion!L411</f>
        <v>0.0015116750246185</v>
      </c>
      <c r="M413" s="21" t="n">
        <f aca="false">M$5*4_Normalizacion!M411</f>
        <v>0.000771496815400119</v>
      </c>
      <c r="N413" s="21" t="n">
        <f aca="false">N$5*4_Normalizacion!N411</f>
        <v>0.00607918426103344</v>
      </c>
      <c r="O413" s="21" t="n">
        <f aca="false">O$5*4_Normalizacion!O411</f>
        <v>0.00200587264654955</v>
      </c>
      <c r="P413" s="21" t="n">
        <f aca="false">P$5*4_Normalizacion!P411</f>
        <v>0.00135841219936972</v>
      </c>
      <c r="Q413" s="21" t="n">
        <f aca="false">Q$5*4_Normalizacion!Q411</f>
        <v>0.00285926571798898</v>
      </c>
    </row>
    <row r="414" customFormat="false" ht="15" hidden="false" customHeight="false" outlineLevel="0" collapsed="false">
      <c r="A414" s="15" t="n">
        <f aca="false">4_Normalizacion!A412</f>
        <v>407</v>
      </c>
      <c r="B414" s="16" t="n">
        <f aca="false">4_Normalizacion!B412</f>
        <v>40.922</v>
      </c>
      <c r="C414" s="21" t="n">
        <f aca="false">C$5*4_Normalizacion!C412</f>
        <v>0.00211491006743141</v>
      </c>
      <c r="D414" s="21" t="n">
        <f aca="false">D$5*4_Normalizacion!D412</f>
        <v>0.00016434498190068</v>
      </c>
      <c r="E414" s="21" t="n">
        <f aca="false">E$5*4_Normalizacion!E412</f>
        <v>0.00185693905364827</v>
      </c>
      <c r="F414" s="21" t="n">
        <f aca="false">F$5*4_Normalizacion!F412</f>
        <v>0.000807018697041519</v>
      </c>
      <c r="G414" s="21" t="n">
        <f aca="false">G$5*4_Normalizacion!G412</f>
        <v>0.000280339284607229</v>
      </c>
      <c r="H414" s="21" t="n">
        <f aca="false">H$5*4_Normalizacion!H412</f>
        <v>0.00339509178766152</v>
      </c>
      <c r="I414" s="21" t="n">
        <f aca="false">I$5*4_Normalizacion!I412</f>
        <v>0.0112434730168058</v>
      </c>
      <c r="J414" s="21" t="n">
        <f aca="false">J$5*4_Normalizacion!J412</f>
        <v>0.000255567041403239</v>
      </c>
      <c r="K414" s="21" t="n">
        <f aca="false">K$5*4_Normalizacion!K412</f>
        <v>3.90133374367575E-005</v>
      </c>
      <c r="L414" s="21" t="n">
        <f aca="false">L$5*4_Normalizacion!L412</f>
        <v>0.00138983853009701</v>
      </c>
      <c r="M414" s="21" t="n">
        <f aca="false">M$5*4_Normalizacion!M412</f>
        <v>0.000777280459531632</v>
      </c>
      <c r="N414" s="21" t="n">
        <f aca="false">N$5*4_Normalizacion!N412</f>
        <v>0.00607918426103344</v>
      </c>
      <c r="O414" s="21" t="n">
        <f aca="false">O$5*4_Normalizacion!O412</f>
        <v>0.00200587264654955</v>
      </c>
      <c r="P414" s="21" t="n">
        <f aca="false">P$5*4_Normalizacion!P412</f>
        <v>0.00135841219936972</v>
      </c>
      <c r="Q414" s="21" t="n">
        <f aca="false">Q$5*4_Normalizacion!Q412</f>
        <v>0.00285926571798898</v>
      </c>
    </row>
    <row r="415" customFormat="false" ht="15" hidden="false" customHeight="false" outlineLevel="0" collapsed="false">
      <c r="A415" s="15" t="n">
        <f aca="false">4_Normalizacion!A413</f>
        <v>408</v>
      </c>
      <c r="B415" s="16" t="n">
        <f aca="false">4_Normalizacion!B413</f>
        <v>41.022</v>
      </c>
      <c r="C415" s="21" t="n">
        <f aca="false">C$5*4_Normalizacion!C413</f>
        <v>0.00211491006743141</v>
      </c>
      <c r="D415" s="21" t="n">
        <f aca="false">D$5*4_Normalizacion!D413</f>
        <v>0.00016434498190068</v>
      </c>
      <c r="E415" s="21" t="n">
        <f aca="false">E$5*4_Normalizacion!E413</f>
        <v>0.00232117381706033</v>
      </c>
      <c r="F415" s="21" t="n">
        <f aca="false">F$5*4_Normalizacion!F413</f>
        <v>0.000807018697041519</v>
      </c>
      <c r="G415" s="21" t="n">
        <f aca="false">G$5*4_Normalizacion!G413</f>
        <v>0.000280339284607229</v>
      </c>
      <c r="H415" s="21" t="n">
        <f aca="false">H$5*4_Normalizacion!H413</f>
        <v>0.00339509178766152</v>
      </c>
      <c r="I415" s="21" t="n">
        <f aca="false">I$5*4_Normalizacion!I413</f>
        <v>0.0112434730168058</v>
      </c>
      <c r="J415" s="21" t="n">
        <f aca="false">J$5*4_Normalizacion!J413</f>
        <v>0.000255567041403239</v>
      </c>
      <c r="K415" s="21" t="n">
        <f aca="false">K$5*4_Normalizacion!K413</f>
        <v>3.90133374367575E-005</v>
      </c>
      <c r="L415" s="21" t="n">
        <f aca="false">L$5*4_Normalizacion!L413</f>
        <v>0.00129056434937579</v>
      </c>
      <c r="M415" s="21" t="n">
        <f aca="false">M$5*4_Normalizacion!M413</f>
        <v>0.000794424833207191</v>
      </c>
      <c r="N415" s="21" t="n">
        <f aca="false">N$5*4_Normalizacion!N413</f>
        <v>0.00607918426103344</v>
      </c>
      <c r="O415" s="21" t="n">
        <f aca="false">O$5*4_Normalizacion!O413</f>
        <v>0.00200587264654955</v>
      </c>
      <c r="P415" s="21" t="n">
        <f aca="false">P$5*4_Normalizacion!P413</f>
        <v>0.00135841219936972</v>
      </c>
      <c r="Q415" s="21" t="n">
        <f aca="false">Q$5*4_Normalizacion!Q413</f>
        <v>0.00285926571798898</v>
      </c>
    </row>
    <row r="416" customFormat="false" ht="15" hidden="false" customHeight="false" outlineLevel="0" collapsed="false">
      <c r="A416" s="15" t="n">
        <f aca="false">4_Normalizacion!A414</f>
        <v>409</v>
      </c>
      <c r="B416" s="16" t="n">
        <f aca="false">4_Normalizacion!B414</f>
        <v>41.122</v>
      </c>
      <c r="C416" s="21" t="n">
        <f aca="false">C$5*4_Normalizacion!C414</f>
        <v>0.00211491006743141</v>
      </c>
      <c r="D416" s="21" t="n">
        <f aca="false">D$5*4_Normalizacion!D414</f>
        <v>0.00016434498190068</v>
      </c>
      <c r="E416" s="21" t="n">
        <f aca="false">E$5*4_Normalizacion!E414</f>
        <v>0.00185693905364827</v>
      </c>
      <c r="F416" s="21" t="n">
        <f aca="false">F$5*4_Normalizacion!F414</f>
        <v>0.00121052804556228</v>
      </c>
      <c r="G416" s="21" t="n">
        <f aca="false">G$5*4_Normalizacion!G414</f>
        <v>0.000280339284607229</v>
      </c>
      <c r="H416" s="21" t="n">
        <f aca="false">H$5*4_Normalizacion!H414</f>
        <v>0.00339509178766152</v>
      </c>
      <c r="I416" s="21" t="n">
        <f aca="false">I$5*4_Normalizacion!I414</f>
        <v>0.0112434730168058</v>
      </c>
      <c r="J416" s="21" t="n">
        <f aca="false">J$5*4_Normalizacion!J414</f>
        <v>0.000255567041403239</v>
      </c>
      <c r="K416" s="21" t="n">
        <f aca="false">K$5*4_Normalizacion!K414</f>
        <v>3.90133374367575E-005</v>
      </c>
      <c r="L416" s="21" t="n">
        <f aca="false">L$5*4_Normalizacion!L414</f>
        <v>0.00117424308711659</v>
      </c>
      <c r="M416" s="21" t="n">
        <f aca="false">M$5*4_Normalizacion!M414</f>
        <v>0.000771909932838084</v>
      </c>
      <c r="N416" s="21" t="n">
        <f aca="false">N$5*4_Normalizacion!N414</f>
        <v>0.00607918426103344</v>
      </c>
      <c r="O416" s="21" t="n">
        <f aca="false">O$5*4_Normalizacion!O414</f>
        <v>0.00200587264654955</v>
      </c>
      <c r="P416" s="21" t="n">
        <f aca="false">P$5*4_Normalizacion!P414</f>
        <v>0.00135841219936972</v>
      </c>
      <c r="Q416" s="21" t="n">
        <f aca="false">Q$5*4_Normalizacion!Q414</f>
        <v>0.00285926571798898</v>
      </c>
    </row>
    <row r="417" customFormat="false" ht="15" hidden="false" customHeight="false" outlineLevel="0" collapsed="false">
      <c r="A417" s="15" t="n">
        <f aca="false">4_Normalizacion!A415</f>
        <v>410</v>
      </c>
      <c r="B417" s="16" t="n">
        <f aca="false">4_Normalizacion!B415</f>
        <v>41.222</v>
      </c>
      <c r="C417" s="21" t="n">
        <f aca="false">C$5*4_Normalizacion!C415</f>
        <v>0.00211491006743141</v>
      </c>
      <c r="D417" s="21" t="n">
        <f aca="false">D$5*4_Normalizacion!D415</f>
        <v>0.00016434498190068</v>
      </c>
      <c r="E417" s="21" t="n">
        <f aca="false">E$5*4_Normalizacion!E415</f>
        <v>0.00185693905364827</v>
      </c>
      <c r="F417" s="21" t="n">
        <f aca="false">F$5*4_Normalizacion!F415</f>
        <v>0.00121052804556228</v>
      </c>
      <c r="G417" s="21" t="n">
        <f aca="false">G$5*4_Normalizacion!G415</f>
        <v>0.000280339284607229</v>
      </c>
      <c r="H417" s="21" t="n">
        <f aca="false">H$5*4_Normalizacion!H415</f>
        <v>0.00339509178766152</v>
      </c>
      <c r="I417" s="21" t="n">
        <f aca="false">I$5*4_Normalizacion!I415</f>
        <v>0.0112434730168058</v>
      </c>
      <c r="J417" s="21" t="n">
        <f aca="false">J$5*4_Normalizacion!J415</f>
        <v>0.000255567041403239</v>
      </c>
      <c r="K417" s="21" t="n">
        <f aca="false">K$5*4_Normalizacion!K415</f>
        <v>3.90133374367575E-005</v>
      </c>
      <c r="L417" s="21" t="n">
        <f aca="false">L$5*4_Normalizacion!L415</f>
        <v>0.00136276375353668</v>
      </c>
      <c r="M417" s="21" t="n">
        <f aca="false">M$5*4_Normalizacion!M415</f>
        <v>0.000715312843836844</v>
      </c>
      <c r="N417" s="21" t="n">
        <f aca="false">N$5*4_Normalizacion!N415</f>
        <v>0.00607918426103344</v>
      </c>
      <c r="O417" s="21" t="n">
        <f aca="false">O$5*4_Normalizacion!O415</f>
        <v>0.00200587264654955</v>
      </c>
      <c r="P417" s="21" t="n">
        <f aca="false">P$5*4_Normalizacion!P415</f>
        <v>0.00135841219936972</v>
      </c>
      <c r="Q417" s="21" t="n">
        <f aca="false">Q$5*4_Normalizacion!Q415</f>
        <v>0.00285926571798898</v>
      </c>
    </row>
    <row r="418" customFormat="false" ht="15" hidden="false" customHeight="false" outlineLevel="0" collapsed="false">
      <c r="A418" s="15" t="n">
        <f aca="false">4_Normalizacion!A416</f>
        <v>411</v>
      </c>
      <c r="B418" s="16" t="n">
        <f aca="false">4_Normalizacion!B416</f>
        <v>41.323</v>
      </c>
      <c r="C418" s="21" t="n">
        <f aca="false">C$5*4_Normalizacion!C416</f>
        <v>0.00211491006743141</v>
      </c>
      <c r="D418" s="21" t="n">
        <f aca="false">D$5*4_Normalizacion!D416</f>
        <v>0.00016434498190068</v>
      </c>
      <c r="E418" s="21" t="n">
        <f aca="false">E$5*4_Normalizacion!E416</f>
        <v>0.00232117381706033</v>
      </c>
      <c r="F418" s="21" t="n">
        <f aca="false">F$5*4_Normalizacion!F416</f>
        <v>0.00121052804556228</v>
      </c>
      <c r="G418" s="21" t="n">
        <f aca="false">G$5*4_Normalizacion!G416</f>
        <v>0.000280339284607229</v>
      </c>
      <c r="H418" s="21" t="n">
        <f aca="false">H$5*4_Normalizacion!H416</f>
        <v>0.00339509178766152</v>
      </c>
      <c r="I418" s="21" t="n">
        <f aca="false">I$5*4_Normalizacion!I416</f>
        <v>0.0112434730168058</v>
      </c>
      <c r="J418" s="21" t="n">
        <f aca="false">J$5*4_Normalizacion!J416</f>
        <v>0.000255567041403239</v>
      </c>
      <c r="K418" s="21" t="n">
        <f aca="false">K$5*4_Normalizacion!K416</f>
        <v>3.90133374367575E-005</v>
      </c>
      <c r="L418" s="21" t="n">
        <f aca="false">L$5*4_Normalizacion!L416</f>
        <v>0.00125797434055317</v>
      </c>
      <c r="M418" s="21" t="n">
        <f aca="false">M$5*4_Normalizacion!M416</f>
        <v>0.000726260455942923</v>
      </c>
      <c r="N418" s="21" t="n">
        <f aca="false">N$5*4_Normalizacion!N416</f>
        <v>0.00607918426103344</v>
      </c>
      <c r="O418" s="21" t="n">
        <f aca="false">O$5*4_Normalizacion!O416</f>
        <v>0.00200587264654955</v>
      </c>
      <c r="P418" s="21" t="n">
        <f aca="false">P$5*4_Normalizacion!P416</f>
        <v>0.00135841219936972</v>
      </c>
      <c r="Q418" s="21" t="n">
        <f aca="false">Q$5*4_Normalizacion!Q416</f>
        <v>0.00285926571798898</v>
      </c>
    </row>
    <row r="419" customFormat="false" ht="15" hidden="false" customHeight="false" outlineLevel="0" collapsed="false">
      <c r="A419" s="15" t="n">
        <f aca="false">4_Normalizacion!A417</f>
        <v>412</v>
      </c>
      <c r="B419" s="16" t="n">
        <f aca="false">4_Normalizacion!B417</f>
        <v>41.424</v>
      </c>
      <c r="C419" s="21" t="n">
        <f aca="false">C$5*4_Normalizacion!C417</f>
        <v>0.00211491006743141</v>
      </c>
      <c r="D419" s="21" t="n">
        <f aca="false">D$5*4_Normalizacion!D417</f>
        <v>0.00016434498190068</v>
      </c>
      <c r="E419" s="21" t="n">
        <f aca="false">E$5*4_Normalizacion!E417</f>
        <v>0.00232117381706033</v>
      </c>
      <c r="F419" s="21" t="n">
        <f aca="false">F$5*4_Normalizacion!F417</f>
        <v>0.00121052804556228</v>
      </c>
      <c r="G419" s="21" t="n">
        <f aca="false">G$5*4_Normalizacion!G417</f>
        <v>0.000280339284607229</v>
      </c>
      <c r="H419" s="21" t="n">
        <f aca="false">H$5*4_Normalizacion!H417</f>
        <v>0.00339509178766152</v>
      </c>
      <c r="I419" s="21" t="n">
        <f aca="false">I$5*4_Normalizacion!I417</f>
        <v>0.0140543412710073</v>
      </c>
      <c r="J419" s="21" t="n">
        <f aca="false">J$5*4_Normalizacion!J417</f>
        <v>0.000255567041403239</v>
      </c>
      <c r="K419" s="21" t="n">
        <f aca="false">K$5*4_Normalizacion!K417</f>
        <v>3.90133374367575E-005</v>
      </c>
      <c r="L419" s="21" t="n">
        <f aca="false">L$5*4_Normalizacion!L417</f>
        <v>0.00131162250892272</v>
      </c>
      <c r="M419" s="21" t="n">
        <f aca="false">M$5*4_Normalizacion!M417</f>
        <v>0.000705398025325678</v>
      </c>
      <c r="N419" s="21" t="n">
        <f aca="false">N$5*4_Normalizacion!N417</f>
        <v>0.00607918426103344</v>
      </c>
      <c r="O419" s="21" t="n">
        <f aca="false">O$5*4_Normalizacion!O417</f>
        <v>0.00200587264654955</v>
      </c>
      <c r="P419" s="21" t="n">
        <f aca="false">P$5*4_Normalizacion!P417</f>
        <v>0.00135841219936972</v>
      </c>
      <c r="Q419" s="21" t="n">
        <f aca="false">Q$5*4_Normalizacion!Q417</f>
        <v>0.00285926571798898</v>
      </c>
    </row>
    <row r="420" customFormat="false" ht="15" hidden="false" customHeight="false" outlineLevel="0" collapsed="false">
      <c r="A420" s="15" t="n">
        <f aca="false">4_Normalizacion!A418</f>
        <v>413</v>
      </c>
      <c r="B420" s="16" t="n">
        <f aca="false">4_Normalizacion!B418</f>
        <v>41.524</v>
      </c>
      <c r="C420" s="21" t="n">
        <f aca="false">C$5*4_Normalizacion!C418</f>
        <v>0.00211491006743141</v>
      </c>
      <c r="D420" s="21" t="n">
        <f aca="false">D$5*4_Normalizacion!D418</f>
        <v>0.00016434498190068</v>
      </c>
      <c r="E420" s="21" t="n">
        <f aca="false">E$5*4_Normalizacion!E418</f>
        <v>0.00232117381706033</v>
      </c>
      <c r="F420" s="21" t="n">
        <f aca="false">F$5*4_Normalizacion!F418</f>
        <v>0.000807018697041519</v>
      </c>
      <c r="G420" s="21" t="n">
        <f aca="false">G$5*4_Normalizacion!G418</f>
        <v>0.000280339284607229</v>
      </c>
      <c r="H420" s="21" t="n">
        <f aca="false">H$5*4_Normalizacion!H418</f>
        <v>0.00339509178766152</v>
      </c>
      <c r="I420" s="21" t="n">
        <f aca="false">I$5*4_Normalizacion!I418</f>
        <v>0.0140543412710073</v>
      </c>
      <c r="J420" s="21" t="n">
        <f aca="false">J$5*4_Normalizacion!J418</f>
        <v>0.000255567041403239</v>
      </c>
      <c r="K420" s="21" t="n">
        <f aca="false">K$5*4_Normalizacion!K418</f>
        <v>3.90133374367575E-005</v>
      </c>
      <c r="L420" s="21" t="n">
        <f aca="false">L$5*4_Normalizacion!L418</f>
        <v>0.00118527355164117</v>
      </c>
      <c r="M420" s="21" t="n">
        <f aca="false">M$5*4_Normalizacion!M418</f>
        <v>0.000738240861643916</v>
      </c>
      <c r="N420" s="21" t="n">
        <f aca="false">N$5*4_Normalizacion!N418</f>
        <v>0.00607918426103344</v>
      </c>
      <c r="O420" s="21" t="n">
        <f aca="false">O$5*4_Normalizacion!O418</f>
        <v>0.00200587264654955</v>
      </c>
      <c r="P420" s="21" t="n">
        <f aca="false">P$5*4_Normalizacion!P418</f>
        <v>0.00135841219936972</v>
      </c>
      <c r="Q420" s="21" t="n">
        <f aca="false">Q$5*4_Normalizacion!Q418</f>
        <v>0.00285926571798898</v>
      </c>
    </row>
    <row r="421" customFormat="false" ht="15" hidden="false" customHeight="false" outlineLevel="0" collapsed="false">
      <c r="A421" s="15" t="n">
        <f aca="false">4_Normalizacion!A419</f>
        <v>414</v>
      </c>
      <c r="B421" s="16" t="n">
        <f aca="false">4_Normalizacion!B419</f>
        <v>41.624</v>
      </c>
      <c r="C421" s="21" t="n">
        <f aca="false">C$5*4_Normalizacion!C419</f>
        <v>0.00211491006743141</v>
      </c>
      <c r="D421" s="21" t="n">
        <f aca="false">D$5*4_Normalizacion!D419</f>
        <v>0.00016434498190068</v>
      </c>
      <c r="E421" s="21" t="n">
        <f aca="false">E$5*4_Normalizacion!E419</f>
        <v>0.00232117381706033</v>
      </c>
      <c r="F421" s="21" t="n">
        <f aca="false">F$5*4_Normalizacion!F419</f>
        <v>0.000807018697041519</v>
      </c>
      <c r="G421" s="21" t="n">
        <f aca="false">G$5*4_Normalizacion!G419</f>
        <v>0.000280339284607229</v>
      </c>
      <c r="H421" s="21" t="n">
        <f aca="false">H$5*4_Normalizacion!H419</f>
        <v>0.00339509178766152</v>
      </c>
      <c r="I421" s="21" t="n">
        <f aca="false">I$5*4_Normalizacion!I419</f>
        <v>0.0112434730168058</v>
      </c>
      <c r="J421" s="21" t="n">
        <f aca="false">J$5*4_Normalizacion!J419</f>
        <v>0.000255567041403239</v>
      </c>
      <c r="K421" s="21" t="n">
        <f aca="false">K$5*4_Normalizacion!K419</f>
        <v>3.90133374367575E-005</v>
      </c>
      <c r="L421" s="21" t="n">
        <f aca="false">L$5*4_Normalizacion!L419</f>
        <v>0.00128053665435345</v>
      </c>
      <c r="M421" s="21" t="n">
        <f aca="false">M$5*4_Normalizacion!M419</f>
        <v>0.000763647584078779</v>
      </c>
      <c r="N421" s="21" t="n">
        <f aca="false">N$5*4_Normalizacion!N419</f>
        <v>0.00607918426103344</v>
      </c>
      <c r="O421" s="21" t="n">
        <f aca="false">O$5*4_Normalizacion!O419</f>
        <v>0.00200587264654955</v>
      </c>
      <c r="P421" s="21" t="n">
        <f aca="false">P$5*4_Normalizacion!P419</f>
        <v>0.00135841219936972</v>
      </c>
      <c r="Q421" s="21" t="n">
        <f aca="false">Q$5*4_Normalizacion!Q419</f>
        <v>0.00285926571798898</v>
      </c>
    </row>
    <row r="422" customFormat="false" ht="15" hidden="false" customHeight="false" outlineLevel="0" collapsed="false">
      <c r="A422" s="15" t="n">
        <f aca="false">4_Normalizacion!A420</f>
        <v>415</v>
      </c>
      <c r="B422" s="16" t="n">
        <f aca="false">4_Normalizacion!B420</f>
        <v>41.724</v>
      </c>
      <c r="C422" s="21" t="n">
        <f aca="false">C$5*4_Normalizacion!C420</f>
        <v>0.00211491006743141</v>
      </c>
      <c r="D422" s="21" t="n">
        <f aca="false">D$5*4_Normalizacion!D420</f>
        <v>0.00016434498190068</v>
      </c>
      <c r="E422" s="21" t="n">
        <f aca="false">E$5*4_Normalizacion!E420</f>
        <v>0.00232117381706033</v>
      </c>
      <c r="F422" s="21" t="n">
        <f aca="false">F$5*4_Normalizacion!F420</f>
        <v>0.00121052804556228</v>
      </c>
      <c r="G422" s="21" t="n">
        <f aca="false">G$5*4_Normalizacion!G420</f>
        <v>0.000280339284607229</v>
      </c>
      <c r="H422" s="21" t="n">
        <f aca="false">H$5*4_Normalizacion!H420</f>
        <v>0.00339509178766152</v>
      </c>
      <c r="I422" s="21" t="n">
        <f aca="false">I$5*4_Normalizacion!I420</f>
        <v>0.0112434730168058</v>
      </c>
      <c r="J422" s="21" t="n">
        <f aca="false">J$5*4_Normalizacion!J420</f>
        <v>0.000255567041403239</v>
      </c>
      <c r="K422" s="21" t="n">
        <f aca="false">K$5*4_Normalizacion!K420</f>
        <v>3.90133374367575E-005</v>
      </c>
      <c r="L422" s="21" t="n">
        <f aca="false">L$5*4_Normalizacion!L420</f>
        <v>0.00131212389367383</v>
      </c>
      <c r="M422" s="21" t="n">
        <f aca="false">M$5*4_Normalizacion!M420</f>
        <v>0.000821690584112898</v>
      </c>
      <c r="N422" s="21" t="n">
        <f aca="false">N$5*4_Normalizacion!N420</f>
        <v>0.0075989803262918</v>
      </c>
      <c r="O422" s="21" t="n">
        <f aca="false">O$5*4_Normalizacion!O420</f>
        <v>0.00200587264654955</v>
      </c>
      <c r="P422" s="21" t="n">
        <f aca="false">P$5*4_Normalizacion!P420</f>
        <v>0.00135841219936972</v>
      </c>
      <c r="Q422" s="21" t="n">
        <f aca="false">Q$5*4_Normalizacion!Q420</f>
        <v>0.00285926571798898</v>
      </c>
    </row>
    <row r="423" customFormat="false" ht="15" hidden="false" customHeight="false" outlineLevel="0" collapsed="false">
      <c r="A423" s="15" t="n">
        <f aca="false">4_Normalizacion!A421</f>
        <v>416</v>
      </c>
      <c r="B423" s="16" t="n">
        <f aca="false">4_Normalizacion!B421</f>
        <v>41.823</v>
      </c>
      <c r="C423" s="21" t="n">
        <f aca="false">C$5*4_Normalizacion!C421</f>
        <v>0.00211491006743141</v>
      </c>
      <c r="D423" s="21" t="n">
        <f aca="false">D$5*4_Normalizacion!D421</f>
        <v>0.00016434498190068</v>
      </c>
      <c r="E423" s="21" t="n">
        <f aca="false">E$5*4_Normalizacion!E421</f>
        <v>0.00232117381706033</v>
      </c>
      <c r="F423" s="21" t="n">
        <f aca="false">F$5*4_Normalizacion!F421</f>
        <v>0.000807018697041519</v>
      </c>
      <c r="G423" s="21" t="n">
        <f aca="false">G$5*4_Normalizacion!G421</f>
        <v>0.000280339284607229</v>
      </c>
      <c r="H423" s="21" t="n">
        <f aca="false">H$5*4_Normalizacion!H421</f>
        <v>0.00339509178766152</v>
      </c>
      <c r="I423" s="21" t="n">
        <f aca="false">I$5*4_Normalizacion!I421</f>
        <v>0.0112434730168058</v>
      </c>
      <c r="J423" s="21" t="n">
        <f aca="false">J$5*4_Normalizacion!J421</f>
        <v>0.000255567041403239</v>
      </c>
      <c r="K423" s="21" t="n">
        <f aca="false">K$5*4_Normalizacion!K421</f>
        <v>3.90133374367575E-005</v>
      </c>
      <c r="L423" s="21" t="n">
        <f aca="false">L$5*4_Normalizacion!L421</f>
        <v>0.00150666117710733</v>
      </c>
      <c r="M423" s="21" t="n">
        <f aca="false">M$5*4_Normalizacion!M421</f>
        <v>0.000826234875930515</v>
      </c>
      <c r="N423" s="21" t="n">
        <f aca="false">N$5*4_Normalizacion!N421</f>
        <v>0.00607918426103344</v>
      </c>
      <c r="O423" s="21" t="n">
        <f aca="false">O$5*4_Normalizacion!O421</f>
        <v>0.00200587264654955</v>
      </c>
      <c r="P423" s="21" t="n">
        <f aca="false">P$5*4_Normalizacion!P421</f>
        <v>0.00135841219936972</v>
      </c>
      <c r="Q423" s="21" t="n">
        <f aca="false">Q$5*4_Normalizacion!Q421</f>
        <v>0.00285926571798898</v>
      </c>
    </row>
    <row r="424" customFormat="false" ht="15" hidden="false" customHeight="false" outlineLevel="0" collapsed="false">
      <c r="A424" s="15" t="n">
        <f aca="false">4_Normalizacion!A422</f>
        <v>417</v>
      </c>
      <c r="B424" s="16" t="n">
        <f aca="false">4_Normalizacion!B422</f>
        <v>41.921</v>
      </c>
      <c r="C424" s="21" t="n">
        <f aca="false">C$5*4_Normalizacion!C422</f>
        <v>0.00211491006743141</v>
      </c>
      <c r="D424" s="21" t="n">
        <f aca="false">D$5*4_Normalizacion!D422</f>
        <v>0.00016434498190068</v>
      </c>
      <c r="E424" s="21" t="n">
        <f aca="false">E$5*4_Normalizacion!E422</f>
        <v>0.00185693905364827</v>
      </c>
      <c r="F424" s="21" t="n">
        <f aca="false">F$5*4_Normalizacion!F422</f>
        <v>0.000807018697041519</v>
      </c>
      <c r="G424" s="21" t="n">
        <f aca="false">G$5*4_Normalizacion!G422</f>
        <v>0.000280339284607229</v>
      </c>
      <c r="H424" s="21" t="n">
        <f aca="false">H$5*4_Normalizacion!H422</f>
        <v>0.00339509178766152</v>
      </c>
      <c r="I424" s="21" t="n">
        <f aca="false">I$5*4_Normalizacion!I422</f>
        <v>0.0112434730168058</v>
      </c>
      <c r="J424" s="21" t="n">
        <f aca="false">J$5*4_Normalizacion!J422</f>
        <v>0.000255567041403239</v>
      </c>
      <c r="K424" s="21" t="n">
        <f aca="false">K$5*4_Normalizacion!K422</f>
        <v>3.90133374367575E-005</v>
      </c>
      <c r="L424" s="21" t="n">
        <f aca="false">L$5*4_Normalizacion!L422</f>
        <v>0.00149312378882716</v>
      </c>
      <c r="M424" s="21" t="n">
        <f aca="false">M$5*4_Normalizacion!M422</f>
        <v>0.000826234875930515</v>
      </c>
      <c r="N424" s="21" t="n">
        <f aca="false">N$5*4_Normalizacion!N422</f>
        <v>0.00607918426103344</v>
      </c>
      <c r="O424" s="21" t="n">
        <f aca="false">O$5*4_Normalizacion!O422</f>
        <v>0.00200587264654955</v>
      </c>
      <c r="P424" s="21" t="n">
        <f aca="false">P$5*4_Normalizacion!P422</f>
        <v>0.00135841219936972</v>
      </c>
      <c r="Q424" s="21" t="n">
        <f aca="false">Q$5*4_Normalizacion!Q422</f>
        <v>0.00285926571798898</v>
      </c>
    </row>
    <row r="425" customFormat="false" ht="15" hidden="false" customHeight="false" outlineLevel="0" collapsed="false">
      <c r="A425" s="15" t="n">
        <f aca="false">4_Normalizacion!A423</f>
        <v>418</v>
      </c>
      <c r="B425" s="16" t="n">
        <f aca="false">4_Normalizacion!B423</f>
        <v>42.02</v>
      </c>
      <c r="C425" s="21" t="n">
        <f aca="false">C$5*4_Normalizacion!C423</f>
        <v>0.00211491006743141</v>
      </c>
      <c r="D425" s="21" t="n">
        <f aca="false">D$5*4_Normalizacion!D423</f>
        <v>0.00016434498190068</v>
      </c>
      <c r="E425" s="21" t="n">
        <f aca="false">E$5*4_Normalizacion!E423</f>
        <v>0.00185693905364827</v>
      </c>
      <c r="F425" s="21" t="n">
        <f aca="false">F$5*4_Normalizacion!F423</f>
        <v>0.00121052804556228</v>
      </c>
      <c r="G425" s="21" t="n">
        <f aca="false">G$5*4_Normalizacion!G423</f>
        <v>0.000280339284607229</v>
      </c>
      <c r="H425" s="21" t="n">
        <f aca="false">H$5*4_Normalizacion!H423</f>
        <v>0.00339509178766152</v>
      </c>
      <c r="I425" s="21" t="n">
        <f aca="false">I$5*4_Normalizacion!I423</f>
        <v>0.0112434730168058</v>
      </c>
      <c r="J425" s="21" t="n">
        <f aca="false">J$5*4_Normalizacion!J423</f>
        <v>0.000255567041403239</v>
      </c>
      <c r="K425" s="21" t="n">
        <f aca="false">K$5*4_Normalizacion!K423</f>
        <v>3.90133374367575E-005</v>
      </c>
      <c r="L425" s="21" t="n">
        <f aca="false">L$5*4_Normalizacion!L423</f>
        <v>0.00153975257068106</v>
      </c>
      <c r="M425" s="21" t="n">
        <f aca="false">M$5*4_Normalizacion!M423</f>
        <v>0.000826234875930515</v>
      </c>
      <c r="N425" s="21" t="n">
        <f aca="false">N$5*4_Normalizacion!N423</f>
        <v>0.0075989803262918</v>
      </c>
      <c r="O425" s="21" t="n">
        <f aca="false">O$5*4_Normalizacion!O423</f>
        <v>0.00200587264654955</v>
      </c>
      <c r="P425" s="21" t="n">
        <f aca="false">P$5*4_Normalizacion!P423</f>
        <v>0.00135841219936972</v>
      </c>
      <c r="Q425" s="21" t="n">
        <f aca="false">Q$5*4_Normalizacion!Q423</f>
        <v>0.00285926571798898</v>
      </c>
    </row>
    <row r="426" customFormat="false" ht="15" hidden="false" customHeight="false" outlineLevel="0" collapsed="false">
      <c r="A426" s="15" t="n">
        <f aca="false">4_Normalizacion!A424</f>
        <v>419</v>
      </c>
      <c r="B426" s="16" t="n">
        <f aca="false">4_Normalizacion!B424</f>
        <v>42.118</v>
      </c>
      <c r="C426" s="21" t="n">
        <f aca="false">C$5*4_Normalizacion!C424</f>
        <v>0.00211491006743141</v>
      </c>
      <c r="D426" s="21" t="n">
        <f aca="false">D$5*4_Normalizacion!D424</f>
        <v>0.00016434498190068</v>
      </c>
      <c r="E426" s="21" t="n">
        <f aca="false">E$5*4_Normalizacion!E424</f>
        <v>0.00185693905364827</v>
      </c>
      <c r="F426" s="21" t="n">
        <f aca="false">F$5*4_Normalizacion!F424</f>
        <v>0.000807018697041519</v>
      </c>
      <c r="G426" s="21" t="n">
        <f aca="false">G$5*4_Normalizacion!G424</f>
        <v>0.000280339284607229</v>
      </c>
      <c r="H426" s="21" t="n">
        <f aca="false">H$5*4_Normalizacion!H424</f>
        <v>0.00339509178766152</v>
      </c>
      <c r="I426" s="21" t="n">
        <f aca="false">I$5*4_Normalizacion!I424</f>
        <v>0.00843260476260438</v>
      </c>
      <c r="J426" s="21" t="n">
        <f aca="false">J$5*4_Normalizacion!J424</f>
        <v>0.000255567041403239</v>
      </c>
      <c r="K426" s="21" t="n">
        <f aca="false">K$5*4_Normalizacion!K424</f>
        <v>3.90133374367575E-005</v>
      </c>
      <c r="L426" s="21" t="n">
        <f aca="false">L$5*4_Normalizacion!L424</f>
        <v>0.0014886113260671</v>
      </c>
      <c r="M426" s="21" t="n">
        <f aca="false">M$5*4_Normalizacion!M424</f>
        <v>0.000801034712214635</v>
      </c>
      <c r="N426" s="21" t="n">
        <f aca="false">N$5*4_Normalizacion!N424</f>
        <v>0.0075989803262918</v>
      </c>
      <c r="O426" s="21" t="n">
        <f aca="false">O$5*4_Normalizacion!O424</f>
        <v>0.00200587264654955</v>
      </c>
      <c r="P426" s="21" t="n">
        <f aca="false">P$5*4_Normalizacion!P424</f>
        <v>0.00135841219936972</v>
      </c>
      <c r="Q426" s="21" t="n">
        <f aca="false">Q$5*4_Normalizacion!Q424</f>
        <v>0.00285926571798898</v>
      </c>
    </row>
    <row r="427" customFormat="false" ht="15" hidden="false" customHeight="false" outlineLevel="0" collapsed="false">
      <c r="A427" s="15" t="n">
        <f aca="false">4_Normalizacion!A425</f>
        <v>420</v>
      </c>
      <c r="B427" s="16" t="n">
        <f aca="false">4_Normalizacion!B425</f>
        <v>42.217</v>
      </c>
      <c r="C427" s="21" t="n">
        <f aca="false">C$5*4_Normalizacion!C425</f>
        <v>0.00211491006743141</v>
      </c>
      <c r="D427" s="21" t="n">
        <f aca="false">D$5*4_Normalizacion!D425</f>
        <v>0.00016434498190068</v>
      </c>
      <c r="E427" s="21" t="n">
        <f aca="false">E$5*4_Normalizacion!E425</f>
        <v>0.00185693905364827</v>
      </c>
      <c r="F427" s="21" t="n">
        <f aca="false">F$5*4_Normalizacion!F425</f>
        <v>0.000807018697041519</v>
      </c>
      <c r="G427" s="21" t="n">
        <f aca="false">G$5*4_Normalizacion!G425</f>
        <v>0.000280339284607229</v>
      </c>
      <c r="H427" s="21" t="n">
        <f aca="false">H$5*4_Normalizacion!H425</f>
        <v>0.00339509178766152</v>
      </c>
      <c r="I427" s="21" t="n">
        <f aca="false">I$5*4_Normalizacion!I425</f>
        <v>0.00843260476260438</v>
      </c>
      <c r="J427" s="21" t="n">
        <f aca="false">J$5*4_Normalizacion!J425</f>
        <v>0.000255567041403239</v>
      </c>
      <c r="K427" s="21" t="n">
        <f aca="false">K$5*4_Normalizacion!K425</f>
        <v>3.90133374367575E-005</v>
      </c>
      <c r="L427" s="21" t="n">
        <f aca="false">L$5*4_Normalizacion!L425</f>
        <v>0.00142944792543527</v>
      </c>
      <c r="M427" s="21" t="n">
        <f aca="false">M$5*4_Normalizacion!M425</f>
        <v>0.000783890338539076</v>
      </c>
      <c r="N427" s="21" t="n">
        <f aca="false">N$5*4_Normalizacion!N425</f>
        <v>0.0075989803262918</v>
      </c>
      <c r="O427" s="21" t="n">
        <f aca="false">O$5*4_Normalizacion!O425</f>
        <v>0.00200587264654955</v>
      </c>
      <c r="P427" s="21" t="n">
        <f aca="false">P$5*4_Normalizacion!P425</f>
        <v>0.00135841219936972</v>
      </c>
      <c r="Q427" s="21" t="n">
        <f aca="false">Q$5*4_Normalizacion!Q425</f>
        <v>0.00285926571798898</v>
      </c>
    </row>
    <row r="428" customFormat="false" ht="15" hidden="false" customHeight="false" outlineLevel="0" collapsed="false">
      <c r="A428" s="15" t="n">
        <f aca="false">4_Normalizacion!A426</f>
        <v>421</v>
      </c>
      <c r="B428" s="16" t="n">
        <f aca="false">4_Normalizacion!B426</f>
        <v>42.317</v>
      </c>
      <c r="C428" s="21" t="n">
        <f aca="false">C$5*4_Normalizacion!C426</f>
        <v>0.00211491006743141</v>
      </c>
      <c r="D428" s="21" t="n">
        <f aca="false">D$5*4_Normalizacion!D426</f>
        <v>0.00016434498190068</v>
      </c>
      <c r="E428" s="21" t="n">
        <f aca="false">E$5*4_Normalizacion!E426</f>
        <v>0.00232117381706033</v>
      </c>
      <c r="F428" s="21" t="n">
        <f aca="false">F$5*4_Normalizacion!F426</f>
        <v>0.000807018697041519</v>
      </c>
      <c r="G428" s="21" t="n">
        <f aca="false">G$5*4_Normalizacion!G426</f>
        <v>0.000280339284607229</v>
      </c>
      <c r="H428" s="21" t="n">
        <f aca="false">H$5*4_Normalizacion!H426</f>
        <v>0.00339509178766152</v>
      </c>
      <c r="I428" s="21" t="n">
        <f aca="false">I$5*4_Normalizacion!I426</f>
        <v>0.00843260476260438</v>
      </c>
      <c r="J428" s="21" t="n">
        <f aca="false">J$5*4_Normalizacion!J426</f>
        <v>0.000255567041403239</v>
      </c>
      <c r="K428" s="21" t="n">
        <f aca="false">K$5*4_Normalizacion!K426</f>
        <v>3.90133374367575E-005</v>
      </c>
      <c r="L428" s="21" t="n">
        <f aca="false">L$5*4_Normalizacion!L426</f>
        <v>0.00148460024805817</v>
      </c>
      <c r="M428" s="21" t="n">
        <f aca="false">M$5*4_Normalizacion!M426</f>
        <v>0.000775834548498754</v>
      </c>
      <c r="N428" s="21" t="n">
        <f aca="false">N$5*4_Normalizacion!N426</f>
        <v>0.0075989803262918</v>
      </c>
      <c r="O428" s="21" t="n">
        <f aca="false">O$5*4_Normalizacion!O426</f>
        <v>0.00200587264654955</v>
      </c>
      <c r="P428" s="21" t="n">
        <f aca="false">P$5*4_Normalizacion!P426</f>
        <v>0.00135841219936972</v>
      </c>
      <c r="Q428" s="21" t="n">
        <f aca="false">Q$5*4_Normalizacion!Q426</f>
        <v>0.00285926571798898</v>
      </c>
    </row>
    <row r="429" customFormat="false" ht="15" hidden="false" customHeight="false" outlineLevel="0" collapsed="false">
      <c r="A429" s="15" t="n">
        <f aca="false">4_Normalizacion!A427</f>
        <v>422</v>
      </c>
      <c r="B429" s="16" t="n">
        <f aca="false">4_Normalizacion!B427</f>
        <v>42.417</v>
      </c>
      <c r="C429" s="21" t="n">
        <f aca="false">C$5*4_Normalizacion!C427</f>
        <v>0.00211491006743141</v>
      </c>
      <c r="D429" s="21" t="n">
        <f aca="false">D$5*4_Normalizacion!D427</f>
        <v>0.00016434498190068</v>
      </c>
      <c r="E429" s="21" t="n">
        <f aca="false">E$5*4_Normalizacion!E427</f>
        <v>0.00185693905364827</v>
      </c>
      <c r="F429" s="21" t="n">
        <f aca="false">F$5*4_Normalizacion!F427</f>
        <v>0.000807018697041519</v>
      </c>
      <c r="G429" s="21" t="n">
        <f aca="false">G$5*4_Normalizacion!G427</f>
        <v>0.000280339284607229</v>
      </c>
      <c r="H429" s="21" t="n">
        <f aca="false">H$5*4_Normalizacion!H427</f>
        <v>0.00339509178766152</v>
      </c>
      <c r="I429" s="21" t="n">
        <f aca="false">I$5*4_Normalizacion!I427</f>
        <v>0.00843260476260438</v>
      </c>
      <c r="J429" s="21" t="n">
        <f aca="false">J$5*4_Normalizacion!J427</f>
        <v>0.000255567041403239</v>
      </c>
      <c r="K429" s="21" t="n">
        <f aca="false">K$5*4_Normalizacion!K427</f>
        <v>3.90133374367575E-005</v>
      </c>
      <c r="L429" s="21" t="n">
        <f aca="false">L$5*4_Normalizacion!L427</f>
        <v>0.00146103516475566</v>
      </c>
      <c r="M429" s="21" t="n">
        <f aca="false">M$5*4_Normalizacion!M427</f>
        <v>0.000821484025393915</v>
      </c>
      <c r="N429" s="21" t="n">
        <f aca="false">N$5*4_Normalizacion!N427</f>
        <v>0.0075989803262918</v>
      </c>
      <c r="O429" s="21" t="n">
        <f aca="false">O$5*4_Normalizacion!O427</f>
        <v>0.00200587264654955</v>
      </c>
      <c r="P429" s="21" t="n">
        <f aca="false">P$5*4_Normalizacion!P427</f>
        <v>0.00135841219936972</v>
      </c>
      <c r="Q429" s="21" t="n">
        <f aca="false">Q$5*4_Normalizacion!Q427</f>
        <v>0.00285926571798898</v>
      </c>
    </row>
    <row r="430" customFormat="false" ht="15" hidden="false" customHeight="false" outlineLevel="0" collapsed="false">
      <c r="A430" s="15" t="n">
        <f aca="false">4_Normalizacion!A428</f>
        <v>423</v>
      </c>
      <c r="B430" s="16" t="n">
        <f aca="false">4_Normalizacion!B428</f>
        <v>42.517</v>
      </c>
      <c r="C430" s="21" t="n">
        <f aca="false">C$5*4_Normalizacion!C428</f>
        <v>0.00211491006743141</v>
      </c>
      <c r="D430" s="21" t="n">
        <f aca="false">D$5*4_Normalizacion!D428</f>
        <v>0.00016434498190068</v>
      </c>
      <c r="E430" s="21" t="n">
        <f aca="false">E$5*4_Normalizacion!E428</f>
        <v>0.00185693905364827</v>
      </c>
      <c r="F430" s="21" t="n">
        <f aca="false">F$5*4_Normalizacion!F428</f>
        <v>0.000807018697041519</v>
      </c>
      <c r="G430" s="21" t="n">
        <f aca="false">G$5*4_Normalizacion!G428</f>
        <v>0.000280339284607229</v>
      </c>
      <c r="H430" s="21" t="n">
        <f aca="false">H$5*4_Normalizacion!H428</f>
        <v>0.00339509178766152</v>
      </c>
      <c r="I430" s="21" t="n">
        <f aca="false">I$5*4_Normalizacion!I428</f>
        <v>0.00843260476260438</v>
      </c>
      <c r="J430" s="21" t="n">
        <f aca="false">J$5*4_Normalizacion!J428</f>
        <v>0.000255567041403239</v>
      </c>
      <c r="K430" s="21" t="n">
        <f aca="false">K$5*4_Normalizacion!K428</f>
        <v>3.90133374367575E-005</v>
      </c>
      <c r="L430" s="21" t="n">
        <f aca="false">L$5*4_Normalizacion!L428</f>
        <v>0.0015262151824009</v>
      </c>
      <c r="M430" s="21" t="n">
        <f aca="false">M$5*4_Normalizacion!M428</f>
        <v>0.000815700381262401</v>
      </c>
      <c r="N430" s="21" t="n">
        <f aca="false">N$5*4_Normalizacion!N428</f>
        <v>0.0075989803262918</v>
      </c>
      <c r="O430" s="21" t="n">
        <f aca="false">O$5*4_Normalizacion!O428</f>
        <v>0.00200587264654955</v>
      </c>
      <c r="P430" s="21" t="n">
        <f aca="false">P$5*4_Normalizacion!P428</f>
        <v>0.00135841219936972</v>
      </c>
      <c r="Q430" s="21" t="n">
        <f aca="false">Q$5*4_Normalizacion!Q428</f>
        <v>0.00285926571798898</v>
      </c>
    </row>
    <row r="431" customFormat="false" ht="15" hidden="false" customHeight="false" outlineLevel="0" collapsed="false">
      <c r="A431" s="15" t="n">
        <f aca="false">4_Normalizacion!A429</f>
        <v>424</v>
      </c>
      <c r="B431" s="16" t="n">
        <f aca="false">4_Normalizacion!B429</f>
        <v>42.617</v>
      </c>
      <c r="C431" s="21" t="n">
        <f aca="false">C$5*4_Normalizacion!C429</f>
        <v>0.00211491006743141</v>
      </c>
      <c r="D431" s="21" t="n">
        <f aca="false">D$5*4_Normalizacion!D429</f>
        <v>0.00016434498190068</v>
      </c>
      <c r="E431" s="21" t="n">
        <f aca="false">E$5*4_Normalizacion!E429</f>
        <v>0.00185693905364827</v>
      </c>
      <c r="F431" s="21" t="n">
        <f aca="false">F$5*4_Normalizacion!F429</f>
        <v>0.00121052804556228</v>
      </c>
      <c r="G431" s="21" t="n">
        <f aca="false">G$5*4_Normalizacion!G429</f>
        <v>0.000280339284607229</v>
      </c>
      <c r="H431" s="21" t="n">
        <f aca="false">H$5*4_Normalizacion!H429</f>
        <v>0.00339509178766152</v>
      </c>
      <c r="I431" s="21" t="n">
        <f aca="false">I$5*4_Normalizacion!I429</f>
        <v>0.00843260476260438</v>
      </c>
      <c r="J431" s="21" t="n">
        <f aca="false">J$5*4_Normalizacion!J429</f>
        <v>0.000255567041403239</v>
      </c>
      <c r="K431" s="21" t="n">
        <f aca="false">K$5*4_Normalizacion!K429</f>
        <v>3.90133374367575E-005</v>
      </c>
      <c r="L431" s="21" t="n">
        <f aca="false">L$5*4_Normalizacion!L429</f>
        <v>0.00154326226393889</v>
      </c>
      <c r="M431" s="21" t="n">
        <f aca="false">M$5*4_Normalizacion!M429</f>
        <v>0.000806198680189201</v>
      </c>
      <c r="N431" s="21" t="n">
        <f aca="false">N$5*4_Normalizacion!N429</f>
        <v>0.0075989803262918</v>
      </c>
      <c r="O431" s="21" t="n">
        <f aca="false">O$5*4_Normalizacion!O429</f>
        <v>0.00200587264654955</v>
      </c>
      <c r="P431" s="21" t="n">
        <f aca="false">P$5*4_Normalizacion!P429</f>
        <v>0.00135841219936972</v>
      </c>
      <c r="Q431" s="21" t="n">
        <f aca="false">Q$5*4_Normalizacion!Q429</f>
        <v>0.00285926571798898</v>
      </c>
    </row>
    <row r="432" customFormat="false" ht="15" hidden="false" customHeight="false" outlineLevel="0" collapsed="false">
      <c r="A432" s="15" t="n">
        <f aca="false">4_Normalizacion!A430</f>
        <v>425</v>
      </c>
      <c r="B432" s="16" t="n">
        <f aca="false">4_Normalizacion!B430</f>
        <v>42.716</v>
      </c>
      <c r="C432" s="21" t="n">
        <f aca="false">C$5*4_Normalizacion!C430</f>
        <v>0.00211491006743141</v>
      </c>
      <c r="D432" s="21" t="n">
        <f aca="false">D$5*4_Normalizacion!D430</f>
        <v>0.00016434498190068</v>
      </c>
      <c r="E432" s="21" t="n">
        <f aca="false">E$5*4_Normalizacion!E430</f>
        <v>0.00185693905364827</v>
      </c>
      <c r="F432" s="21" t="n">
        <f aca="false">F$5*4_Normalizacion!F430</f>
        <v>0.000807018697041519</v>
      </c>
      <c r="G432" s="21" t="n">
        <f aca="false">G$5*4_Normalizacion!G430</f>
        <v>0.000280339284607229</v>
      </c>
      <c r="H432" s="21" t="n">
        <f aca="false">H$5*4_Normalizacion!H430</f>
        <v>0.00339509178766152</v>
      </c>
      <c r="I432" s="21" t="n">
        <f aca="false">I$5*4_Normalizacion!I430</f>
        <v>0.00843260476260438</v>
      </c>
      <c r="J432" s="21" t="n">
        <f aca="false">J$5*4_Normalizacion!J430</f>
        <v>0.000255567041403239</v>
      </c>
      <c r="K432" s="21" t="n">
        <f aca="false">K$5*4_Normalizacion!K430</f>
        <v>3.90133374367575E-005</v>
      </c>
      <c r="L432" s="21" t="n">
        <f aca="false">L$5*4_Normalizacion!L430</f>
        <v>0.00153072764516095</v>
      </c>
      <c r="M432" s="21" t="n">
        <f aca="false">M$5*4_Normalizacion!M430</f>
        <v>0.000789467423951608</v>
      </c>
      <c r="N432" s="21" t="n">
        <f aca="false">N$5*4_Normalizacion!N430</f>
        <v>0.0075989803262918</v>
      </c>
      <c r="O432" s="21" t="n">
        <f aca="false">O$5*4_Normalizacion!O430</f>
        <v>0.00200587264654955</v>
      </c>
      <c r="P432" s="21" t="n">
        <f aca="false">P$5*4_Normalizacion!P430</f>
        <v>0.00271682439873943</v>
      </c>
      <c r="Q432" s="21" t="n">
        <f aca="false">Q$5*4_Normalizacion!Q430</f>
        <v>0.00285926571798898</v>
      </c>
    </row>
    <row r="433" customFormat="false" ht="15" hidden="false" customHeight="false" outlineLevel="0" collapsed="false">
      <c r="A433" s="15" t="n">
        <f aca="false">4_Normalizacion!A431</f>
        <v>426</v>
      </c>
      <c r="B433" s="16" t="n">
        <f aca="false">4_Normalizacion!B431</f>
        <v>42.816</v>
      </c>
      <c r="C433" s="21" t="n">
        <f aca="false">C$5*4_Normalizacion!C431</f>
        <v>0.00211491006743141</v>
      </c>
      <c r="D433" s="21" t="n">
        <f aca="false">D$5*4_Normalizacion!D431</f>
        <v>0.00016434498190068</v>
      </c>
      <c r="E433" s="21" t="n">
        <f aca="false">E$5*4_Normalizacion!E431</f>
        <v>0.00232117381706033</v>
      </c>
      <c r="F433" s="21" t="n">
        <f aca="false">F$5*4_Normalizacion!F431</f>
        <v>0.000807018697041519</v>
      </c>
      <c r="G433" s="21" t="n">
        <f aca="false">G$5*4_Normalizacion!G431</f>
        <v>0.000280339284607229</v>
      </c>
      <c r="H433" s="21" t="n">
        <f aca="false">H$5*4_Normalizacion!H431</f>
        <v>0.00339509178766152</v>
      </c>
      <c r="I433" s="21" t="n">
        <f aca="false">I$5*4_Normalizacion!I431</f>
        <v>0.0140543412710073</v>
      </c>
      <c r="J433" s="21" t="n">
        <f aca="false">J$5*4_Normalizacion!J431</f>
        <v>0.000255567041403239</v>
      </c>
      <c r="K433" s="21" t="n">
        <f aca="false">K$5*4_Normalizacion!K431</f>
        <v>3.90133374367575E-005</v>
      </c>
      <c r="L433" s="21" t="n">
        <f aca="false">L$5*4_Normalizacion!L431</f>
        <v>0.00151518471787632</v>
      </c>
      <c r="M433" s="21" t="n">
        <f aca="false">M$5*4_Normalizacion!M431</f>
        <v>0.000786162484447885</v>
      </c>
      <c r="N433" s="21" t="n">
        <f aca="false">N$5*4_Normalizacion!N431</f>
        <v>0.0075989803262918</v>
      </c>
      <c r="O433" s="21" t="n">
        <f aca="false">O$5*4_Normalizacion!O431</f>
        <v>0.00200587264654955</v>
      </c>
      <c r="P433" s="21" t="n">
        <f aca="false">P$5*4_Normalizacion!P431</f>
        <v>0.00271682439873943</v>
      </c>
      <c r="Q433" s="21" t="n">
        <f aca="false">Q$5*4_Normalizacion!Q431</f>
        <v>0.00285926571798898</v>
      </c>
    </row>
    <row r="434" customFormat="false" ht="15" hidden="false" customHeight="false" outlineLevel="0" collapsed="false">
      <c r="A434" s="15" t="n">
        <f aca="false">4_Normalizacion!A432</f>
        <v>427</v>
      </c>
      <c r="B434" s="16" t="n">
        <f aca="false">4_Normalizacion!B432</f>
        <v>42.915</v>
      </c>
      <c r="C434" s="21" t="n">
        <f aca="false">C$5*4_Normalizacion!C432</f>
        <v>0.00211491006743141</v>
      </c>
      <c r="D434" s="21" t="n">
        <f aca="false">D$5*4_Normalizacion!D432</f>
        <v>0.00016434498190068</v>
      </c>
      <c r="E434" s="21" t="n">
        <f aca="false">E$5*4_Normalizacion!E432</f>
        <v>0.00232117381706033</v>
      </c>
      <c r="F434" s="21" t="n">
        <f aca="false">F$5*4_Normalizacion!F432</f>
        <v>0.00121052804556228</v>
      </c>
      <c r="G434" s="21" t="n">
        <f aca="false">G$5*4_Normalizacion!G432</f>
        <v>0.000280339284607229</v>
      </c>
      <c r="H434" s="21" t="n">
        <f aca="false">H$5*4_Normalizacion!H432</f>
        <v>0.00339509178766152</v>
      </c>
      <c r="I434" s="21" t="n">
        <f aca="false">I$5*4_Normalizacion!I432</f>
        <v>0.0140543412710073</v>
      </c>
      <c r="J434" s="21" t="n">
        <f aca="false">J$5*4_Normalizacion!J432</f>
        <v>0.000255567041403239</v>
      </c>
      <c r="K434" s="21" t="n">
        <f aca="false">K$5*4_Normalizacion!K432</f>
        <v>3.90133374367575E-005</v>
      </c>
      <c r="L434" s="21" t="n">
        <f aca="false">L$5*4_Normalizacion!L432</f>
        <v>0.00146253931900901</v>
      </c>
      <c r="M434" s="21" t="n">
        <f aca="false">M$5*4_Normalizacion!M432</f>
        <v>0.000750427826063891</v>
      </c>
      <c r="N434" s="21" t="n">
        <f aca="false">N$5*4_Normalizacion!N432</f>
        <v>0.0075989803262918</v>
      </c>
      <c r="O434" s="21" t="n">
        <f aca="false">O$5*4_Normalizacion!O432</f>
        <v>0.00200587264654955</v>
      </c>
      <c r="P434" s="21" t="n">
        <f aca="false">P$5*4_Normalizacion!P432</f>
        <v>0.00271682439873943</v>
      </c>
      <c r="Q434" s="21" t="n">
        <f aca="false">Q$5*4_Normalizacion!Q432</f>
        <v>0.00285926571798898</v>
      </c>
    </row>
    <row r="435" customFormat="false" ht="15" hidden="false" customHeight="false" outlineLevel="0" collapsed="false">
      <c r="A435" s="15" t="n">
        <f aca="false">4_Normalizacion!A433</f>
        <v>428</v>
      </c>
      <c r="B435" s="16" t="n">
        <f aca="false">4_Normalizacion!B433</f>
        <v>43.014</v>
      </c>
      <c r="C435" s="21" t="n">
        <f aca="false">C$5*4_Normalizacion!C433</f>
        <v>0.00211491006743141</v>
      </c>
      <c r="D435" s="21" t="n">
        <f aca="false">D$5*4_Normalizacion!D433</f>
        <v>0.00016434498190068</v>
      </c>
      <c r="E435" s="21" t="n">
        <f aca="false">E$5*4_Normalizacion!E433</f>
        <v>0.00232117381706033</v>
      </c>
      <c r="F435" s="21" t="n">
        <f aca="false">F$5*4_Normalizacion!F433</f>
        <v>0.000807018697041519</v>
      </c>
      <c r="G435" s="21" t="n">
        <f aca="false">G$5*4_Normalizacion!G433</f>
        <v>0.000280339284607229</v>
      </c>
      <c r="H435" s="21" t="n">
        <f aca="false">H$5*4_Normalizacion!H433</f>
        <v>0.00339509178766152</v>
      </c>
      <c r="I435" s="21" t="n">
        <f aca="false">I$5*4_Normalizacion!I433</f>
        <v>0.0112434730168058</v>
      </c>
      <c r="J435" s="21" t="n">
        <f aca="false">J$5*4_Normalizacion!J433</f>
        <v>0.000255567041403239</v>
      </c>
      <c r="K435" s="21" t="n">
        <f aca="false">K$5*4_Normalizacion!K433</f>
        <v>3.90133374367575E-005</v>
      </c>
      <c r="L435" s="21" t="n">
        <f aca="false">L$5*4_Normalizacion!L433</f>
        <v>0.00148460024805817</v>
      </c>
      <c r="M435" s="21" t="n">
        <f aca="false">M$5*4_Normalizacion!M433</f>
        <v>0.00069692911784739</v>
      </c>
      <c r="N435" s="21" t="n">
        <f aca="false">N$5*4_Normalizacion!N433</f>
        <v>0.0075989803262918</v>
      </c>
      <c r="O435" s="21" t="n">
        <f aca="false">O$5*4_Normalizacion!O433</f>
        <v>0.00200587264654955</v>
      </c>
      <c r="P435" s="21" t="n">
        <f aca="false">P$5*4_Normalizacion!P433</f>
        <v>0.00271682439873943</v>
      </c>
      <c r="Q435" s="21" t="n">
        <f aca="false">Q$5*4_Normalizacion!Q433</f>
        <v>0.00285926571798898</v>
      </c>
    </row>
    <row r="436" customFormat="false" ht="15" hidden="false" customHeight="false" outlineLevel="0" collapsed="false">
      <c r="A436" s="15" t="n">
        <f aca="false">4_Normalizacion!A434</f>
        <v>429</v>
      </c>
      <c r="B436" s="16" t="n">
        <f aca="false">4_Normalizacion!B434</f>
        <v>43.113</v>
      </c>
      <c r="C436" s="21" t="n">
        <f aca="false">C$5*4_Normalizacion!C434</f>
        <v>0.00169192805394512</v>
      </c>
      <c r="D436" s="21" t="n">
        <f aca="false">D$5*4_Normalizacion!D434</f>
        <v>0.00016434498190068</v>
      </c>
      <c r="E436" s="21" t="n">
        <f aca="false">E$5*4_Normalizacion!E434</f>
        <v>0.00232117381706033</v>
      </c>
      <c r="F436" s="21" t="n">
        <f aca="false">F$5*4_Normalizacion!F434</f>
        <v>0.000807018697041519</v>
      </c>
      <c r="G436" s="21" t="n">
        <f aca="false">G$5*4_Normalizacion!G434</f>
        <v>0.000280339284607229</v>
      </c>
      <c r="H436" s="21" t="n">
        <f aca="false">H$5*4_Normalizacion!H434</f>
        <v>0.00339509178766152</v>
      </c>
      <c r="I436" s="21" t="n">
        <f aca="false">I$5*4_Normalizacion!I434</f>
        <v>0.0140543412710073</v>
      </c>
      <c r="J436" s="21" t="n">
        <f aca="false">J$5*4_Normalizacion!J434</f>
        <v>0.000255567041403239</v>
      </c>
      <c r="K436" s="21" t="n">
        <f aca="false">K$5*4_Normalizacion!K434</f>
        <v>3.90133374367575E-005</v>
      </c>
      <c r="L436" s="21" t="n">
        <f aca="false">L$5*4_Normalizacion!L434</f>
        <v>0.00135925406027886</v>
      </c>
      <c r="M436" s="21" t="n">
        <f aca="false">M$5*4_Normalizacion!M434</f>
        <v>0.000689699562682998</v>
      </c>
      <c r="N436" s="21" t="n">
        <f aca="false">N$5*4_Normalizacion!N434</f>
        <v>0.0075989803262918</v>
      </c>
      <c r="O436" s="21" t="n">
        <f aca="false">O$5*4_Normalizacion!O434</f>
        <v>0.00200587264654955</v>
      </c>
      <c r="P436" s="21" t="n">
        <f aca="false">P$5*4_Normalizacion!P434</f>
        <v>0.00271682439873943</v>
      </c>
      <c r="Q436" s="21" t="n">
        <f aca="false">Q$5*4_Normalizacion!Q434</f>
        <v>0.00285926571798898</v>
      </c>
    </row>
    <row r="437" customFormat="false" ht="15" hidden="false" customHeight="false" outlineLevel="0" collapsed="false">
      <c r="A437" s="15" t="n">
        <f aca="false">4_Normalizacion!A435</f>
        <v>430</v>
      </c>
      <c r="B437" s="16" t="n">
        <f aca="false">4_Normalizacion!B435</f>
        <v>43.212</v>
      </c>
      <c r="C437" s="21" t="n">
        <f aca="false">C$5*4_Normalizacion!C435</f>
        <v>0.00211491006743141</v>
      </c>
      <c r="D437" s="21" t="n">
        <f aca="false">D$5*4_Normalizacion!D435</f>
        <v>0.00016434498190068</v>
      </c>
      <c r="E437" s="21" t="n">
        <f aca="false">E$5*4_Normalizacion!E435</f>
        <v>0.00232117381706033</v>
      </c>
      <c r="F437" s="21" t="n">
        <f aca="false">F$5*4_Normalizacion!F435</f>
        <v>0.000807018697041519</v>
      </c>
      <c r="G437" s="21" t="n">
        <f aca="false">G$5*4_Normalizacion!G435</f>
        <v>0.000280339284607229</v>
      </c>
      <c r="H437" s="21" t="n">
        <f aca="false">H$5*4_Normalizacion!H435</f>
        <v>0.00339509178766152</v>
      </c>
      <c r="I437" s="21" t="n">
        <f aca="false">I$5*4_Normalizacion!I435</f>
        <v>0.0112434730168058</v>
      </c>
      <c r="J437" s="21" t="n">
        <f aca="false">J$5*4_Normalizacion!J435</f>
        <v>0.000255567041403239</v>
      </c>
      <c r="K437" s="21" t="n">
        <f aca="false">K$5*4_Normalizacion!K435</f>
        <v>3.90133374367575E-005</v>
      </c>
      <c r="L437" s="21" t="n">
        <f aca="false">L$5*4_Normalizacion!L435</f>
        <v>0.00135022913475875</v>
      </c>
      <c r="M437" s="21" t="n">
        <f aca="false">M$5*4_Normalizacion!M435</f>
        <v>0.000715106285117861</v>
      </c>
      <c r="N437" s="21" t="n">
        <f aca="false">N$5*4_Normalizacion!N435</f>
        <v>0.00607918426103344</v>
      </c>
      <c r="O437" s="21" t="n">
        <f aca="false">O$5*4_Normalizacion!O435</f>
        <v>0.00200587264654955</v>
      </c>
      <c r="P437" s="21" t="n">
        <f aca="false">P$5*4_Normalizacion!P435</f>
        <v>0.00271682439873943</v>
      </c>
      <c r="Q437" s="21" t="n">
        <f aca="false">Q$5*4_Normalizacion!Q435</f>
        <v>0.00285926571798898</v>
      </c>
    </row>
    <row r="438" customFormat="false" ht="15" hidden="false" customHeight="false" outlineLevel="0" collapsed="false">
      <c r="A438" s="15" t="n">
        <f aca="false">4_Normalizacion!A436</f>
        <v>431</v>
      </c>
      <c r="B438" s="16" t="n">
        <f aca="false">4_Normalizacion!B436</f>
        <v>43.311</v>
      </c>
      <c r="C438" s="21" t="n">
        <f aca="false">C$5*4_Normalizacion!C436</f>
        <v>0.00211491006743141</v>
      </c>
      <c r="D438" s="21" t="n">
        <f aca="false">D$5*4_Normalizacion!D436</f>
        <v>0.00016434498190068</v>
      </c>
      <c r="E438" s="21" t="n">
        <f aca="false">E$5*4_Normalizacion!E436</f>
        <v>0.00232117381706033</v>
      </c>
      <c r="F438" s="21" t="n">
        <f aca="false">F$5*4_Normalizacion!F436</f>
        <v>0.000807018697041519</v>
      </c>
      <c r="G438" s="21" t="n">
        <f aca="false">G$5*4_Normalizacion!G436</f>
        <v>0.000280339284607229</v>
      </c>
      <c r="H438" s="21" t="n">
        <f aca="false">H$5*4_Normalizacion!H436</f>
        <v>0.00339509178766152</v>
      </c>
      <c r="I438" s="21" t="n">
        <f aca="false">I$5*4_Normalizacion!I436</f>
        <v>0.0112434730168058</v>
      </c>
      <c r="J438" s="21" t="n">
        <f aca="false">J$5*4_Normalizacion!J436</f>
        <v>0.000255567041403239</v>
      </c>
      <c r="K438" s="21" t="n">
        <f aca="false">K$5*4_Normalizacion!K436</f>
        <v>3.90133374367575E-005</v>
      </c>
      <c r="L438" s="21" t="n">
        <f aca="false">L$5*4_Normalizacion!L436</f>
        <v>0.0013371931312297</v>
      </c>
      <c r="M438" s="21" t="n">
        <f aca="false">M$5*4_Normalizacion!M436</f>
        <v>0.000720063694373444</v>
      </c>
      <c r="N438" s="21" t="n">
        <f aca="false">N$5*4_Normalizacion!N436</f>
        <v>0.00607918426103344</v>
      </c>
      <c r="O438" s="21" t="n">
        <f aca="false">O$5*4_Normalizacion!O436</f>
        <v>0.00200587264654955</v>
      </c>
      <c r="P438" s="21" t="n">
        <f aca="false">P$5*4_Normalizacion!P436</f>
        <v>0.00271682439873943</v>
      </c>
      <c r="Q438" s="21" t="n">
        <f aca="false">Q$5*4_Normalizacion!Q436</f>
        <v>0.00285926571798898</v>
      </c>
    </row>
    <row r="439" customFormat="false" ht="15" hidden="false" customHeight="false" outlineLevel="0" collapsed="false">
      <c r="A439" s="15" t="n">
        <f aca="false">4_Normalizacion!A437</f>
        <v>432</v>
      </c>
      <c r="B439" s="16" t="n">
        <f aca="false">4_Normalizacion!B437</f>
        <v>43.41</v>
      </c>
      <c r="C439" s="21" t="n">
        <f aca="false">C$5*4_Normalizacion!C437</f>
        <v>0.00211491006743141</v>
      </c>
      <c r="D439" s="21" t="n">
        <f aca="false">D$5*4_Normalizacion!D437</f>
        <v>0.00016434498190068</v>
      </c>
      <c r="E439" s="21" t="n">
        <f aca="false">E$5*4_Normalizacion!E437</f>
        <v>0.00232117381706033</v>
      </c>
      <c r="F439" s="21" t="n">
        <f aca="false">F$5*4_Normalizacion!F437</f>
        <v>0.000807018697041519</v>
      </c>
      <c r="G439" s="21" t="n">
        <f aca="false">G$5*4_Normalizacion!G437</f>
        <v>0.000280339284607229</v>
      </c>
      <c r="H439" s="21" t="n">
        <f aca="false">H$5*4_Normalizacion!H437</f>
        <v>0.00339509178766152</v>
      </c>
      <c r="I439" s="21" t="n">
        <f aca="false">I$5*4_Normalizacion!I437</f>
        <v>0.0112434730168058</v>
      </c>
      <c r="J439" s="21" t="n">
        <f aca="false">J$5*4_Normalizacion!J437</f>
        <v>0.000255567041403239</v>
      </c>
      <c r="K439" s="21" t="n">
        <f aca="false">K$5*4_Normalizacion!K437</f>
        <v>3.90133374367575E-005</v>
      </c>
      <c r="L439" s="21" t="n">
        <f aca="false">L$5*4_Normalizacion!L437</f>
        <v>0.00133318205322076</v>
      </c>
      <c r="M439" s="21" t="n">
        <f aca="false">M$5*4_Normalizacion!M437</f>
        <v>0.000767778758458432</v>
      </c>
      <c r="N439" s="21" t="n">
        <f aca="false">N$5*4_Normalizacion!N437</f>
        <v>0.00607918426103344</v>
      </c>
      <c r="O439" s="21" t="n">
        <f aca="false">O$5*4_Normalizacion!O437</f>
        <v>0.00200587264654955</v>
      </c>
      <c r="P439" s="21" t="n">
        <f aca="false">P$5*4_Normalizacion!P437</f>
        <v>0.00271682439873943</v>
      </c>
      <c r="Q439" s="21" t="n">
        <f aca="false">Q$5*4_Normalizacion!Q437</f>
        <v>0.00571853143597797</v>
      </c>
    </row>
    <row r="440" customFormat="false" ht="15" hidden="false" customHeight="false" outlineLevel="0" collapsed="false">
      <c r="A440" s="15" t="n">
        <f aca="false">4_Normalizacion!A438</f>
        <v>433</v>
      </c>
      <c r="B440" s="16" t="n">
        <f aca="false">4_Normalizacion!B438</f>
        <v>43.51</v>
      </c>
      <c r="C440" s="21" t="n">
        <f aca="false">C$5*4_Normalizacion!C438</f>
        <v>0.00211491006743141</v>
      </c>
      <c r="D440" s="21" t="n">
        <f aca="false">D$5*4_Normalizacion!D438</f>
        <v>0.00016434498190068</v>
      </c>
      <c r="E440" s="21" t="n">
        <f aca="false">E$5*4_Normalizacion!E438</f>
        <v>0.00232117381706033</v>
      </c>
      <c r="F440" s="21" t="n">
        <f aca="false">F$5*4_Normalizacion!F438</f>
        <v>0.000807018697041519</v>
      </c>
      <c r="G440" s="21" t="n">
        <f aca="false">G$5*4_Normalizacion!G438</f>
        <v>0.000280339284607229</v>
      </c>
      <c r="H440" s="21" t="n">
        <f aca="false">H$5*4_Normalizacion!H438</f>
        <v>0.00339509178766152</v>
      </c>
      <c r="I440" s="21" t="n">
        <f aca="false">I$5*4_Normalizacion!I438</f>
        <v>0.0140543412710073</v>
      </c>
      <c r="J440" s="21" t="n">
        <f aca="false">J$5*4_Normalizacion!J438</f>
        <v>0.000255567041403239</v>
      </c>
      <c r="K440" s="21" t="n">
        <f aca="false">K$5*4_Normalizacion!K438</f>
        <v>3.90133374367575E-005</v>
      </c>
      <c r="L440" s="21" t="n">
        <f aca="false">L$5*4_Normalizacion!L438</f>
        <v>0.00116471677684536</v>
      </c>
      <c r="M440" s="21" t="n">
        <f aca="false">M$5*4_Normalizacion!M438</f>
        <v>0.000796490420397017</v>
      </c>
      <c r="N440" s="21" t="n">
        <f aca="false">N$5*4_Normalizacion!N438</f>
        <v>0.00607918426103344</v>
      </c>
      <c r="O440" s="21" t="n">
        <f aca="false">O$5*4_Normalizacion!O438</f>
        <v>0.00200587264654955</v>
      </c>
      <c r="P440" s="21" t="n">
        <f aca="false">P$5*4_Normalizacion!P438</f>
        <v>0.00271682439873943</v>
      </c>
      <c r="Q440" s="21" t="n">
        <f aca="false">Q$5*4_Normalizacion!Q438</f>
        <v>0.00285926571798898</v>
      </c>
    </row>
    <row r="441" customFormat="false" ht="15" hidden="false" customHeight="false" outlineLevel="0" collapsed="false">
      <c r="A441" s="15" t="n">
        <f aca="false">4_Normalizacion!A439</f>
        <v>434</v>
      </c>
      <c r="B441" s="16" t="n">
        <f aca="false">4_Normalizacion!B439</f>
        <v>43.609</v>
      </c>
      <c r="C441" s="21" t="n">
        <f aca="false">C$5*4_Normalizacion!C439</f>
        <v>0.00211491006743141</v>
      </c>
      <c r="D441" s="21" t="n">
        <f aca="false">D$5*4_Normalizacion!D439</f>
        <v>0.00016434498190068</v>
      </c>
      <c r="E441" s="21" t="n">
        <f aca="false">E$5*4_Normalizacion!E439</f>
        <v>0.00232117381706033</v>
      </c>
      <c r="F441" s="21" t="n">
        <f aca="false">F$5*4_Normalizacion!F439</f>
        <v>0.00121052804556228</v>
      </c>
      <c r="G441" s="21" t="n">
        <f aca="false">G$5*4_Normalizacion!G439</f>
        <v>0.000280339284607229</v>
      </c>
      <c r="H441" s="21" t="n">
        <f aca="false">H$5*4_Normalizacion!H439</f>
        <v>0.00339509178766152</v>
      </c>
      <c r="I441" s="21" t="n">
        <f aca="false">I$5*4_Normalizacion!I439</f>
        <v>0.0140543412710073</v>
      </c>
      <c r="J441" s="21" t="n">
        <f aca="false">J$5*4_Normalizacion!J439</f>
        <v>0.000255567041403239</v>
      </c>
      <c r="K441" s="21" t="n">
        <f aca="false">K$5*4_Normalizacion!K439</f>
        <v>3.90133374367575E-005</v>
      </c>
      <c r="L441" s="21" t="n">
        <f aca="false">L$5*4_Normalizacion!L439</f>
        <v>0.00128655327136685</v>
      </c>
      <c r="M441" s="21" t="n">
        <f aca="false">M$5*4_Normalizacion!M439</f>
        <v>0.000708909523548382</v>
      </c>
      <c r="N441" s="21" t="n">
        <f aca="false">N$5*4_Normalizacion!N439</f>
        <v>0.00607918426103344</v>
      </c>
      <c r="O441" s="21" t="n">
        <f aca="false">O$5*4_Normalizacion!O439</f>
        <v>0.00200587264654955</v>
      </c>
      <c r="P441" s="21" t="n">
        <f aca="false">P$5*4_Normalizacion!P439</f>
        <v>0.00271682439873943</v>
      </c>
      <c r="Q441" s="21" t="n">
        <f aca="false">Q$5*4_Normalizacion!Q439</f>
        <v>0.00285926571798898</v>
      </c>
    </row>
    <row r="442" customFormat="false" ht="15" hidden="false" customHeight="false" outlineLevel="0" collapsed="false">
      <c r="A442" s="15" t="n">
        <f aca="false">4_Normalizacion!A440</f>
        <v>435</v>
      </c>
      <c r="B442" s="16" t="n">
        <f aca="false">4_Normalizacion!B440</f>
        <v>43.709</v>
      </c>
      <c r="C442" s="21" t="n">
        <f aca="false">C$5*4_Normalizacion!C440</f>
        <v>0.00211491006743141</v>
      </c>
      <c r="D442" s="21" t="n">
        <f aca="false">D$5*4_Normalizacion!D440</f>
        <v>0.00016434498190068</v>
      </c>
      <c r="E442" s="21" t="n">
        <f aca="false">E$5*4_Normalizacion!E440</f>
        <v>0.00232117381706033</v>
      </c>
      <c r="F442" s="21" t="n">
        <f aca="false">F$5*4_Normalizacion!F440</f>
        <v>0.000807018697041519</v>
      </c>
      <c r="G442" s="21" t="n">
        <f aca="false">G$5*4_Normalizacion!G440</f>
        <v>0.000280339284607229</v>
      </c>
      <c r="H442" s="21" t="n">
        <f aca="false">H$5*4_Normalizacion!H440</f>
        <v>0.00339509178766152</v>
      </c>
      <c r="I442" s="21" t="n">
        <f aca="false">I$5*4_Normalizacion!I440</f>
        <v>0.0140543412710073</v>
      </c>
      <c r="J442" s="21" t="n">
        <f aca="false">J$5*4_Normalizacion!J440</f>
        <v>0.000255567041403239</v>
      </c>
      <c r="K442" s="21" t="n">
        <f aca="false">K$5*4_Normalizacion!K440</f>
        <v>3.90133374367575E-005</v>
      </c>
      <c r="L442" s="21" t="n">
        <f aca="false">L$5*4_Normalizacion!L440</f>
        <v>0.00150465563810286</v>
      </c>
      <c r="M442" s="21" t="n">
        <f aca="false">M$5*4_Normalizacion!M440</f>
        <v>0.000593856317075058</v>
      </c>
      <c r="N442" s="21" t="n">
        <f aca="false">N$5*4_Normalizacion!N440</f>
        <v>0.00607918426103344</v>
      </c>
      <c r="O442" s="21" t="n">
        <f aca="false">O$5*4_Normalizacion!O440</f>
        <v>0.00200587264654955</v>
      </c>
      <c r="P442" s="21" t="n">
        <f aca="false">P$5*4_Normalizacion!P440</f>
        <v>0.00271682439873943</v>
      </c>
      <c r="Q442" s="21" t="n">
        <f aca="false">Q$5*4_Normalizacion!Q440</f>
        <v>0.00285926571798898</v>
      </c>
    </row>
    <row r="443" customFormat="false" ht="15" hidden="false" customHeight="false" outlineLevel="0" collapsed="false">
      <c r="A443" s="15" t="n">
        <f aca="false">4_Normalizacion!A441</f>
        <v>436</v>
      </c>
      <c r="B443" s="16" t="n">
        <f aca="false">4_Normalizacion!B441</f>
        <v>43.808</v>
      </c>
      <c r="C443" s="21" t="n">
        <f aca="false">C$5*4_Normalizacion!C441</f>
        <v>0.00211491006743141</v>
      </c>
      <c r="D443" s="21" t="n">
        <f aca="false">D$5*4_Normalizacion!D441</f>
        <v>0.00016434498190068</v>
      </c>
      <c r="E443" s="21" t="n">
        <f aca="false">E$5*4_Normalizacion!E441</f>
        <v>0.00232117381706033</v>
      </c>
      <c r="F443" s="21" t="n">
        <f aca="false">F$5*4_Normalizacion!F441</f>
        <v>0.000807018697041519</v>
      </c>
      <c r="G443" s="21" t="n">
        <f aca="false">G$5*4_Normalizacion!G441</f>
        <v>0.000280339284607229</v>
      </c>
      <c r="H443" s="21" t="n">
        <f aca="false">H$5*4_Normalizacion!H441</f>
        <v>0.00339509178766152</v>
      </c>
      <c r="I443" s="21" t="n">
        <f aca="false">I$5*4_Normalizacion!I441</f>
        <v>0.00843260476260438</v>
      </c>
      <c r="J443" s="21" t="n">
        <f aca="false">J$5*4_Normalizacion!J441</f>
        <v>0.000255567041403239</v>
      </c>
      <c r="K443" s="21" t="n">
        <f aca="false">K$5*4_Normalizacion!K441</f>
        <v>3.90133374367575E-005</v>
      </c>
      <c r="L443" s="21" t="n">
        <f aca="false">L$5*4_Normalizacion!L441</f>
        <v>0.00129557819688697</v>
      </c>
      <c r="M443" s="21" t="n">
        <f aca="false">M$5*4_Normalizacion!M441</f>
        <v>0.000582289028812031</v>
      </c>
      <c r="N443" s="21" t="n">
        <f aca="false">N$5*4_Normalizacion!N441</f>
        <v>0.00607918426103344</v>
      </c>
      <c r="O443" s="21" t="n">
        <f aca="false">O$5*4_Normalizacion!O441</f>
        <v>0.00200587264654955</v>
      </c>
      <c r="P443" s="21" t="n">
        <f aca="false">P$5*4_Normalizacion!P441</f>
        <v>0.00271682439873943</v>
      </c>
      <c r="Q443" s="21" t="n">
        <f aca="false">Q$5*4_Normalizacion!Q441</f>
        <v>0.00285926571798898</v>
      </c>
    </row>
    <row r="444" customFormat="false" ht="15" hidden="false" customHeight="false" outlineLevel="0" collapsed="false">
      <c r="A444" s="15" t="n">
        <f aca="false">4_Normalizacion!A442</f>
        <v>437</v>
      </c>
      <c r="B444" s="16" t="n">
        <f aca="false">4_Normalizacion!B442</f>
        <v>43.908</v>
      </c>
      <c r="C444" s="21" t="n">
        <f aca="false">C$5*4_Normalizacion!C442</f>
        <v>0.00211491006743141</v>
      </c>
      <c r="D444" s="21" t="n">
        <f aca="false">D$5*4_Normalizacion!D442</f>
        <v>0.00016434498190068</v>
      </c>
      <c r="E444" s="21" t="n">
        <f aca="false">E$5*4_Normalizacion!E442</f>
        <v>0.00232117381706033</v>
      </c>
      <c r="F444" s="21" t="n">
        <f aca="false">F$5*4_Normalizacion!F442</f>
        <v>0.00121052804556228</v>
      </c>
      <c r="G444" s="21" t="n">
        <f aca="false">G$5*4_Normalizacion!G442</f>
        <v>0.000280339284607229</v>
      </c>
      <c r="H444" s="21" t="n">
        <f aca="false">H$5*4_Normalizacion!H442</f>
        <v>0.00339509178766152</v>
      </c>
      <c r="I444" s="21" t="n">
        <f aca="false">I$5*4_Normalizacion!I442</f>
        <v>0.00843260476260438</v>
      </c>
      <c r="J444" s="21" t="n">
        <f aca="false">J$5*4_Normalizacion!J442</f>
        <v>0.000255567041403239</v>
      </c>
      <c r="K444" s="21" t="n">
        <f aca="false">K$5*4_Normalizacion!K442</f>
        <v>3.90133374367575E-005</v>
      </c>
      <c r="L444" s="21" t="n">
        <f aca="false">L$5*4_Normalizacion!L442</f>
        <v>0.00110404922196018</v>
      </c>
      <c r="M444" s="21" t="n">
        <f aca="false">M$5*4_Normalizacion!M442</f>
        <v>0.000600672754801485</v>
      </c>
      <c r="N444" s="21" t="n">
        <f aca="false">N$5*4_Normalizacion!N442</f>
        <v>0.00607918426103344</v>
      </c>
      <c r="O444" s="21" t="n">
        <f aca="false">O$5*4_Normalizacion!O442</f>
        <v>0.00200587264654955</v>
      </c>
      <c r="P444" s="21" t="n">
        <f aca="false">P$5*4_Normalizacion!P442</f>
        <v>0.00271682439873943</v>
      </c>
      <c r="Q444" s="21" t="n">
        <f aca="false">Q$5*4_Normalizacion!Q442</f>
        <v>0.00285926571798898</v>
      </c>
    </row>
    <row r="445" customFormat="false" ht="15" hidden="false" customHeight="false" outlineLevel="0" collapsed="false">
      <c r="A445" s="15" t="n">
        <f aca="false">4_Normalizacion!A443</f>
        <v>438</v>
      </c>
      <c r="B445" s="16" t="n">
        <f aca="false">4_Normalizacion!B443</f>
        <v>44.008</v>
      </c>
      <c r="C445" s="21" t="n">
        <f aca="false">C$5*4_Normalizacion!C443</f>
        <v>0.00211491006743141</v>
      </c>
      <c r="D445" s="21" t="n">
        <f aca="false">D$5*4_Normalizacion!D443</f>
        <v>0.00020543122737585</v>
      </c>
      <c r="E445" s="21" t="n">
        <f aca="false">E$5*4_Normalizacion!E443</f>
        <v>0.00232117381706033</v>
      </c>
      <c r="F445" s="21" t="n">
        <f aca="false">F$5*4_Normalizacion!F443</f>
        <v>0.00121052804556228</v>
      </c>
      <c r="G445" s="21" t="n">
        <f aca="false">G$5*4_Normalizacion!G443</f>
        <v>0.000280339284607229</v>
      </c>
      <c r="H445" s="21" t="n">
        <f aca="false">H$5*4_Normalizacion!H443</f>
        <v>0.00339509178766152</v>
      </c>
      <c r="I445" s="21" t="n">
        <f aca="false">I$5*4_Normalizacion!I443</f>
        <v>0.0112434730168058</v>
      </c>
      <c r="J445" s="21" t="n">
        <f aca="false">J$5*4_Normalizacion!J443</f>
        <v>0.000255567041403239</v>
      </c>
      <c r="K445" s="21" t="n">
        <f aca="false">K$5*4_Normalizacion!K443</f>
        <v>3.90133374367575E-005</v>
      </c>
      <c r="L445" s="21" t="n">
        <f aca="false">L$5*4_Normalizacion!L443</f>
        <v>0.00108599937091996</v>
      </c>
      <c r="M445" s="21" t="n">
        <f aca="false">M$5*4_Normalizacion!M443</f>
        <v>0.000527757527000617</v>
      </c>
      <c r="N445" s="21" t="n">
        <f aca="false">N$5*4_Normalizacion!N443</f>
        <v>0.00607918426103344</v>
      </c>
      <c r="O445" s="21" t="n">
        <f aca="false">O$5*4_Normalizacion!O443</f>
        <v>0.00200587264654955</v>
      </c>
      <c r="P445" s="21" t="n">
        <f aca="false">P$5*4_Normalizacion!P443</f>
        <v>0.00271682439873943</v>
      </c>
      <c r="Q445" s="21" t="n">
        <f aca="false">Q$5*4_Normalizacion!Q443</f>
        <v>0.00285926571798898</v>
      </c>
    </row>
    <row r="446" customFormat="false" ht="15" hidden="false" customHeight="false" outlineLevel="0" collapsed="false">
      <c r="A446" s="15" t="n">
        <f aca="false">4_Normalizacion!A444</f>
        <v>439</v>
      </c>
      <c r="B446" s="16" t="n">
        <f aca="false">4_Normalizacion!B444</f>
        <v>44.108</v>
      </c>
      <c r="C446" s="21" t="n">
        <f aca="false">C$5*4_Normalizacion!C444</f>
        <v>0.00211491006743141</v>
      </c>
      <c r="D446" s="21" t="n">
        <f aca="false">D$5*4_Normalizacion!D444</f>
        <v>0.00020543122737585</v>
      </c>
      <c r="E446" s="21" t="n">
        <f aca="false">E$5*4_Normalizacion!E444</f>
        <v>0.00232117381706033</v>
      </c>
      <c r="F446" s="21" t="n">
        <f aca="false">F$5*4_Normalizacion!F444</f>
        <v>0.00121052804556228</v>
      </c>
      <c r="G446" s="21" t="n">
        <f aca="false">G$5*4_Normalizacion!G444</f>
        <v>0.000280339284607229</v>
      </c>
      <c r="H446" s="21" t="n">
        <f aca="false">H$5*4_Normalizacion!H444</f>
        <v>0.00339509178766152</v>
      </c>
      <c r="I446" s="21" t="n">
        <f aca="false">I$5*4_Normalizacion!I444</f>
        <v>0.0112434730168058</v>
      </c>
      <c r="J446" s="21" t="n">
        <f aca="false">J$5*4_Normalizacion!J444</f>
        <v>0.000255567041403239</v>
      </c>
      <c r="K446" s="21" t="n">
        <f aca="false">K$5*4_Normalizacion!K444</f>
        <v>3.90133374367575E-005</v>
      </c>
      <c r="L446" s="21" t="n">
        <f aca="false">L$5*4_Normalizacion!L444</f>
        <v>0.00110505199146241</v>
      </c>
      <c r="M446" s="21" t="n">
        <f aca="false">M$5*4_Normalizacion!M444</f>
        <v>0.000563492185384612</v>
      </c>
      <c r="N446" s="21" t="n">
        <f aca="false">N$5*4_Normalizacion!N444</f>
        <v>0.00607918426103344</v>
      </c>
      <c r="O446" s="21" t="n">
        <f aca="false">O$5*4_Normalizacion!O444</f>
        <v>0.00200587264654955</v>
      </c>
      <c r="P446" s="21" t="n">
        <f aca="false">P$5*4_Normalizacion!P444</f>
        <v>0.00271682439873943</v>
      </c>
      <c r="Q446" s="21" t="n">
        <f aca="false">Q$5*4_Normalizacion!Q444</f>
        <v>0.00285926571798898</v>
      </c>
    </row>
    <row r="447" customFormat="false" ht="15" hidden="false" customHeight="false" outlineLevel="0" collapsed="false">
      <c r="A447" s="15" t="n">
        <f aca="false">4_Normalizacion!A445</f>
        <v>440</v>
      </c>
      <c r="B447" s="16" t="n">
        <f aca="false">4_Normalizacion!B445</f>
        <v>44.208</v>
      </c>
      <c r="C447" s="21" t="n">
        <f aca="false">C$5*4_Normalizacion!C445</f>
        <v>0.00211491006743141</v>
      </c>
      <c r="D447" s="21" t="n">
        <f aca="false">D$5*4_Normalizacion!D445</f>
        <v>0.00020543122737585</v>
      </c>
      <c r="E447" s="21" t="n">
        <f aca="false">E$5*4_Normalizacion!E445</f>
        <v>0.00232117381706033</v>
      </c>
      <c r="F447" s="21" t="n">
        <f aca="false">F$5*4_Normalizacion!F445</f>
        <v>0.000807018697041519</v>
      </c>
      <c r="G447" s="21" t="n">
        <f aca="false">G$5*4_Normalizacion!G445</f>
        <v>0.000280339284607229</v>
      </c>
      <c r="H447" s="21" t="n">
        <f aca="false">H$5*4_Normalizacion!H445</f>
        <v>0.00339509178766152</v>
      </c>
      <c r="I447" s="21" t="n">
        <f aca="false">I$5*4_Normalizacion!I445</f>
        <v>0.0112434730168058</v>
      </c>
      <c r="J447" s="21" t="n">
        <f aca="false">J$5*4_Normalizacion!J445</f>
        <v>0.000255567041403239</v>
      </c>
      <c r="K447" s="21" t="n">
        <f aca="false">K$5*4_Normalizacion!K445</f>
        <v>3.90133374367575E-005</v>
      </c>
      <c r="L447" s="21" t="n">
        <f aca="false">L$5*4_Normalizacion!L445</f>
        <v>0.0010233262770303</v>
      </c>
      <c r="M447" s="21" t="n">
        <f aca="false">M$5*4_Normalizacion!M445</f>
        <v>0.000608521986122825</v>
      </c>
      <c r="N447" s="21" t="n">
        <f aca="false">N$5*4_Normalizacion!N445</f>
        <v>0.00607918426103344</v>
      </c>
      <c r="O447" s="21" t="n">
        <f aca="false">O$5*4_Normalizacion!O445</f>
        <v>0.00200587264654955</v>
      </c>
      <c r="P447" s="21" t="n">
        <f aca="false">P$5*4_Normalizacion!P445</f>
        <v>0.00271682439873943</v>
      </c>
      <c r="Q447" s="21" t="n">
        <f aca="false">Q$5*4_Normalizacion!Q445</f>
        <v>0.00285926571798898</v>
      </c>
    </row>
    <row r="448" customFormat="false" ht="15" hidden="false" customHeight="false" outlineLevel="0" collapsed="false">
      <c r="A448" s="15" t="n">
        <f aca="false">4_Normalizacion!A446</f>
        <v>441</v>
      </c>
      <c r="B448" s="16" t="n">
        <f aca="false">4_Normalizacion!B446</f>
        <v>44.307</v>
      </c>
      <c r="C448" s="21" t="n">
        <f aca="false">C$5*4_Normalizacion!C446</f>
        <v>0.00211491006743141</v>
      </c>
      <c r="D448" s="21" t="n">
        <f aca="false">D$5*4_Normalizacion!D446</f>
        <v>0.00020543122737585</v>
      </c>
      <c r="E448" s="21" t="n">
        <f aca="false">E$5*4_Normalizacion!E446</f>
        <v>0.00232117381706033</v>
      </c>
      <c r="F448" s="21" t="n">
        <f aca="false">F$5*4_Normalizacion!F446</f>
        <v>0.00121052804556228</v>
      </c>
      <c r="G448" s="21" t="n">
        <f aca="false">G$5*4_Normalizacion!G446</f>
        <v>0.000280339284607229</v>
      </c>
      <c r="H448" s="21" t="n">
        <f aca="false">H$5*4_Normalizacion!H446</f>
        <v>0.00339509178766152</v>
      </c>
      <c r="I448" s="21" t="n">
        <f aca="false">I$5*4_Normalizacion!I446</f>
        <v>0.0112434730168058</v>
      </c>
      <c r="J448" s="21" t="n">
        <f aca="false">J$5*4_Normalizacion!J446</f>
        <v>0.000255567041403239</v>
      </c>
      <c r="K448" s="21" t="n">
        <f aca="false">K$5*4_Normalizacion!K446</f>
        <v>3.90133374367575E-005</v>
      </c>
      <c r="L448" s="21" t="n">
        <f aca="false">L$5*4_Normalizacion!L446</f>
        <v>0.00101630689051466</v>
      </c>
      <c r="M448" s="21" t="n">
        <f aca="false">M$5*4_Normalizacion!M446</f>
        <v>0.000687220858055206</v>
      </c>
      <c r="N448" s="21" t="n">
        <f aca="false">N$5*4_Normalizacion!N446</f>
        <v>0.00607918426103344</v>
      </c>
      <c r="O448" s="21" t="n">
        <f aca="false">O$5*4_Normalizacion!O446</f>
        <v>0.00200587264654955</v>
      </c>
      <c r="P448" s="21" t="n">
        <f aca="false">P$5*4_Normalizacion!P446</f>
        <v>0.00271682439873943</v>
      </c>
      <c r="Q448" s="21" t="n">
        <f aca="false">Q$5*4_Normalizacion!Q446</f>
        <v>0.00285926571798898</v>
      </c>
    </row>
    <row r="449" customFormat="false" ht="15" hidden="false" customHeight="false" outlineLevel="0" collapsed="false">
      <c r="A449" s="15" t="n">
        <f aca="false">4_Normalizacion!A447</f>
        <v>442</v>
      </c>
      <c r="B449" s="16" t="n">
        <f aca="false">4_Normalizacion!B447</f>
        <v>44.407</v>
      </c>
      <c r="C449" s="21" t="n">
        <f aca="false">C$5*4_Normalizacion!C447</f>
        <v>0.00169192805394512</v>
      </c>
      <c r="D449" s="21" t="n">
        <f aca="false">D$5*4_Normalizacion!D447</f>
        <v>0.00020543122737585</v>
      </c>
      <c r="E449" s="21" t="n">
        <f aca="false">E$5*4_Normalizacion!E447</f>
        <v>0.00232117381706033</v>
      </c>
      <c r="F449" s="21" t="n">
        <f aca="false">F$5*4_Normalizacion!F447</f>
        <v>0.000807018697041519</v>
      </c>
      <c r="G449" s="21" t="n">
        <f aca="false">G$5*4_Normalizacion!G447</f>
        <v>0.000280339284607229</v>
      </c>
      <c r="H449" s="21" t="n">
        <f aca="false">H$5*4_Normalizacion!H447</f>
        <v>0.00339509178766152</v>
      </c>
      <c r="I449" s="21" t="n">
        <f aca="false">I$5*4_Normalizacion!I447</f>
        <v>0.0140543412710073</v>
      </c>
      <c r="J449" s="21" t="n">
        <f aca="false">J$5*4_Normalizacion!J447</f>
        <v>0.000255567041403239</v>
      </c>
      <c r="K449" s="21" t="n">
        <f aca="false">K$5*4_Normalizacion!K447</f>
        <v>3.90133374367575E-005</v>
      </c>
      <c r="L449" s="21" t="n">
        <f aca="false">L$5*4_Normalizacion!L447</f>
        <v>0.00129708235114032</v>
      </c>
      <c r="M449" s="21" t="n">
        <f aca="false">M$5*4_Normalizacion!M447</f>
        <v>0.000717171872307687</v>
      </c>
      <c r="N449" s="21" t="n">
        <f aca="false">N$5*4_Normalizacion!N447</f>
        <v>0.00607918426103344</v>
      </c>
      <c r="O449" s="21" t="n">
        <f aca="false">O$5*4_Normalizacion!O447</f>
        <v>0.00200587264654955</v>
      </c>
      <c r="P449" s="21" t="n">
        <f aca="false">P$5*4_Normalizacion!P447</f>
        <v>0.00271682439873943</v>
      </c>
      <c r="Q449" s="21" t="n">
        <f aca="false">Q$5*4_Normalizacion!Q447</f>
        <v>0.00285926571798898</v>
      </c>
    </row>
    <row r="450" customFormat="false" ht="15" hidden="false" customHeight="false" outlineLevel="0" collapsed="false">
      <c r="A450" s="15" t="n">
        <f aca="false">4_Normalizacion!A448</f>
        <v>443</v>
      </c>
      <c r="B450" s="16" t="n">
        <f aca="false">4_Normalizacion!B448</f>
        <v>44.506</v>
      </c>
      <c r="C450" s="21" t="n">
        <f aca="false">C$5*4_Normalizacion!C448</f>
        <v>0.00211491006743141</v>
      </c>
      <c r="D450" s="21" t="n">
        <f aca="false">D$5*4_Normalizacion!D448</f>
        <v>0.00020543122737585</v>
      </c>
      <c r="E450" s="21" t="n">
        <f aca="false">E$5*4_Normalizacion!E448</f>
        <v>0.00232117381706033</v>
      </c>
      <c r="F450" s="21" t="n">
        <f aca="false">F$5*4_Normalizacion!F448</f>
        <v>0.00121052804556228</v>
      </c>
      <c r="G450" s="21" t="n">
        <f aca="false">G$5*4_Normalizacion!G448</f>
        <v>0.000280339284607229</v>
      </c>
      <c r="H450" s="21" t="n">
        <f aca="false">H$5*4_Normalizacion!H448</f>
        <v>0.00339509178766152</v>
      </c>
      <c r="I450" s="21" t="n">
        <f aca="false">I$5*4_Normalizacion!I448</f>
        <v>0.0112434730168058</v>
      </c>
      <c r="J450" s="21" t="n">
        <f aca="false">J$5*4_Normalizacion!J448</f>
        <v>0.000255567041403239</v>
      </c>
      <c r="K450" s="21" t="n">
        <f aca="false">K$5*4_Normalizacion!K448</f>
        <v>3.90133374367575E-005</v>
      </c>
      <c r="L450" s="21" t="n">
        <f aca="false">L$5*4_Normalizacion!L448</f>
        <v>0.00132465851245177</v>
      </c>
      <c r="M450" s="21" t="n">
        <f aca="false">M$5*4_Normalizacion!M448</f>
        <v>0.000726673573380888</v>
      </c>
      <c r="N450" s="21" t="n">
        <f aca="false">N$5*4_Normalizacion!N448</f>
        <v>0.00607918426103344</v>
      </c>
      <c r="O450" s="21" t="n">
        <f aca="false">O$5*4_Normalizacion!O448</f>
        <v>0.00200587264654955</v>
      </c>
      <c r="P450" s="21" t="n">
        <f aca="false">P$5*4_Normalizacion!P448</f>
        <v>0.00271682439873943</v>
      </c>
      <c r="Q450" s="21" t="n">
        <f aca="false">Q$5*4_Normalizacion!Q448</f>
        <v>0.00285926571798898</v>
      </c>
    </row>
    <row r="451" customFormat="false" ht="15" hidden="false" customHeight="false" outlineLevel="0" collapsed="false">
      <c r="A451" s="15" t="n">
        <f aca="false">4_Normalizacion!A449</f>
        <v>444</v>
      </c>
      <c r="B451" s="16" t="n">
        <f aca="false">4_Normalizacion!B449</f>
        <v>44.606</v>
      </c>
      <c r="C451" s="21" t="n">
        <f aca="false">C$5*4_Normalizacion!C449</f>
        <v>0.00211491006743141</v>
      </c>
      <c r="D451" s="21" t="n">
        <f aca="false">D$5*4_Normalizacion!D449</f>
        <v>0.00020543122737585</v>
      </c>
      <c r="E451" s="21" t="n">
        <f aca="false">E$5*4_Normalizacion!E449</f>
        <v>0.00232117381706033</v>
      </c>
      <c r="F451" s="21" t="n">
        <f aca="false">F$5*4_Normalizacion!F449</f>
        <v>0.00161403739408304</v>
      </c>
      <c r="G451" s="21" t="n">
        <f aca="false">G$5*4_Normalizacion!G449</f>
        <v>0.000280339284607229</v>
      </c>
      <c r="H451" s="21" t="n">
        <f aca="false">H$5*4_Normalizacion!H449</f>
        <v>0.00339509178766152</v>
      </c>
      <c r="I451" s="21" t="n">
        <f aca="false">I$5*4_Normalizacion!I449</f>
        <v>0.00843260476260438</v>
      </c>
      <c r="J451" s="21" t="n">
        <f aca="false">J$5*4_Normalizacion!J449</f>
        <v>0.000255567041403239</v>
      </c>
      <c r="K451" s="21" t="n">
        <f aca="false">K$5*4_Normalizacion!K449</f>
        <v>3.90133374367575E-005</v>
      </c>
      <c r="L451" s="21" t="n">
        <f aca="false">L$5*4_Normalizacion!L449</f>
        <v>0.00103586089580823</v>
      </c>
      <c r="M451" s="21" t="n">
        <f aca="false">M$5*4_Normalizacion!M449</f>
        <v>0.000746503210403221</v>
      </c>
      <c r="N451" s="21" t="n">
        <f aca="false">N$5*4_Normalizacion!N449</f>
        <v>0.00607918426103344</v>
      </c>
      <c r="O451" s="21" t="n">
        <f aca="false">O$5*4_Normalizacion!O449</f>
        <v>0.00200587264654955</v>
      </c>
      <c r="P451" s="21" t="n">
        <f aca="false">P$5*4_Normalizacion!P449</f>
        <v>0.00271682439873943</v>
      </c>
      <c r="Q451" s="21" t="n">
        <f aca="false">Q$5*4_Normalizacion!Q449</f>
        <v>0.00285926571798898</v>
      </c>
    </row>
    <row r="452" customFormat="false" ht="15" hidden="false" customHeight="false" outlineLevel="0" collapsed="false">
      <c r="A452" s="15" t="n">
        <f aca="false">4_Normalizacion!A450</f>
        <v>445</v>
      </c>
      <c r="B452" s="16" t="n">
        <f aca="false">4_Normalizacion!B450</f>
        <v>44.704</v>
      </c>
      <c r="C452" s="21" t="n">
        <f aca="false">C$5*4_Normalizacion!C450</f>
        <v>0.00211491006743141</v>
      </c>
      <c r="D452" s="21" t="n">
        <f aca="false">D$5*4_Normalizacion!D450</f>
        <v>0.00020543122737585</v>
      </c>
      <c r="E452" s="21" t="n">
        <f aca="false">E$5*4_Normalizacion!E450</f>
        <v>0.00232117381706033</v>
      </c>
      <c r="F452" s="21" t="n">
        <f aca="false">F$5*4_Normalizacion!F450</f>
        <v>0.00121052804556228</v>
      </c>
      <c r="G452" s="21" t="n">
        <f aca="false">G$5*4_Normalizacion!G450</f>
        <v>0.000280339284607229</v>
      </c>
      <c r="H452" s="21" t="n">
        <f aca="false">H$5*4_Normalizacion!H450</f>
        <v>0.00339509178766152</v>
      </c>
      <c r="I452" s="21" t="n">
        <f aca="false">I$5*4_Normalizacion!I450</f>
        <v>0.0140543412710073</v>
      </c>
      <c r="J452" s="21" t="n">
        <f aca="false">J$5*4_Normalizacion!J450</f>
        <v>0.000255567041403239</v>
      </c>
      <c r="K452" s="21" t="n">
        <f aca="false">K$5*4_Normalizacion!K450</f>
        <v>3.90133374367575E-005</v>
      </c>
      <c r="L452" s="21" t="n">
        <f aca="false">L$5*4_Normalizacion!L450</f>
        <v>0.00119580263141463</v>
      </c>
      <c r="M452" s="21" t="n">
        <f aca="false">M$5*4_Normalizacion!M450</f>
        <v>0.000743198270899499</v>
      </c>
      <c r="N452" s="21" t="n">
        <f aca="false">N$5*4_Normalizacion!N450</f>
        <v>0.00607918426103344</v>
      </c>
      <c r="O452" s="21" t="n">
        <f aca="false">O$5*4_Normalizacion!O450</f>
        <v>0.00200587264654955</v>
      </c>
      <c r="P452" s="21" t="n">
        <f aca="false">P$5*4_Normalizacion!P450</f>
        <v>0.00271682439873943</v>
      </c>
      <c r="Q452" s="21" t="n">
        <f aca="false">Q$5*4_Normalizacion!Q450</f>
        <v>0.00285926571798898</v>
      </c>
    </row>
    <row r="453" customFormat="false" ht="15" hidden="false" customHeight="false" outlineLevel="0" collapsed="false">
      <c r="A453" s="15" t="n">
        <f aca="false">4_Normalizacion!A451</f>
        <v>446</v>
      </c>
      <c r="B453" s="16" t="n">
        <f aca="false">4_Normalizacion!B451</f>
        <v>44.803</v>
      </c>
      <c r="C453" s="21" t="n">
        <f aca="false">C$5*4_Normalizacion!C451</f>
        <v>0.00211491006743141</v>
      </c>
      <c r="D453" s="21" t="n">
        <f aca="false">D$5*4_Normalizacion!D451</f>
        <v>0.00020543122737585</v>
      </c>
      <c r="E453" s="21" t="n">
        <f aca="false">E$5*4_Normalizacion!E451</f>
        <v>0.00185693905364827</v>
      </c>
      <c r="F453" s="21" t="n">
        <f aca="false">F$5*4_Normalizacion!F451</f>
        <v>0.00121052804556228</v>
      </c>
      <c r="G453" s="21" t="n">
        <f aca="false">G$5*4_Normalizacion!G451</f>
        <v>0.000280339284607229</v>
      </c>
      <c r="H453" s="21" t="n">
        <f aca="false">H$5*4_Normalizacion!H451</f>
        <v>0.00339509178766152</v>
      </c>
      <c r="I453" s="21" t="n">
        <f aca="false">I$5*4_Normalizacion!I451</f>
        <v>0.00843260476260438</v>
      </c>
      <c r="J453" s="21" t="n">
        <f aca="false">J$5*4_Normalizacion!J451</f>
        <v>0.000255567041403239</v>
      </c>
      <c r="K453" s="21" t="n">
        <f aca="false">K$5*4_Normalizacion!K451</f>
        <v>3.90133374367575E-005</v>
      </c>
      <c r="L453" s="21" t="n">
        <f aca="false">L$5*4_Normalizacion!L451</f>
        <v>0.00125245910829088</v>
      </c>
      <c r="M453" s="21" t="n">
        <f aca="false">M$5*4_Normalizacion!M451</f>
        <v>0.000759103292261161</v>
      </c>
      <c r="N453" s="21" t="n">
        <f aca="false">N$5*4_Normalizacion!N451</f>
        <v>0.00607918426103344</v>
      </c>
      <c r="O453" s="21" t="n">
        <f aca="false">O$5*4_Normalizacion!O451</f>
        <v>0.00200587264654955</v>
      </c>
      <c r="P453" s="21" t="n">
        <f aca="false">P$5*4_Normalizacion!P451</f>
        <v>0.00271682439873943</v>
      </c>
      <c r="Q453" s="21" t="n">
        <f aca="false">Q$5*4_Normalizacion!Q451</f>
        <v>0.00285926571798898</v>
      </c>
    </row>
    <row r="454" customFormat="false" ht="15" hidden="false" customHeight="false" outlineLevel="0" collapsed="false">
      <c r="A454" s="15" t="n">
        <f aca="false">4_Normalizacion!A452</f>
        <v>447</v>
      </c>
      <c r="B454" s="16" t="n">
        <f aca="false">4_Normalizacion!B452</f>
        <v>44.902</v>
      </c>
      <c r="C454" s="21" t="n">
        <f aca="false">C$5*4_Normalizacion!C452</f>
        <v>0.00211491006743141</v>
      </c>
      <c r="D454" s="21" t="n">
        <f aca="false">D$5*4_Normalizacion!D452</f>
        <v>0.00020543122737585</v>
      </c>
      <c r="E454" s="21" t="n">
        <f aca="false">E$5*4_Normalizacion!E452</f>
        <v>0.00185693905364827</v>
      </c>
      <c r="F454" s="21" t="n">
        <f aca="false">F$5*4_Normalizacion!F452</f>
        <v>0.00121052804556228</v>
      </c>
      <c r="G454" s="21" t="n">
        <f aca="false">G$5*4_Normalizacion!G452</f>
        <v>0.000280339284607229</v>
      </c>
      <c r="H454" s="21" t="n">
        <f aca="false">H$5*4_Normalizacion!H452</f>
        <v>0.00339509178766152</v>
      </c>
      <c r="I454" s="21" t="n">
        <f aca="false">I$5*4_Normalizacion!I452</f>
        <v>0.00562173650840292</v>
      </c>
      <c r="J454" s="21" t="n">
        <f aca="false">J$5*4_Normalizacion!J452</f>
        <v>0.000255567041403239</v>
      </c>
      <c r="K454" s="21" t="n">
        <f aca="false">K$5*4_Normalizacion!K452</f>
        <v>3.90133374367575E-005</v>
      </c>
      <c r="L454" s="21" t="n">
        <f aca="false">L$5*4_Normalizacion!L452</f>
        <v>0.00133769451598081</v>
      </c>
      <c r="M454" s="21" t="n">
        <f aca="false">M$5*4_Normalizacion!M452</f>
        <v>0.000797729772710913</v>
      </c>
      <c r="N454" s="21" t="n">
        <f aca="false">N$5*4_Normalizacion!N452</f>
        <v>0.00607918426103344</v>
      </c>
      <c r="O454" s="21" t="n">
        <f aca="false">O$5*4_Normalizacion!O452</f>
        <v>0.00200587264654955</v>
      </c>
      <c r="P454" s="21" t="n">
        <f aca="false">P$5*4_Normalizacion!P452</f>
        <v>0.00271682439873943</v>
      </c>
      <c r="Q454" s="21" t="n">
        <f aca="false">Q$5*4_Normalizacion!Q452</f>
        <v>0.00285926571798898</v>
      </c>
    </row>
    <row r="455" customFormat="false" ht="15" hidden="false" customHeight="false" outlineLevel="0" collapsed="false">
      <c r="A455" s="15" t="n">
        <f aca="false">4_Normalizacion!A453</f>
        <v>448</v>
      </c>
      <c r="B455" s="16" t="n">
        <f aca="false">4_Normalizacion!B453</f>
        <v>45.001</v>
      </c>
      <c r="C455" s="21" t="n">
        <f aca="false">C$5*4_Normalizacion!C453</f>
        <v>0.00211491006743141</v>
      </c>
      <c r="D455" s="21" t="n">
        <f aca="false">D$5*4_Normalizacion!D453</f>
        <v>0.00020543122737585</v>
      </c>
      <c r="E455" s="21" t="n">
        <f aca="false">E$5*4_Normalizacion!E453</f>
        <v>0.00185693905364827</v>
      </c>
      <c r="F455" s="21" t="n">
        <f aca="false">F$5*4_Normalizacion!F453</f>
        <v>0.00121052804556228</v>
      </c>
      <c r="G455" s="21" t="n">
        <f aca="false">G$5*4_Normalizacion!G453</f>
        <v>0.000280339284607229</v>
      </c>
      <c r="H455" s="21" t="n">
        <f aca="false">H$5*4_Normalizacion!H453</f>
        <v>0.00339509178766152</v>
      </c>
      <c r="I455" s="21" t="n">
        <f aca="false">I$5*4_Normalizacion!I453</f>
        <v>0.00843260476260438</v>
      </c>
      <c r="J455" s="21" t="n">
        <f aca="false">J$5*4_Normalizacion!J453</f>
        <v>0.000255567041403239</v>
      </c>
      <c r="K455" s="21" t="n">
        <f aca="false">K$5*4_Normalizacion!K453</f>
        <v>3.90133374367575E-005</v>
      </c>
      <c r="L455" s="21" t="n">
        <f aca="false">L$5*4_Normalizacion!L453</f>
        <v>0.00133217928371852</v>
      </c>
      <c r="M455" s="21" t="n">
        <f aca="false">M$5*4_Normalizacion!M453</f>
        <v>0.000826234875930515</v>
      </c>
      <c r="N455" s="21" t="n">
        <f aca="false">N$5*4_Normalizacion!N453</f>
        <v>0.00607918426103344</v>
      </c>
      <c r="O455" s="21" t="n">
        <f aca="false">O$5*4_Normalizacion!O453</f>
        <v>0.00200587264654955</v>
      </c>
      <c r="P455" s="21" t="n">
        <f aca="false">P$5*4_Normalizacion!P453</f>
        <v>0.00271682439873943</v>
      </c>
      <c r="Q455" s="21" t="n">
        <f aca="false">Q$5*4_Normalizacion!Q453</f>
        <v>0.00285926571798898</v>
      </c>
    </row>
    <row r="456" customFormat="false" ht="15" hidden="false" customHeight="false" outlineLevel="0" collapsed="false">
      <c r="A456" s="15" t="n">
        <f aca="false">4_Normalizacion!A454</f>
        <v>449</v>
      </c>
      <c r="B456" s="16" t="n">
        <f aca="false">4_Normalizacion!B454</f>
        <v>45.101</v>
      </c>
      <c r="C456" s="21" t="n">
        <f aca="false">C$5*4_Normalizacion!C454</f>
        <v>0.00211491006743141</v>
      </c>
      <c r="D456" s="21" t="n">
        <f aca="false">D$5*4_Normalizacion!D454</f>
        <v>0.00020543122737585</v>
      </c>
      <c r="E456" s="21" t="n">
        <f aca="false">E$5*4_Normalizacion!E454</f>
        <v>0.00185693905364827</v>
      </c>
      <c r="F456" s="21" t="n">
        <f aca="false">F$5*4_Normalizacion!F454</f>
        <v>0.000807018697041519</v>
      </c>
      <c r="G456" s="21" t="n">
        <f aca="false">G$5*4_Normalizacion!G454</f>
        <v>0.000280339284607229</v>
      </c>
      <c r="H456" s="21" t="n">
        <f aca="false">H$5*4_Normalizacion!H454</f>
        <v>0.00339509178766152</v>
      </c>
      <c r="I456" s="21" t="n">
        <f aca="false">I$5*4_Normalizacion!I454</f>
        <v>0.00843260476260438</v>
      </c>
      <c r="J456" s="21" t="n">
        <f aca="false">J$5*4_Normalizacion!J454</f>
        <v>0.000255567041403239</v>
      </c>
      <c r="K456" s="21" t="n">
        <f aca="false">K$5*4_Normalizacion!K454</f>
        <v>3.90133374367575E-005</v>
      </c>
      <c r="L456" s="21" t="n">
        <f aca="false">L$5*4_Normalizacion!L454</f>
        <v>0.00142894654068415</v>
      </c>
      <c r="M456" s="21" t="n">
        <f aca="false">M$5*4_Normalizacion!M454</f>
        <v>0.000792978922174312</v>
      </c>
      <c r="N456" s="21" t="n">
        <f aca="false">N$5*4_Normalizacion!N454</f>
        <v>0.00607918426103344</v>
      </c>
      <c r="O456" s="21" t="n">
        <f aca="false">O$5*4_Normalizacion!O454</f>
        <v>0.00200587264654955</v>
      </c>
      <c r="P456" s="21" t="n">
        <f aca="false">P$5*4_Normalizacion!P454</f>
        <v>0.00271682439873943</v>
      </c>
      <c r="Q456" s="21" t="n">
        <f aca="false">Q$5*4_Normalizacion!Q454</f>
        <v>0.00285926571798898</v>
      </c>
    </row>
    <row r="457" customFormat="false" ht="15" hidden="false" customHeight="false" outlineLevel="0" collapsed="false">
      <c r="A457" s="15" t="n">
        <f aca="false">4_Normalizacion!A455</f>
        <v>450</v>
      </c>
      <c r="B457" s="16" t="n">
        <f aca="false">4_Normalizacion!B455</f>
        <v>45.2</v>
      </c>
      <c r="C457" s="21" t="n">
        <f aca="false">C$5*4_Normalizacion!C455</f>
        <v>0.00211491006743141</v>
      </c>
      <c r="D457" s="21" t="n">
        <f aca="false">D$5*4_Normalizacion!D455</f>
        <v>0.00020543122737585</v>
      </c>
      <c r="E457" s="21" t="n">
        <f aca="false">E$5*4_Normalizacion!E455</f>
        <v>0.00232117381706033</v>
      </c>
      <c r="F457" s="21" t="n">
        <f aca="false">F$5*4_Normalizacion!F455</f>
        <v>0.000807018697041519</v>
      </c>
      <c r="G457" s="21" t="n">
        <f aca="false">G$5*4_Normalizacion!G455</f>
        <v>0.000280339284607229</v>
      </c>
      <c r="H457" s="21" t="n">
        <f aca="false">H$5*4_Normalizacion!H455</f>
        <v>0.00339509178766152</v>
      </c>
      <c r="I457" s="21" t="n">
        <f aca="false">I$5*4_Normalizacion!I455</f>
        <v>0.0140543412710073</v>
      </c>
      <c r="J457" s="21" t="n">
        <f aca="false">J$5*4_Normalizacion!J455</f>
        <v>0.000255567041403239</v>
      </c>
      <c r="K457" s="21" t="n">
        <f aca="false">K$5*4_Normalizacion!K455</f>
        <v>3.90133374367575E-005</v>
      </c>
      <c r="L457" s="21" t="n">
        <f aca="false">L$5*4_Normalizacion!L455</f>
        <v>0.00135875267552774</v>
      </c>
      <c r="M457" s="21" t="n">
        <f aca="false">M$5*4_Normalizacion!M455</f>
        <v>0.000713660374084983</v>
      </c>
      <c r="N457" s="21" t="n">
        <f aca="false">N$5*4_Normalizacion!N455</f>
        <v>0.00607918426103344</v>
      </c>
      <c r="O457" s="21" t="n">
        <f aca="false">O$5*4_Normalizacion!O455</f>
        <v>0.00200587264654955</v>
      </c>
      <c r="P457" s="21" t="n">
        <f aca="false">P$5*4_Normalizacion!P455</f>
        <v>0.00271682439873943</v>
      </c>
      <c r="Q457" s="21" t="n">
        <f aca="false">Q$5*4_Normalizacion!Q455</f>
        <v>0.00285926571798898</v>
      </c>
    </row>
    <row r="458" customFormat="false" ht="15" hidden="false" customHeight="false" outlineLevel="0" collapsed="false">
      <c r="A458" s="15" t="n">
        <f aca="false">4_Normalizacion!A456</f>
        <v>451</v>
      </c>
      <c r="B458" s="16" t="n">
        <f aca="false">4_Normalizacion!B456</f>
        <v>45.3</v>
      </c>
      <c r="C458" s="21" t="n">
        <f aca="false">C$5*4_Normalizacion!C456</f>
        <v>0.00211491006743141</v>
      </c>
      <c r="D458" s="21" t="n">
        <f aca="false">D$5*4_Normalizacion!D456</f>
        <v>0.00020543122737585</v>
      </c>
      <c r="E458" s="21" t="n">
        <f aca="false">E$5*4_Normalizacion!E456</f>
        <v>0.00232117381706033</v>
      </c>
      <c r="F458" s="21" t="n">
        <f aca="false">F$5*4_Normalizacion!F456</f>
        <v>0.00121052804556228</v>
      </c>
      <c r="G458" s="21" t="n">
        <f aca="false">G$5*4_Normalizacion!G456</f>
        <v>0.000280339284607229</v>
      </c>
      <c r="H458" s="21" t="n">
        <f aca="false">H$5*4_Normalizacion!H456</f>
        <v>0.00339509178766152</v>
      </c>
      <c r="I458" s="21" t="n">
        <f aca="false">I$5*4_Normalizacion!I456</f>
        <v>0.00843260476260438</v>
      </c>
      <c r="J458" s="21" t="n">
        <f aca="false">J$5*4_Normalizacion!J456</f>
        <v>0.000255567041403239</v>
      </c>
      <c r="K458" s="21" t="n">
        <f aca="false">K$5*4_Normalizacion!K456</f>
        <v>3.90133374367575E-005</v>
      </c>
      <c r="L458" s="21" t="n">
        <f aca="false">L$5*4_Normalizacion!L456</f>
        <v>0.00100678058024343</v>
      </c>
      <c r="M458" s="21" t="n">
        <f aca="false">M$5*4_Normalizacion!M456</f>
        <v>0.000731630982636471</v>
      </c>
      <c r="N458" s="21" t="n">
        <f aca="false">N$5*4_Normalizacion!N456</f>
        <v>0.00607918426103344</v>
      </c>
      <c r="O458" s="21" t="n">
        <f aca="false">O$5*4_Normalizacion!O456</f>
        <v>0.00200587264654955</v>
      </c>
      <c r="P458" s="21" t="n">
        <f aca="false">P$5*4_Normalizacion!P456</f>
        <v>0.00271682439873943</v>
      </c>
      <c r="Q458" s="21" t="n">
        <f aca="false">Q$5*4_Normalizacion!Q456</f>
        <v>0.00285926571798898</v>
      </c>
    </row>
    <row r="459" customFormat="false" ht="15" hidden="false" customHeight="false" outlineLevel="0" collapsed="false">
      <c r="A459" s="15" t="n">
        <f aca="false">4_Normalizacion!A457</f>
        <v>452</v>
      </c>
      <c r="B459" s="16" t="n">
        <f aca="false">4_Normalizacion!B457</f>
        <v>45.4</v>
      </c>
      <c r="C459" s="21" t="n">
        <f aca="false">C$5*4_Normalizacion!C457</f>
        <v>0.00211491006743141</v>
      </c>
      <c r="D459" s="21" t="n">
        <f aca="false">D$5*4_Normalizacion!D457</f>
        <v>0.00020543122737585</v>
      </c>
      <c r="E459" s="21" t="n">
        <f aca="false">E$5*4_Normalizacion!E457</f>
        <v>0.00232117381706033</v>
      </c>
      <c r="F459" s="21" t="n">
        <f aca="false">F$5*4_Normalizacion!F457</f>
        <v>0.00121052804556228</v>
      </c>
      <c r="G459" s="21" t="n">
        <f aca="false">G$5*4_Normalizacion!G457</f>
        <v>0.000280339284607229</v>
      </c>
      <c r="H459" s="21" t="n">
        <f aca="false">H$5*4_Normalizacion!H457</f>
        <v>0.00339509178766152</v>
      </c>
      <c r="I459" s="21" t="n">
        <f aca="false">I$5*4_Normalizacion!I457</f>
        <v>0.00562173650840292</v>
      </c>
      <c r="J459" s="21" t="n">
        <f aca="false">J$5*4_Normalizacion!J457</f>
        <v>0.000255567041403239</v>
      </c>
      <c r="K459" s="21" t="n">
        <f aca="false">K$5*4_Normalizacion!K457</f>
        <v>3.90133374367575E-005</v>
      </c>
      <c r="L459" s="21" t="n">
        <f aca="false">L$5*4_Normalizacion!L457</f>
        <v>0.000935082560833665</v>
      </c>
      <c r="M459" s="21" t="n">
        <f aca="false">M$5*4_Normalizacion!M457</f>
        <v>0.000676892922106075</v>
      </c>
      <c r="N459" s="21" t="n">
        <f aca="false">N$5*4_Normalizacion!N457</f>
        <v>0.00607918426103344</v>
      </c>
      <c r="O459" s="21" t="n">
        <f aca="false">O$5*4_Normalizacion!O457</f>
        <v>0.00200587264654955</v>
      </c>
      <c r="P459" s="21" t="n">
        <f aca="false">P$5*4_Normalizacion!P457</f>
        <v>0.00271682439873943</v>
      </c>
      <c r="Q459" s="21" t="n">
        <f aca="false">Q$5*4_Normalizacion!Q457</f>
        <v>0.00857779715396695</v>
      </c>
    </row>
    <row r="460" customFormat="false" ht="15" hidden="false" customHeight="false" outlineLevel="0" collapsed="false">
      <c r="A460" s="15" t="n">
        <f aca="false">4_Normalizacion!A458</f>
        <v>453</v>
      </c>
      <c r="B460" s="16" t="n">
        <f aca="false">4_Normalizacion!B458</f>
        <v>45.5</v>
      </c>
      <c r="C460" s="21" t="n">
        <f aca="false">C$5*4_Normalizacion!C458</f>
        <v>0.00211491006743141</v>
      </c>
      <c r="D460" s="21" t="n">
        <f aca="false">D$5*4_Normalizacion!D458</f>
        <v>0.00020543122737585</v>
      </c>
      <c r="E460" s="21" t="n">
        <f aca="false">E$5*4_Normalizacion!E458</f>
        <v>0.00185693905364827</v>
      </c>
      <c r="F460" s="21" t="n">
        <f aca="false">F$5*4_Normalizacion!F458</f>
        <v>0.00121052804556228</v>
      </c>
      <c r="G460" s="21" t="n">
        <f aca="false">G$5*4_Normalizacion!G458</f>
        <v>0.000280339284607229</v>
      </c>
      <c r="H460" s="21" t="n">
        <f aca="false">H$5*4_Normalizacion!H458</f>
        <v>0.00339509178766152</v>
      </c>
      <c r="I460" s="21" t="n">
        <f aca="false">I$5*4_Normalizacion!I458</f>
        <v>0.00562173650840292</v>
      </c>
      <c r="J460" s="21" t="n">
        <f aca="false">J$5*4_Normalizacion!J458</f>
        <v>0.000255567041403239</v>
      </c>
      <c r="K460" s="21" t="n">
        <f aca="false">K$5*4_Normalizacion!K458</f>
        <v>3.90133374367575E-005</v>
      </c>
      <c r="L460" s="21" t="n">
        <f aca="false">L$5*4_Normalizacion!L458</f>
        <v>0.000953132411873886</v>
      </c>
      <c r="M460" s="21" t="n">
        <f aca="false">M$5*4_Normalizacion!M458</f>
        <v>0.000740513007552724</v>
      </c>
      <c r="N460" s="21" t="n">
        <f aca="false">N$5*4_Normalizacion!N458</f>
        <v>0.00607918426103344</v>
      </c>
      <c r="O460" s="21" t="n">
        <f aca="false">O$5*4_Normalizacion!O458</f>
        <v>0.00200587264654955</v>
      </c>
      <c r="P460" s="21" t="n">
        <f aca="false">P$5*4_Normalizacion!P458</f>
        <v>0.00271682439873943</v>
      </c>
      <c r="Q460" s="21" t="n">
        <f aca="false">Q$5*4_Normalizacion!Q458</f>
        <v>0.00285926571798898</v>
      </c>
    </row>
    <row r="461" customFormat="false" ht="15" hidden="false" customHeight="false" outlineLevel="0" collapsed="false">
      <c r="A461" s="15" t="n">
        <f aca="false">4_Normalizacion!A459</f>
        <v>454</v>
      </c>
      <c r="B461" s="16" t="n">
        <f aca="false">4_Normalizacion!B459</f>
        <v>45.6</v>
      </c>
      <c r="C461" s="21" t="n">
        <f aca="false">C$5*4_Normalizacion!C459</f>
        <v>0.00211491006743141</v>
      </c>
      <c r="D461" s="21" t="n">
        <f aca="false">D$5*4_Normalizacion!D459</f>
        <v>0.00020543122737585</v>
      </c>
      <c r="E461" s="21" t="n">
        <f aca="false">E$5*4_Normalizacion!E459</f>
        <v>0.00185693905364827</v>
      </c>
      <c r="F461" s="21" t="n">
        <f aca="false">F$5*4_Normalizacion!F459</f>
        <v>0.00161403739408304</v>
      </c>
      <c r="G461" s="21" t="n">
        <f aca="false">G$5*4_Normalizacion!G459</f>
        <v>0.000280339284607229</v>
      </c>
      <c r="H461" s="21" t="n">
        <f aca="false">H$5*4_Normalizacion!H459</f>
        <v>0.00169754589383076</v>
      </c>
      <c r="I461" s="21" t="n">
        <f aca="false">I$5*4_Normalizacion!I459</f>
        <v>0.00281086825420146</v>
      </c>
      <c r="J461" s="21" t="n">
        <f aca="false">J$5*4_Normalizacion!J459</f>
        <v>0.000255567041403239</v>
      </c>
      <c r="K461" s="21" t="n">
        <f aca="false">K$5*4_Normalizacion!K459</f>
        <v>3.90133374367575E-005</v>
      </c>
      <c r="L461" s="21" t="n">
        <f aca="false">L$5*4_Normalizacion!L459</f>
        <v>0.00111457830173364</v>
      </c>
      <c r="M461" s="21" t="n">
        <f aca="false">M$5*4_Normalizacion!M459</f>
        <v>0.000826028317211533</v>
      </c>
      <c r="N461" s="21" t="n">
        <f aca="false">N$5*4_Normalizacion!N459</f>
        <v>0.00607918426103344</v>
      </c>
      <c r="O461" s="21" t="n">
        <f aca="false">O$5*4_Normalizacion!O459</f>
        <v>0.00200587264654955</v>
      </c>
      <c r="P461" s="21" t="n">
        <f aca="false">P$5*4_Normalizacion!P459</f>
        <v>0.00271682439873943</v>
      </c>
      <c r="Q461" s="21" t="n">
        <f aca="false">Q$5*4_Normalizacion!Q459</f>
        <v>0.00285926571798898</v>
      </c>
    </row>
    <row r="462" customFormat="false" ht="15" hidden="false" customHeight="false" outlineLevel="0" collapsed="false">
      <c r="A462" s="15" t="n">
        <f aca="false">4_Normalizacion!A460</f>
        <v>455</v>
      </c>
      <c r="B462" s="16" t="n">
        <f aca="false">4_Normalizacion!B460</f>
        <v>45.7</v>
      </c>
      <c r="C462" s="21" t="n">
        <f aca="false">C$5*4_Normalizacion!C460</f>
        <v>0.00211491006743141</v>
      </c>
      <c r="D462" s="21" t="n">
        <f aca="false">D$5*4_Normalizacion!D460</f>
        <v>0.00020543122737585</v>
      </c>
      <c r="E462" s="21" t="n">
        <f aca="false">E$5*4_Normalizacion!E460</f>
        <v>0.00185693905364827</v>
      </c>
      <c r="F462" s="21" t="n">
        <f aca="false">F$5*4_Normalizacion!F460</f>
        <v>0.00161403739408304</v>
      </c>
      <c r="G462" s="21" t="n">
        <f aca="false">G$5*4_Normalizacion!G460</f>
        <v>0.000280339284607229</v>
      </c>
      <c r="H462" s="21" t="n">
        <f aca="false">H$5*4_Normalizacion!H460</f>
        <v>0.00169754589383076</v>
      </c>
      <c r="I462" s="21" t="n">
        <f aca="false">I$5*4_Normalizacion!I460</f>
        <v>0.00562173650840292</v>
      </c>
      <c r="J462" s="21" t="n">
        <f aca="false">J$5*4_Normalizacion!J460</f>
        <v>0.000255567041403239</v>
      </c>
      <c r="K462" s="21" t="n">
        <f aca="false">K$5*4_Normalizacion!K460</f>
        <v>3.90133374367575E-005</v>
      </c>
      <c r="L462" s="21" t="n">
        <f aca="false">L$5*4_Normalizacion!L460</f>
        <v>0.00108650075567107</v>
      </c>
      <c r="M462" s="21" t="n">
        <f aca="false">M$5*4_Normalizacion!M460</f>
        <v>0.000770464021805206</v>
      </c>
      <c r="N462" s="21" t="n">
        <f aca="false">N$5*4_Normalizacion!N460</f>
        <v>0.00607918426103344</v>
      </c>
      <c r="O462" s="21" t="n">
        <f aca="false">O$5*4_Normalizacion!O460</f>
        <v>0.00200587264654955</v>
      </c>
      <c r="P462" s="21" t="n">
        <f aca="false">P$5*4_Normalizacion!P460</f>
        <v>0.00271682439873943</v>
      </c>
      <c r="Q462" s="21" t="n">
        <f aca="false">Q$5*4_Normalizacion!Q460</f>
        <v>0.00285926571798898</v>
      </c>
    </row>
    <row r="463" customFormat="false" ht="15" hidden="false" customHeight="false" outlineLevel="0" collapsed="false">
      <c r="A463" s="15" t="n">
        <f aca="false">4_Normalizacion!A461</f>
        <v>456</v>
      </c>
      <c r="B463" s="16" t="n">
        <f aca="false">4_Normalizacion!B461</f>
        <v>45.8</v>
      </c>
      <c r="C463" s="21" t="n">
        <f aca="false">C$5*4_Normalizacion!C461</f>
        <v>0.00211491006743141</v>
      </c>
      <c r="D463" s="21" t="n">
        <f aca="false">D$5*4_Normalizacion!D461</f>
        <v>0.00020543122737585</v>
      </c>
      <c r="E463" s="21" t="n">
        <f aca="false">E$5*4_Normalizacion!E461</f>
        <v>0.00185693905364827</v>
      </c>
      <c r="F463" s="21" t="n">
        <f aca="false">F$5*4_Normalizacion!F461</f>
        <v>0.00121052804556228</v>
      </c>
      <c r="G463" s="21" t="n">
        <f aca="false">G$5*4_Normalizacion!G461</f>
        <v>0.000280339284607229</v>
      </c>
      <c r="H463" s="21" t="n">
        <f aca="false">H$5*4_Normalizacion!H461</f>
        <v>0.00169754589383076</v>
      </c>
      <c r="I463" s="21" t="n">
        <f aca="false">I$5*4_Normalizacion!I461</f>
        <v>0.00562173650840292</v>
      </c>
      <c r="J463" s="21" t="n">
        <f aca="false">J$5*4_Normalizacion!J461</f>
        <v>0.000255567041403239</v>
      </c>
      <c r="K463" s="21" t="n">
        <f aca="false">K$5*4_Normalizacion!K461</f>
        <v>3.90133374367575E-005</v>
      </c>
      <c r="L463" s="21" t="n">
        <f aca="false">L$5*4_Normalizacion!L461</f>
        <v>0.00100176673273226</v>
      </c>
      <c r="M463" s="21" t="n">
        <f aca="false">M$5*4_Normalizacion!M461</f>
        <v>0.000757037705071335</v>
      </c>
      <c r="N463" s="21" t="n">
        <f aca="false">N$5*4_Normalizacion!N461</f>
        <v>0.00607918426103344</v>
      </c>
      <c r="O463" s="21" t="n">
        <f aca="false">O$5*4_Normalizacion!O461</f>
        <v>0.00200587264654955</v>
      </c>
      <c r="P463" s="21" t="n">
        <f aca="false">P$5*4_Normalizacion!P461</f>
        <v>0.00271682439873943</v>
      </c>
      <c r="Q463" s="21" t="n">
        <f aca="false">Q$5*4_Normalizacion!Q461</f>
        <v>0.00285926571798898</v>
      </c>
    </row>
    <row r="464" customFormat="false" ht="15" hidden="false" customHeight="false" outlineLevel="0" collapsed="false">
      <c r="A464" s="15" t="n">
        <f aca="false">4_Normalizacion!A462</f>
        <v>457</v>
      </c>
      <c r="B464" s="16" t="n">
        <f aca="false">4_Normalizacion!B462</f>
        <v>45.9</v>
      </c>
      <c r="C464" s="21" t="n">
        <f aca="false">C$5*4_Normalizacion!C462</f>
        <v>0.00211491006743141</v>
      </c>
      <c r="D464" s="21" t="n">
        <f aca="false">D$5*4_Normalizacion!D462</f>
        <v>0.00020543122737585</v>
      </c>
      <c r="E464" s="21" t="n">
        <f aca="false">E$5*4_Normalizacion!E462</f>
        <v>0.00185693905364827</v>
      </c>
      <c r="F464" s="21" t="n">
        <f aca="false">F$5*4_Normalizacion!F462</f>
        <v>0.00161403739408304</v>
      </c>
      <c r="G464" s="21" t="n">
        <f aca="false">G$5*4_Normalizacion!G462</f>
        <v>0.000280339284607229</v>
      </c>
      <c r="H464" s="21" t="n">
        <f aca="false">H$5*4_Normalizacion!H462</f>
        <v>0.00169754589383076</v>
      </c>
      <c r="I464" s="21" t="n">
        <f aca="false">I$5*4_Normalizacion!I462</f>
        <v>0.00281086825420146</v>
      </c>
      <c r="J464" s="21" t="n">
        <f aca="false">J$5*4_Normalizacion!J462</f>
        <v>0.000255567041403239</v>
      </c>
      <c r="K464" s="21" t="n">
        <f aca="false">K$5*4_Normalizacion!K462</f>
        <v>3.90133374367575E-005</v>
      </c>
      <c r="L464" s="21" t="n">
        <f aca="false">L$5*4_Normalizacion!L462</f>
        <v>0.0012123483282015</v>
      </c>
      <c r="M464" s="21" t="n">
        <f aca="false">M$5*4_Normalizacion!M462</f>
        <v>0.000782237868787215</v>
      </c>
      <c r="N464" s="21" t="n">
        <f aca="false">N$5*4_Normalizacion!N462</f>
        <v>0.00607918426103344</v>
      </c>
      <c r="O464" s="21" t="n">
        <f aca="false">O$5*4_Normalizacion!O462</f>
        <v>0.00200587264654955</v>
      </c>
      <c r="P464" s="21" t="n">
        <f aca="false">P$5*4_Normalizacion!P462</f>
        <v>0.00271682439873943</v>
      </c>
      <c r="Q464" s="21" t="n">
        <f aca="false">Q$5*4_Normalizacion!Q462</f>
        <v>0.00285926571798898</v>
      </c>
    </row>
    <row r="465" customFormat="false" ht="15" hidden="false" customHeight="false" outlineLevel="0" collapsed="false">
      <c r="A465" s="15" t="n">
        <f aca="false">4_Normalizacion!A463</f>
        <v>458</v>
      </c>
      <c r="B465" s="16" t="n">
        <f aca="false">4_Normalizacion!B463</f>
        <v>46</v>
      </c>
      <c r="C465" s="21" t="n">
        <f aca="false">C$5*4_Normalizacion!C463</f>
        <v>0.00211491006743141</v>
      </c>
      <c r="D465" s="21" t="n">
        <f aca="false">D$5*4_Normalizacion!D463</f>
        <v>0.00020543122737585</v>
      </c>
      <c r="E465" s="21" t="n">
        <f aca="false">E$5*4_Normalizacion!E463</f>
        <v>0.00185693905364827</v>
      </c>
      <c r="F465" s="21" t="n">
        <f aca="false">F$5*4_Normalizacion!F463</f>
        <v>0.00161403739408304</v>
      </c>
      <c r="G465" s="21" t="n">
        <f aca="false">G$5*4_Normalizacion!G463</f>
        <v>0.000280339284607229</v>
      </c>
      <c r="H465" s="21" t="n">
        <f aca="false">H$5*4_Normalizacion!H463</f>
        <v>0.00169754589383076</v>
      </c>
      <c r="I465" s="21" t="n">
        <f aca="false">I$5*4_Normalizacion!I463</f>
        <v>0.00281086825420146</v>
      </c>
      <c r="J465" s="21" t="n">
        <f aca="false">J$5*4_Normalizacion!J463</f>
        <v>0.000255567041403239</v>
      </c>
      <c r="K465" s="21" t="n">
        <f aca="false">K$5*4_Normalizacion!K463</f>
        <v>3.90133374367575E-005</v>
      </c>
      <c r="L465" s="21" t="n">
        <f aca="false">L$5*4_Normalizacion!L463</f>
        <v>0.00121435386720597</v>
      </c>
      <c r="M465" s="21" t="n">
        <f aca="false">M$5*4_Normalizacion!M463</f>
        <v>0.000804339651718357</v>
      </c>
      <c r="N465" s="21" t="n">
        <f aca="false">N$5*4_Normalizacion!N463</f>
        <v>0.00607918426103344</v>
      </c>
      <c r="O465" s="21" t="n">
        <f aca="false">O$5*4_Normalizacion!O463</f>
        <v>0.00200587264654955</v>
      </c>
      <c r="P465" s="21" t="n">
        <f aca="false">P$5*4_Normalizacion!P463</f>
        <v>0.00271682439873943</v>
      </c>
      <c r="Q465" s="21" t="n">
        <f aca="false">Q$5*4_Normalizacion!Q463</f>
        <v>0.00285926571798898</v>
      </c>
    </row>
    <row r="466" customFormat="false" ht="15" hidden="false" customHeight="false" outlineLevel="0" collapsed="false">
      <c r="A466" s="15" t="n">
        <f aca="false">4_Normalizacion!A464</f>
        <v>459</v>
      </c>
      <c r="B466" s="16" t="n">
        <f aca="false">4_Normalizacion!B464</f>
        <v>46.101</v>
      </c>
      <c r="C466" s="21" t="n">
        <f aca="false">C$5*4_Normalizacion!C464</f>
        <v>0.00211491006743141</v>
      </c>
      <c r="D466" s="21" t="n">
        <f aca="false">D$5*4_Normalizacion!D464</f>
        <v>0.00020543122737585</v>
      </c>
      <c r="E466" s="21" t="n">
        <f aca="false">E$5*4_Normalizacion!E464</f>
        <v>0.00185693905364827</v>
      </c>
      <c r="F466" s="21" t="n">
        <f aca="false">F$5*4_Normalizacion!F464</f>
        <v>0.00161403739408304</v>
      </c>
      <c r="G466" s="21" t="n">
        <f aca="false">G$5*4_Normalizacion!G464</f>
        <v>0.000280339284607229</v>
      </c>
      <c r="H466" s="21" t="n">
        <f aca="false">H$5*4_Normalizacion!H464</f>
        <v>0.00169754589383076</v>
      </c>
      <c r="I466" s="21" t="n">
        <f aca="false">I$5*4_Normalizacion!I464</f>
        <v>0.00281086825420146</v>
      </c>
      <c r="J466" s="21" t="n">
        <f aca="false">J$5*4_Normalizacion!J464</f>
        <v>0.000255567041403239</v>
      </c>
      <c r="K466" s="21" t="n">
        <f aca="false">K$5*4_Normalizacion!K464</f>
        <v>3.90133374367575E-005</v>
      </c>
      <c r="L466" s="21" t="n">
        <f aca="false">L$5*4_Normalizacion!L464</f>
        <v>0.00107396613689314</v>
      </c>
      <c r="M466" s="21" t="n">
        <f aca="false">M$5*4_Normalizacion!M464</f>
        <v>0.000796696979116</v>
      </c>
      <c r="N466" s="21" t="n">
        <f aca="false">N$5*4_Normalizacion!N464</f>
        <v>0.00607918426103344</v>
      </c>
      <c r="O466" s="21" t="n">
        <f aca="false">O$5*4_Normalizacion!O464</f>
        <v>0.00200587264654955</v>
      </c>
      <c r="P466" s="21" t="n">
        <f aca="false">P$5*4_Normalizacion!P464</f>
        <v>0.00271682439873943</v>
      </c>
      <c r="Q466" s="21" t="n">
        <f aca="false">Q$5*4_Normalizacion!Q464</f>
        <v>0.00285926571798898</v>
      </c>
    </row>
    <row r="467" customFormat="false" ht="15" hidden="false" customHeight="false" outlineLevel="0" collapsed="false">
      <c r="A467" s="15" t="n">
        <f aca="false">4_Normalizacion!A465</f>
        <v>460</v>
      </c>
      <c r="B467" s="16" t="n">
        <f aca="false">4_Normalizacion!B465</f>
        <v>46.202</v>
      </c>
      <c r="C467" s="21" t="n">
        <f aca="false">C$5*4_Normalizacion!C465</f>
        <v>0.00211491006743141</v>
      </c>
      <c r="D467" s="21" t="n">
        <f aca="false">D$5*4_Normalizacion!D465</f>
        <v>0.00020543122737585</v>
      </c>
      <c r="E467" s="21" t="n">
        <f aca="false">E$5*4_Normalizacion!E465</f>
        <v>0.00232117381706033</v>
      </c>
      <c r="F467" s="21" t="n">
        <f aca="false">F$5*4_Normalizacion!F465</f>
        <v>0.000807018697041519</v>
      </c>
      <c r="G467" s="21" t="n">
        <f aca="false">G$5*4_Normalizacion!G465</f>
        <v>0.000280339284607229</v>
      </c>
      <c r="H467" s="21" t="n">
        <f aca="false">H$5*4_Normalizacion!H465</f>
        <v>0.00169754589383076</v>
      </c>
      <c r="I467" s="21" t="n">
        <f aca="false">I$5*4_Normalizacion!I465</f>
        <v>0.00562173650840292</v>
      </c>
      <c r="J467" s="21" t="n">
        <f aca="false">J$5*4_Normalizacion!J465</f>
        <v>0.000255567041403239</v>
      </c>
      <c r="K467" s="21" t="n">
        <f aca="false">K$5*4_Normalizacion!K465</f>
        <v>3.90133374367575E-005</v>
      </c>
      <c r="L467" s="21" t="n">
        <f aca="false">L$5*4_Normalizacion!L465</f>
        <v>0.00116220985308978</v>
      </c>
      <c r="M467" s="21" t="n">
        <f aca="false">M$5*4_Normalizacion!M465</f>
        <v>0.000739480213957811</v>
      </c>
      <c r="N467" s="21" t="n">
        <f aca="false">N$5*4_Normalizacion!N465</f>
        <v>0.00607918426103344</v>
      </c>
      <c r="O467" s="21" t="n">
        <f aca="false">O$5*4_Normalizacion!O465</f>
        <v>0.00200587264654955</v>
      </c>
      <c r="P467" s="21" t="n">
        <f aca="false">P$5*4_Normalizacion!P465</f>
        <v>0.00271682439873943</v>
      </c>
      <c r="Q467" s="21" t="n">
        <f aca="false">Q$5*4_Normalizacion!Q465</f>
        <v>0.0142963285899449</v>
      </c>
    </row>
    <row r="468" customFormat="false" ht="15" hidden="false" customHeight="false" outlineLevel="0" collapsed="false">
      <c r="A468" s="15" t="n">
        <f aca="false">4_Normalizacion!A466</f>
        <v>461</v>
      </c>
      <c r="B468" s="16" t="n">
        <f aca="false">4_Normalizacion!B466</f>
        <v>46.303</v>
      </c>
      <c r="C468" s="21" t="n">
        <f aca="false">C$5*4_Normalizacion!C466</f>
        <v>0.00211491006743141</v>
      </c>
      <c r="D468" s="21" t="n">
        <f aca="false">D$5*4_Normalizacion!D466</f>
        <v>0.00020543122737585</v>
      </c>
      <c r="E468" s="21" t="n">
        <f aca="false">E$5*4_Normalizacion!E466</f>
        <v>0.00185693905364827</v>
      </c>
      <c r="F468" s="21" t="n">
        <f aca="false">F$5*4_Normalizacion!F466</f>
        <v>0.0020175467426038</v>
      </c>
      <c r="G468" s="21" t="n">
        <f aca="false">G$5*4_Normalizacion!G466</f>
        <v>0.000280339284607229</v>
      </c>
      <c r="H468" s="21" t="n">
        <f aca="false">H$5*4_Normalizacion!H466</f>
        <v>0.00169754589383076</v>
      </c>
      <c r="I468" s="21" t="n">
        <f aca="false">I$5*4_Normalizacion!I466</f>
        <v>0.00562173650840292</v>
      </c>
      <c r="J468" s="21" t="n">
        <f aca="false">J$5*4_Normalizacion!J466</f>
        <v>0.000255567041403239</v>
      </c>
      <c r="K468" s="21" t="n">
        <f aca="false">K$5*4_Normalizacion!K466</f>
        <v>3.90133374367575E-005</v>
      </c>
      <c r="L468" s="21" t="n">
        <f aca="false">L$5*4_Normalizacion!L466</f>
        <v>0.00139936484036824</v>
      </c>
      <c r="M468" s="21" t="n">
        <f aca="false">M$5*4_Normalizacion!M466</f>
        <v>0.000715519402555826</v>
      </c>
      <c r="N468" s="21" t="n">
        <f aca="false">N$5*4_Normalizacion!N466</f>
        <v>0.00607918426103344</v>
      </c>
      <c r="O468" s="21" t="n">
        <f aca="false">O$5*4_Normalizacion!O466</f>
        <v>0.00200587264654955</v>
      </c>
      <c r="P468" s="21" t="n">
        <f aca="false">P$5*4_Normalizacion!P466</f>
        <v>0.00271682439873943</v>
      </c>
      <c r="Q468" s="21" t="n">
        <f aca="false">Q$5*4_Normalizacion!Q466</f>
        <v>0.0142963285899449</v>
      </c>
    </row>
    <row r="469" customFormat="false" ht="15" hidden="false" customHeight="false" outlineLevel="0" collapsed="false">
      <c r="A469" s="15" t="n">
        <f aca="false">4_Normalizacion!A467</f>
        <v>462</v>
      </c>
      <c r="B469" s="16" t="n">
        <f aca="false">4_Normalizacion!B467</f>
        <v>46.403</v>
      </c>
      <c r="C469" s="21" t="n">
        <f aca="false">C$5*4_Normalizacion!C467</f>
        <v>0.00211491006743141</v>
      </c>
      <c r="D469" s="21" t="n">
        <f aca="false">D$5*4_Normalizacion!D467</f>
        <v>0.00020543122737585</v>
      </c>
      <c r="E469" s="21" t="n">
        <f aca="false">E$5*4_Normalizacion!E467</f>
        <v>0.00232117381706033</v>
      </c>
      <c r="F469" s="21" t="n">
        <f aca="false">F$5*4_Normalizacion!F467</f>
        <v>0.000807018697041519</v>
      </c>
      <c r="G469" s="21" t="n">
        <f aca="false">G$5*4_Normalizacion!G467</f>
        <v>0.000280339284607229</v>
      </c>
      <c r="H469" s="21" t="n">
        <f aca="false">H$5*4_Normalizacion!H467</f>
        <v>0.00169754589383076</v>
      </c>
      <c r="I469" s="21" t="n">
        <f aca="false">I$5*4_Normalizacion!I467</f>
        <v>0.00843260476260438</v>
      </c>
      <c r="J469" s="21" t="n">
        <f aca="false">J$5*4_Normalizacion!J467</f>
        <v>0.000255567041403239</v>
      </c>
      <c r="K469" s="21" t="n">
        <f aca="false">K$5*4_Normalizacion!K467</f>
        <v>3.90133374367575E-005</v>
      </c>
      <c r="L469" s="21" t="n">
        <f aca="false">L$5*4_Normalizacion!L467</f>
        <v>0.00143145346443974</v>
      </c>
      <c r="M469" s="21" t="n">
        <f aca="false">M$5*4_Normalizacion!M467</f>
        <v>0.000667184662313891</v>
      </c>
      <c r="N469" s="21" t="n">
        <f aca="false">N$5*4_Normalizacion!N467</f>
        <v>0.00607918426103344</v>
      </c>
      <c r="O469" s="21" t="n">
        <f aca="false">O$5*4_Normalizacion!O467</f>
        <v>0.00200587264654955</v>
      </c>
      <c r="P469" s="21" t="n">
        <f aca="false">P$5*4_Normalizacion!P467</f>
        <v>0.00271682439873943</v>
      </c>
      <c r="Q469" s="21" t="n">
        <f aca="false">Q$5*4_Normalizacion!Q467</f>
        <v>0.0142963285899449</v>
      </c>
    </row>
    <row r="470" customFormat="false" ht="15" hidden="false" customHeight="false" outlineLevel="0" collapsed="false">
      <c r="A470" s="15" t="n">
        <f aca="false">4_Normalizacion!A468</f>
        <v>463</v>
      </c>
      <c r="B470" s="16" t="n">
        <f aca="false">4_Normalizacion!B468</f>
        <v>46.503</v>
      </c>
      <c r="C470" s="21" t="n">
        <f aca="false">C$5*4_Normalizacion!C468</f>
        <v>0.00211491006743141</v>
      </c>
      <c r="D470" s="21" t="n">
        <f aca="false">D$5*4_Normalizacion!D468</f>
        <v>0.00020543122737585</v>
      </c>
      <c r="E470" s="21" t="n">
        <f aca="false">E$5*4_Normalizacion!E468</f>
        <v>0.00185693905364827</v>
      </c>
      <c r="F470" s="21" t="n">
        <f aca="false">F$5*4_Normalizacion!F468</f>
        <v>0.00121052804556228</v>
      </c>
      <c r="G470" s="21" t="n">
        <f aca="false">G$5*4_Normalizacion!G468</f>
        <v>0.000280339284607229</v>
      </c>
      <c r="H470" s="21" t="n">
        <f aca="false">H$5*4_Normalizacion!H468</f>
        <v>0.00169754589383076</v>
      </c>
      <c r="I470" s="21" t="n">
        <f aca="false">I$5*4_Normalizacion!I468</f>
        <v>0.00562173650840292</v>
      </c>
      <c r="J470" s="21" t="n">
        <f aca="false">J$5*4_Normalizacion!J468</f>
        <v>0.000255567041403239</v>
      </c>
      <c r="K470" s="21" t="n">
        <f aca="false">K$5*4_Normalizacion!K468</f>
        <v>3.90133374367575E-005</v>
      </c>
      <c r="L470" s="21" t="n">
        <f aca="false">L$5*4_Normalizacion!L468</f>
        <v>0.00131613497168277</v>
      </c>
      <c r="M470" s="21" t="n">
        <f aca="false">M$5*4_Normalizacion!M468</f>
        <v>0.000646528790415628</v>
      </c>
      <c r="N470" s="21" t="n">
        <f aca="false">N$5*4_Normalizacion!N468</f>
        <v>0.00607918426103344</v>
      </c>
      <c r="O470" s="21" t="n">
        <f aca="false">O$5*4_Normalizacion!O468</f>
        <v>0.00200587264654955</v>
      </c>
      <c r="P470" s="21" t="n">
        <f aca="false">P$5*4_Normalizacion!P468</f>
        <v>0.00271682439873943</v>
      </c>
      <c r="Q470" s="21" t="n">
        <f aca="false">Q$5*4_Normalizacion!Q468</f>
        <v>0.0142963285899449</v>
      </c>
    </row>
    <row r="471" customFormat="false" ht="15" hidden="false" customHeight="false" outlineLevel="0" collapsed="false">
      <c r="A471" s="15" t="n">
        <f aca="false">4_Normalizacion!A469</f>
        <v>464</v>
      </c>
      <c r="B471" s="16" t="n">
        <f aca="false">4_Normalizacion!B469</f>
        <v>46.603</v>
      </c>
      <c r="C471" s="21" t="n">
        <f aca="false">C$5*4_Normalizacion!C469</f>
        <v>0.00211491006743141</v>
      </c>
      <c r="D471" s="21" t="n">
        <f aca="false">D$5*4_Normalizacion!D469</f>
        <v>0.00020543122737585</v>
      </c>
      <c r="E471" s="21" t="n">
        <f aca="false">E$5*4_Normalizacion!E469</f>
        <v>0.00232117381706033</v>
      </c>
      <c r="F471" s="21" t="n">
        <f aca="false">F$5*4_Normalizacion!F469</f>
        <v>0.00121052804556228</v>
      </c>
      <c r="G471" s="21" t="n">
        <f aca="false">G$5*4_Normalizacion!G469</f>
        <v>0.000280339284607229</v>
      </c>
      <c r="H471" s="21" t="n">
        <f aca="false">H$5*4_Normalizacion!H469</f>
        <v>0.00169754589383076</v>
      </c>
      <c r="I471" s="21" t="n">
        <f aca="false">I$5*4_Normalizacion!I469</f>
        <v>0.00562173650840292</v>
      </c>
      <c r="J471" s="21" t="n">
        <f aca="false">J$5*4_Normalizacion!J469</f>
        <v>0.000255567041403239</v>
      </c>
      <c r="K471" s="21" t="n">
        <f aca="false">K$5*4_Normalizacion!K469</f>
        <v>3.90133374367575E-005</v>
      </c>
      <c r="L471" s="21" t="n">
        <f aca="false">L$5*4_Normalizacion!L469</f>
        <v>0.00153473872316989</v>
      </c>
      <c r="M471" s="21" t="n">
        <f aca="false">M$5*4_Normalizacion!M469</f>
        <v>0.000627318829550244</v>
      </c>
      <c r="N471" s="21" t="n">
        <f aca="false">N$5*4_Normalizacion!N469</f>
        <v>0.00607918426103344</v>
      </c>
      <c r="O471" s="21" t="n">
        <f aca="false">O$5*4_Normalizacion!O469</f>
        <v>0.00200587264654955</v>
      </c>
      <c r="P471" s="21" t="n">
        <f aca="false">P$5*4_Normalizacion!P469</f>
        <v>0.00271682439873943</v>
      </c>
      <c r="Q471" s="21" t="n">
        <f aca="false">Q$5*4_Normalizacion!Q469</f>
        <v>0.0142963285899449</v>
      </c>
    </row>
    <row r="472" customFormat="false" ht="15" hidden="false" customHeight="false" outlineLevel="0" collapsed="false">
      <c r="A472" s="15" t="n">
        <f aca="false">4_Normalizacion!A470</f>
        <v>465</v>
      </c>
      <c r="B472" s="16" t="n">
        <f aca="false">4_Normalizacion!B470</f>
        <v>46.701</v>
      </c>
      <c r="C472" s="21" t="n">
        <f aca="false">C$5*4_Normalizacion!C470</f>
        <v>0.00211491006743141</v>
      </c>
      <c r="D472" s="21" t="n">
        <f aca="false">D$5*4_Normalizacion!D470</f>
        <v>0.00020543122737585</v>
      </c>
      <c r="E472" s="21" t="n">
        <f aca="false">E$5*4_Normalizacion!E470</f>
        <v>0.00232117381706033</v>
      </c>
      <c r="F472" s="21" t="n">
        <f aca="false">F$5*4_Normalizacion!F470</f>
        <v>0.000807018697041519</v>
      </c>
      <c r="G472" s="21" t="n">
        <f aca="false">G$5*4_Normalizacion!G470</f>
        <v>0.000280339284607229</v>
      </c>
      <c r="H472" s="21" t="n">
        <f aca="false">H$5*4_Normalizacion!H470</f>
        <v>0.00169754589383076</v>
      </c>
      <c r="I472" s="21" t="n">
        <f aca="false">I$5*4_Normalizacion!I470</f>
        <v>0.0112434730168058</v>
      </c>
      <c r="J472" s="21" t="n">
        <f aca="false">J$5*4_Normalizacion!J470</f>
        <v>0.000255567041403239</v>
      </c>
      <c r="K472" s="21" t="n">
        <f aca="false">K$5*4_Normalizacion!K470</f>
        <v>3.90133374367575E-005</v>
      </c>
      <c r="L472" s="21" t="n">
        <f aca="false">L$5*4_Normalizacion!L470</f>
        <v>0.00148610440231152</v>
      </c>
      <c r="M472" s="21" t="n">
        <f aca="false">M$5*4_Normalizacion!M470</f>
        <v>0.000602118665834363</v>
      </c>
      <c r="N472" s="21" t="n">
        <f aca="false">N$5*4_Normalizacion!N470</f>
        <v>0.00607918426103344</v>
      </c>
      <c r="O472" s="21" t="n">
        <f aca="false">O$5*4_Normalizacion!O470</f>
        <v>0.00200587264654955</v>
      </c>
      <c r="P472" s="21" t="n">
        <f aca="false">P$5*4_Normalizacion!P470</f>
        <v>0.00271682439873943</v>
      </c>
      <c r="Q472" s="21" t="n">
        <f aca="false">Q$5*4_Normalizacion!Q470</f>
        <v>0.0114370628719559</v>
      </c>
    </row>
    <row r="473" customFormat="false" ht="15" hidden="false" customHeight="false" outlineLevel="0" collapsed="false">
      <c r="A473" s="15" t="n">
        <f aca="false">4_Normalizacion!A471</f>
        <v>466</v>
      </c>
      <c r="B473" s="16" t="n">
        <f aca="false">4_Normalizacion!B471</f>
        <v>46.799</v>
      </c>
      <c r="C473" s="21" t="n">
        <f aca="false">C$5*4_Normalizacion!C471</f>
        <v>0.00211491006743141</v>
      </c>
      <c r="D473" s="21" t="n">
        <f aca="false">D$5*4_Normalizacion!D471</f>
        <v>0.00020543122737585</v>
      </c>
      <c r="E473" s="21" t="n">
        <f aca="false">E$5*4_Normalizacion!E471</f>
        <v>0.00232117381706033</v>
      </c>
      <c r="F473" s="21" t="n">
        <f aca="false">F$5*4_Normalizacion!F471</f>
        <v>0.000807018697041519</v>
      </c>
      <c r="G473" s="21" t="n">
        <f aca="false">G$5*4_Normalizacion!G471</f>
        <v>0.000280339284607229</v>
      </c>
      <c r="H473" s="21" t="n">
        <f aca="false">H$5*4_Normalizacion!H471</f>
        <v>0.00169754589383076</v>
      </c>
      <c r="I473" s="21" t="n">
        <f aca="false">I$5*4_Normalizacion!I471</f>
        <v>0.0140543412710073</v>
      </c>
      <c r="J473" s="21" t="n">
        <f aca="false">J$5*4_Normalizacion!J471</f>
        <v>0.000255567041403239</v>
      </c>
      <c r="K473" s="21" t="n">
        <f aca="false">K$5*4_Normalizacion!K471</f>
        <v>3.90133374367575E-005</v>
      </c>
      <c r="L473" s="21" t="n">
        <f aca="false">L$5*4_Normalizacion!L471</f>
        <v>0.00100226811748338</v>
      </c>
      <c r="M473" s="21" t="n">
        <f aca="false">M$5*4_Normalizacion!M471</f>
        <v>0.000682676566237588</v>
      </c>
      <c r="N473" s="21" t="n">
        <f aca="false">N$5*4_Normalizacion!N471</f>
        <v>0.00607918426103344</v>
      </c>
      <c r="O473" s="21" t="n">
        <f aca="false">O$5*4_Normalizacion!O471</f>
        <v>0.00200587264654955</v>
      </c>
      <c r="P473" s="21" t="n">
        <f aca="false">P$5*4_Normalizacion!P471</f>
        <v>0.00271682439873943</v>
      </c>
      <c r="Q473" s="21" t="n">
        <f aca="false">Q$5*4_Normalizacion!Q471</f>
        <v>0.00857779715396695</v>
      </c>
    </row>
    <row r="474" customFormat="false" ht="15" hidden="false" customHeight="false" outlineLevel="0" collapsed="false">
      <c r="A474" s="15" t="n">
        <f aca="false">4_Normalizacion!A472</f>
        <v>467</v>
      </c>
      <c r="B474" s="16" t="n">
        <f aca="false">4_Normalizacion!B472</f>
        <v>46.897</v>
      </c>
      <c r="C474" s="21" t="n">
        <f aca="false">C$5*4_Normalizacion!C472</f>
        <v>0.00211491006743141</v>
      </c>
      <c r="D474" s="21" t="n">
        <f aca="false">D$5*4_Normalizacion!D472</f>
        <v>0.00020543122737585</v>
      </c>
      <c r="E474" s="21" t="n">
        <f aca="false">E$5*4_Normalizacion!E472</f>
        <v>0.00185693905364827</v>
      </c>
      <c r="F474" s="21" t="n">
        <f aca="false">F$5*4_Normalizacion!F472</f>
        <v>0.0020175467426038</v>
      </c>
      <c r="G474" s="21" t="n">
        <f aca="false">G$5*4_Normalizacion!G472</f>
        <v>0.000280339284607229</v>
      </c>
      <c r="H474" s="21" t="n">
        <f aca="false">H$5*4_Normalizacion!H472</f>
        <v>0.00169754589383076</v>
      </c>
      <c r="I474" s="21" t="n">
        <f aca="false">I$5*4_Normalizacion!I472</f>
        <v>0.00843260476260438</v>
      </c>
      <c r="J474" s="21" t="n">
        <f aca="false">J$5*4_Normalizacion!J472</f>
        <v>0.000255567041403239</v>
      </c>
      <c r="K474" s="21" t="n">
        <f aca="false">K$5*4_Normalizacion!K472</f>
        <v>3.90133374367575E-005</v>
      </c>
      <c r="L474" s="21" t="n">
        <f aca="false">L$5*4_Normalizacion!L472</f>
        <v>0.000600157547087344</v>
      </c>
      <c r="M474" s="21" t="n">
        <f aca="false">M$5*4_Normalizacion!M472</f>
        <v>0.000783890338539076</v>
      </c>
      <c r="N474" s="21" t="n">
        <f aca="false">N$5*4_Normalizacion!N472</f>
        <v>0.00607918426103344</v>
      </c>
      <c r="O474" s="21" t="n">
        <f aca="false">O$5*4_Normalizacion!O472</f>
        <v>0.00200587264654955</v>
      </c>
      <c r="P474" s="21" t="n">
        <f aca="false">P$5*4_Normalizacion!P472</f>
        <v>0.00271682439873943</v>
      </c>
      <c r="Q474" s="21" t="n">
        <f aca="false">Q$5*4_Normalizacion!Q472</f>
        <v>0.00857779715396695</v>
      </c>
    </row>
    <row r="475" customFormat="false" ht="15" hidden="false" customHeight="false" outlineLevel="0" collapsed="false">
      <c r="A475" s="15" t="n">
        <f aca="false">4_Normalizacion!A473</f>
        <v>468</v>
      </c>
      <c r="B475" s="16" t="n">
        <f aca="false">4_Normalizacion!B473</f>
        <v>46.994</v>
      </c>
      <c r="C475" s="21" t="n">
        <f aca="false">C$5*4_Normalizacion!C473</f>
        <v>0.00211491006743141</v>
      </c>
      <c r="D475" s="21" t="n">
        <f aca="false">D$5*4_Normalizacion!D473</f>
        <v>0.00020543122737585</v>
      </c>
      <c r="E475" s="21" t="n">
        <f aca="false">E$5*4_Normalizacion!E473</f>
        <v>0.00185693905364827</v>
      </c>
      <c r="F475" s="21" t="n">
        <f aca="false">F$5*4_Normalizacion!F473</f>
        <v>0.0020175467426038</v>
      </c>
      <c r="G475" s="21" t="n">
        <f aca="false">G$5*4_Normalizacion!G473</f>
        <v>0.000280339284607229</v>
      </c>
      <c r="H475" s="21" t="n">
        <f aca="false">H$5*4_Normalizacion!H473</f>
        <v>0.00169754589383076</v>
      </c>
      <c r="I475" s="21" t="n">
        <f aca="false">I$5*4_Normalizacion!I473</f>
        <v>0.00843260476260438</v>
      </c>
      <c r="J475" s="21" t="n">
        <f aca="false">J$5*4_Normalizacion!J473</f>
        <v>0.000255567041403239</v>
      </c>
      <c r="K475" s="21" t="n">
        <f aca="false">K$5*4_Normalizacion!K473</f>
        <v>3.90133374367575E-005</v>
      </c>
      <c r="L475" s="21" t="n">
        <f aca="false">L$5*4_Normalizacion!L473</f>
        <v>0.000840320842872505</v>
      </c>
      <c r="M475" s="21" t="n">
        <f aca="false">M$5*4_Normalizacion!M473</f>
        <v>0.000646115672977663</v>
      </c>
      <c r="N475" s="21" t="n">
        <f aca="false">N$5*4_Normalizacion!N473</f>
        <v>0.00607918426103344</v>
      </c>
      <c r="O475" s="21" t="n">
        <f aca="false">O$5*4_Normalizacion!O473</f>
        <v>0.00200587264654955</v>
      </c>
      <c r="P475" s="21" t="n">
        <f aca="false">P$5*4_Normalizacion!P473</f>
        <v>0.00271682439873943</v>
      </c>
      <c r="Q475" s="21" t="n">
        <f aca="false">Q$5*4_Normalizacion!Q473</f>
        <v>0.0142963285899449</v>
      </c>
    </row>
    <row r="476" customFormat="false" ht="15" hidden="false" customHeight="false" outlineLevel="0" collapsed="false">
      <c r="A476" s="15" t="n">
        <f aca="false">4_Normalizacion!A474</f>
        <v>469</v>
      </c>
      <c r="B476" s="16" t="n">
        <f aca="false">4_Normalizacion!B474</f>
        <v>47.093</v>
      </c>
      <c r="C476" s="21" t="n">
        <f aca="false">C$5*4_Normalizacion!C474</f>
        <v>0.00211491006743141</v>
      </c>
      <c r="D476" s="21" t="n">
        <f aca="false">D$5*4_Normalizacion!D474</f>
        <v>0.00020543122737585</v>
      </c>
      <c r="E476" s="21" t="n">
        <f aca="false">E$5*4_Normalizacion!E474</f>
        <v>0.00185693905364827</v>
      </c>
      <c r="F476" s="21" t="n">
        <f aca="false">F$5*4_Normalizacion!F474</f>
        <v>0.0020175467426038</v>
      </c>
      <c r="G476" s="21" t="n">
        <f aca="false">G$5*4_Normalizacion!G474</f>
        <v>0.000280339284607229</v>
      </c>
      <c r="H476" s="21" t="n">
        <f aca="false">H$5*4_Normalizacion!H474</f>
        <v>0.00169754589383076</v>
      </c>
      <c r="I476" s="21" t="n">
        <f aca="false">I$5*4_Normalizacion!I474</f>
        <v>0.0112434730168058</v>
      </c>
      <c r="J476" s="21" t="n">
        <f aca="false">J$5*4_Normalizacion!J474</f>
        <v>0.000255567041403239</v>
      </c>
      <c r="K476" s="21" t="n">
        <f aca="false">K$5*4_Normalizacion!K474</f>
        <v>3.90133374367575E-005</v>
      </c>
      <c r="L476" s="21" t="n">
        <f aca="false">L$5*4_Normalizacion!L474</f>
        <v>0.00100728196499455</v>
      </c>
      <c r="M476" s="21" t="n">
        <f aca="false">M$5*4_Normalizacion!M474</f>
        <v>0.00068907988652605</v>
      </c>
      <c r="N476" s="21" t="n">
        <f aca="false">N$5*4_Normalizacion!N474</f>
        <v>0.00607918426103344</v>
      </c>
      <c r="O476" s="21" t="n">
        <f aca="false">O$5*4_Normalizacion!O474</f>
        <v>0.00200587264654955</v>
      </c>
      <c r="P476" s="21" t="n">
        <f aca="false">P$5*4_Normalizacion!P474</f>
        <v>0.00271682439873943</v>
      </c>
      <c r="Q476" s="21" t="n">
        <f aca="false">Q$5*4_Normalizacion!Q474</f>
        <v>0.0142963285899449</v>
      </c>
    </row>
    <row r="477" customFormat="false" ht="15" hidden="false" customHeight="false" outlineLevel="0" collapsed="false">
      <c r="A477" s="15" t="n">
        <f aca="false">4_Normalizacion!A475</f>
        <v>470</v>
      </c>
      <c r="B477" s="16" t="n">
        <f aca="false">4_Normalizacion!B475</f>
        <v>47.191</v>
      </c>
      <c r="C477" s="21" t="n">
        <f aca="false">C$5*4_Normalizacion!C475</f>
        <v>0.00211491006743141</v>
      </c>
      <c r="D477" s="21" t="n">
        <f aca="false">D$5*4_Normalizacion!D475</f>
        <v>0.00020543122737585</v>
      </c>
      <c r="E477" s="21" t="n">
        <f aca="false">E$5*4_Normalizacion!E475</f>
        <v>0.00185693905364827</v>
      </c>
      <c r="F477" s="21" t="n">
        <f aca="false">F$5*4_Normalizacion!F475</f>
        <v>0.0020175467426038</v>
      </c>
      <c r="G477" s="21" t="n">
        <f aca="false">G$5*4_Normalizacion!G475</f>
        <v>0.000280339284607229</v>
      </c>
      <c r="H477" s="21" t="n">
        <f aca="false">H$5*4_Normalizacion!H475</f>
        <v>0.00169754589383076</v>
      </c>
      <c r="I477" s="21" t="n">
        <f aca="false">I$5*4_Normalizacion!I475</f>
        <v>0.0112434730168058</v>
      </c>
      <c r="J477" s="21" t="n">
        <f aca="false">J$5*4_Normalizacion!J475</f>
        <v>0.000255567041403239</v>
      </c>
      <c r="K477" s="21" t="n">
        <f aca="false">K$5*4_Normalizacion!K475</f>
        <v>3.90133374367575E-005</v>
      </c>
      <c r="L477" s="21" t="n">
        <f aca="false">L$5*4_Normalizacion!L475</f>
        <v>0.00155880519122352</v>
      </c>
      <c r="M477" s="21" t="n">
        <f aca="false">M$5*4_Normalizacion!M475</f>
        <v>0.000482727726262404</v>
      </c>
      <c r="N477" s="21" t="n">
        <f aca="false">N$5*4_Normalizacion!N475</f>
        <v>0.00607918426103344</v>
      </c>
      <c r="O477" s="21" t="n">
        <f aca="false">O$5*4_Normalizacion!O475</f>
        <v>0.00200587264654955</v>
      </c>
      <c r="P477" s="21" t="n">
        <f aca="false">P$5*4_Normalizacion!P475</f>
        <v>0.00271682439873943</v>
      </c>
      <c r="Q477" s="21" t="n">
        <f aca="false">Q$5*4_Normalizacion!Q475</f>
        <v>0.0142963285899449</v>
      </c>
    </row>
    <row r="478" customFormat="false" ht="15" hidden="false" customHeight="false" outlineLevel="0" collapsed="false">
      <c r="A478" s="15" t="n">
        <f aca="false">4_Normalizacion!A476</f>
        <v>471</v>
      </c>
      <c r="B478" s="16" t="n">
        <f aca="false">4_Normalizacion!B476</f>
        <v>47.29</v>
      </c>
      <c r="C478" s="21" t="n">
        <f aca="false">C$5*4_Normalizacion!C476</f>
        <v>0.00211491006743141</v>
      </c>
      <c r="D478" s="21" t="n">
        <f aca="false">D$5*4_Normalizacion!D476</f>
        <v>0.00020543122737585</v>
      </c>
      <c r="E478" s="21" t="n">
        <f aca="false">E$5*4_Normalizacion!E476</f>
        <v>0.00185693905364827</v>
      </c>
      <c r="F478" s="21" t="n">
        <f aca="false">F$5*4_Normalizacion!F476</f>
        <v>0.0020175467426038</v>
      </c>
      <c r="G478" s="21" t="n">
        <f aca="false">G$5*4_Normalizacion!G476</f>
        <v>0.000280339284607229</v>
      </c>
      <c r="H478" s="21" t="n">
        <f aca="false">H$5*4_Normalizacion!H476</f>
        <v>0.00169754589383076</v>
      </c>
      <c r="I478" s="21" t="n">
        <f aca="false">I$5*4_Normalizacion!I476</f>
        <v>0.0140543412710073</v>
      </c>
      <c r="J478" s="21" t="n">
        <f aca="false">J$5*4_Normalizacion!J476</f>
        <v>0.000255567041403239</v>
      </c>
      <c r="K478" s="21" t="n">
        <f aca="false">K$5*4_Normalizacion!K476</f>
        <v>3.90133374367575E-005</v>
      </c>
      <c r="L478" s="21" t="n">
        <f aca="false">L$5*4_Normalizacion!L476</f>
        <v>0.00143696869670203</v>
      </c>
      <c r="M478" s="21" t="n">
        <f aca="false">M$5*4_Normalizacion!M476</f>
        <v>0.000524452587496895</v>
      </c>
      <c r="N478" s="21" t="n">
        <f aca="false">N$5*4_Normalizacion!N476</f>
        <v>0.00607918426103344</v>
      </c>
      <c r="O478" s="21" t="n">
        <f aca="false">O$5*4_Normalizacion!O476</f>
        <v>0.00200587264654955</v>
      </c>
      <c r="P478" s="21" t="n">
        <f aca="false">P$5*4_Normalizacion!P476</f>
        <v>0.00271682439873943</v>
      </c>
      <c r="Q478" s="21" t="n">
        <f aca="false">Q$5*4_Normalizacion!Q476</f>
        <v>0.00285926571798898</v>
      </c>
    </row>
    <row r="479" customFormat="false" ht="15" hidden="false" customHeight="false" outlineLevel="0" collapsed="false">
      <c r="A479" s="15" t="n">
        <f aca="false">4_Normalizacion!A477</f>
        <v>472</v>
      </c>
      <c r="B479" s="16" t="n">
        <f aca="false">4_Normalizacion!B477</f>
        <v>47.389</v>
      </c>
      <c r="C479" s="21" t="n">
        <f aca="false">C$5*4_Normalizacion!C477</f>
        <v>0.00211491006743141</v>
      </c>
      <c r="D479" s="21" t="n">
        <f aca="false">D$5*4_Normalizacion!D477</f>
        <v>0.00020543122737585</v>
      </c>
      <c r="E479" s="21" t="n">
        <f aca="false">E$5*4_Normalizacion!E477</f>
        <v>0.00232117381706033</v>
      </c>
      <c r="F479" s="21" t="n">
        <f aca="false">F$5*4_Normalizacion!F477</f>
        <v>0.0020175467426038</v>
      </c>
      <c r="G479" s="21" t="n">
        <f aca="false">G$5*4_Normalizacion!G477</f>
        <v>0.000280339284607229</v>
      </c>
      <c r="H479" s="21" t="n">
        <f aca="false">H$5*4_Normalizacion!H477</f>
        <v>0.00169754589383076</v>
      </c>
      <c r="I479" s="21" t="n">
        <f aca="false">I$5*4_Normalizacion!I477</f>
        <v>0.0140543412710073</v>
      </c>
      <c r="J479" s="21" t="n">
        <f aca="false">J$5*4_Normalizacion!J477</f>
        <v>0.000255567041403239</v>
      </c>
      <c r="K479" s="21" t="n">
        <f aca="false">K$5*4_Normalizacion!K477</f>
        <v>3.90133374367575E-005</v>
      </c>
      <c r="L479" s="21" t="n">
        <f aca="false">L$5*4_Normalizacion!L477</f>
        <v>0.00148058917004923</v>
      </c>
      <c r="M479" s="21" t="n">
        <f aca="false">M$5*4_Normalizacion!M477</f>
        <v>0.000522593559026051</v>
      </c>
      <c r="N479" s="21" t="n">
        <f aca="false">N$5*4_Normalizacion!N477</f>
        <v>0.00607918426103344</v>
      </c>
      <c r="O479" s="21" t="n">
        <f aca="false">O$5*4_Normalizacion!O477</f>
        <v>0.00200587264654955</v>
      </c>
      <c r="P479" s="21" t="n">
        <f aca="false">P$5*4_Normalizacion!P477</f>
        <v>0.00271682439873943</v>
      </c>
      <c r="Q479" s="21" t="n">
        <f aca="false">Q$5*4_Normalizacion!Q477</f>
        <v>0.0142963285899449</v>
      </c>
    </row>
    <row r="480" customFormat="false" ht="15" hidden="false" customHeight="false" outlineLevel="0" collapsed="false">
      <c r="A480" s="15" t="n">
        <f aca="false">4_Normalizacion!A478</f>
        <v>473</v>
      </c>
      <c r="B480" s="16" t="n">
        <f aca="false">4_Normalizacion!B478</f>
        <v>47.49</v>
      </c>
      <c r="C480" s="21" t="n">
        <f aca="false">C$5*4_Normalizacion!C478</f>
        <v>0.00211491006743141</v>
      </c>
      <c r="D480" s="21" t="n">
        <f aca="false">D$5*4_Normalizacion!D478</f>
        <v>0.00020543122737585</v>
      </c>
      <c r="E480" s="21" t="n">
        <f aca="false">E$5*4_Normalizacion!E478</f>
        <v>0.00232117381706033</v>
      </c>
      <c r="F480" s="21" t="n">
        <f aca="false">F$5*4_Normalizacion!F478</f>
        <v>0.00161403739408304</v>
      </c>
      <c r="G480" s="21" t="n">
        <f aca="false">G$5*4_Normalizacion!G478</f>
        <v>0.000280339284607229</v>
      </c>
      <c r="H480" s="21" t="n">
        <f aca="false">H$5*4_Normalizacion!H478</f>
        <v>0.00169754589383076</v>
      </c>
      <c r="I480" s="21" t="n">
        <f aca="false">I$5*4_Normalizacion!I478</f>
        <v>0.0140543412710073</v>
      </c>
      <c r="J480" s="21" t="n">
        <f aca="false">J$5*4_Normalizacion!J478</f>
        <v>0.000255567041403239</v>
      </c>
      <c r="K480" s="21" t="n">
        <f aca="false">K$5*4_Normalizacion!K478</f>
        <v>3.90133374367575E-005</v>
      </c>
      <c r="L480" s="21" t="n">
        <f aca="false">L$5*4_Normalizacion!L478</f>
        <v>0.000658318178216945</v>
      </c>
      <c r="M480" s="21" t="n">
        <f aca="false">M$5*4_Normalizacion!M478</f>
        <v>0.000717171872307687</v>
      </c>
      <c r="N480" s="21" t="n">
        <f aca="false">N$5*4_Normalizacion!N478</f>
        <v>0.00607918426103344</v>
      </c>
      <c r="O480" s="21" t="n">
        <f aca="false">O$5*4_Normalizacion!O478</f>
        <v>0.00200587264654955</v>
      </c>
      <c r="P480" s="21" t="n">
        <f aca="false">P$5*4_Normalizacion!P478</f>
        <v>0.00271682439873943</v>
      </c>
      <c r="Q480" s="21" t="n">
        <f aca="false">Q$5*4_Normalizacion!Q478</f>
        <v>0.00285926571798898</v>
      </c>
    </row>
    <row r="481" customFormat="false" ht="15" hidden="false" customHeight="false" outlineLevel="0" collapsed="false">
      <c r="A481" s="15" t="n">
        <f aca="false">4_Normalizacion!A479</f>
        <v>474</v>
      </c>
      <c r="B481" s="16" t="n">
        <f aca="false">4_Normalizacion!B479</f>
        <v>47.59</v>
      </c>
      <c r="C481" s="21" t="n">
        <f aca="false">C$5*4_Normalizacion!C479</f>
        <v>0.00211491006743141</v>
      </c>
      <c r="D481" s="21" t="n">
        <f aca="false">D$5*4_Normalizacion!D479</f>
        <v>0.00020543122737585</v>
      </c>
      <c r="E481" s="21" t="n">
        <f aca="false">E$5*4_Normalizacion!E479</f>
        <v>0.00232117381706033</v>
      </c>
      <c r="F481" s="21" t="n">
        <f aca="false">F$5*4_Normalizacion!F479</f>
        <v>0.00121052804556228</v>
      </c>
      <c r="G481" s="21" t="n">
        <f aca="false">G$5*4_Normalizacion!G479</f>
        <v>0.000280339284607229</v>
      </c>
      <c r="H481" s="21" t="n">
        <f aca="false">H$5*4_Normalizacion!H479</f>
        <v>0.00169754589383076</v>
      </c>
      <c r="I481" s="21" t="n">
        <f aca="false">I$5*4_Normalizacion!I479</f>
        <v>0.0140543412710073</v>
      </c>
      <c r="J481" s="21" t="n">
        <f aca="false">J$5*4_Normalizacion!J479</f>
        <v>0.000255567041403239</v>
      </c>
      <c r="K481" s="21" t="n">
        <f aca="false">K$5*4_Normalizacion!K479</f>
        <v>3.90133374367575E-005</v>
      </c>
      <c r="L481" s="21" t="n">
        <f aca="false">L$5*4_Normalizacion!L479</f>
        <v>0.000805725295045415</v>
      </c>
      <c r="M481" s="21" t="n">
        <f aca="false">M$5*4_Normalizacion!M479</f>
        <v>0.00073700150933002</v>
      </c>
      <c r="N481" s="21" t="n">
        <f aca="false">N$5*4_Normalizacion!N479</f>
        <v>0.00607918426103344</v>
      </c>
      <c r="O481" s="21" t="n">
        <f aca="false">O$5*4_Normalizacion!O479</f>
        <v>0.00200587264654955</v>
      </c>
      <c r="P481" s="21" t="n">
        <f aca="false">P$5*4_Normalizacion!P479</f>
        <v>0.00271682439873943</v>
      </c>
      <c r="Q481" s="21" t="n">
        <f aca="false">Q$5*4_Normalizacion!Q479</f>
        <v>0.00285926571798898</v>
      </c>
    </row>
    <row r="482" customFormat="false" ht="15" hidden="false" customHeight="false" outlineLevel="0" collapsed="false">
      <c r="A482" s="15" t="n">
        <f aca="false">4_Normalizacion!A480</f>
        <v>475</v>
      </c>
      <c r="B482" s="16" t="n">
        <f aca="false">4_Normalizacion!B480</f>
        <v>47.691</v>
      </c>
      <c r="C482" s="21" t="n">
        <f aca="false">C$5*4_Normalizacion!C480</f>
        <v>0.00211491006743141</v>
      </c>
      <c r="D482" s="21" t="n">
        <f aca="false">D$5*4_Normalizacion!D480</f>
        <v>0.00020543122737585</v>
      </c>
      <c r="E482" s="21" t="n">
        <f aca="false">E$5*4_Normalizacion!E480</f>
        <v>0.00185693905364827</v>
      </c>
      <c r="F482" s="21" t="n">
        <f aca="false">F$5*4_Normalizacion!F480</f>
        <v>0.00161403739408304</v>
      </c>
      <c r="G482" s="21" t="n">
        <f aca="false">G$5*4_Normalizacion!G480</f>
        <v>0.000280339284607229</v>
      </c>
      <c r="H482" s="21" t="n">
        <f aca="false">H$5*4_Normalizacion!H480</f>
        <v>0.00169754589383076</v>
      </c>
      <c r="I482" s="21" t="n">
        <f aca="false">I$5*4_Normalizacion!I480</f>
        <v>0.0112434730168058</v>
      </c>
      <c r="J482" s="21" t="n">
        <f aca="false">J$5*4_Normalizacion!J480</f>
        <v>0.000255567041403239</v>
      </c>
      <c r="K482" s="21" t="n">
        <f aca="false">K$5*4_Normalizacion!K480</f>
        <v>3.90133374367575E-005</v>
      </c>
      <c r="L482" s="21" t="n">
        <f aca="false">L$5*4_Normalizacion!L480</f>
        <v>0.000995248730967735</v>
      </c>
      <c r="M482" s="21" t="n">
        <f aca="false">M$5*4_Normalizacion!M480</f>
        <v>0.000773768961308928</v>
      </c>
      <c r="N482" s="21" t="n">
        <f aca="false">N$5*4_Normalizacion!N480</f>
        <v>0.00607918426103344</v>
      </c>
      <c r="O482" s="21" t="n">
        <f aca="false">O$5*4_Normalizacion!O480</f>
        <v>0.00200587264654955</v>
      </c>
      <c r="P482" s="21" t="n">
        <f aca="false">P$5*4_Normalizacion!P480</f>
        <v>0.00271682439873943</v>
      </c>
      <c r="Q482" s="21" t="n">
        <f aca="false">Q$5*4_Normalizacion!Q480</f>
        <v>0.00285926571798898</v>
      </c>
    </row>
    <row r="483" customFormat="false" ht="15" hidden="false" customHeight="false" outlineLevel="0" collapsed="false">
      <c r="A483" s="15" t="n">
        <f aca="false">4_Normalizacion!A481</f>
        <v>476</v>
      </c>
      <c r="B483" s="16" t="n">
        <f aca="false">4_Normalizacion!B481</f>
        <v>47.792</v>
      </c>
      <c r="C483" s="21" t="n">
        <f aca="false">C$5*4_Normalizacion!C481</f>
        <v>0.00211491006743141</v>
      </c>
      <c r="D483" s="21" t="n">
        <f aca="false">D$5*4_Normalizacion!D481</f>
        <v>0.00020543122737585</v>
      </c>
      <c r="E483" s="21" t="n">
        <f aca="false">E$5*4_Normalizacion!E481</f>
        <v>0.00232117381706033</v>
      </c>
      <c r="F483" s="21" t="n">
        <f aca="false">F$5*4_Normalizacion!F481</f>
        <v>0.00121052804556228</v>
      </c>
      <c r="G483" s="21" t="n">
        <f aca="false">G$5*4_Normalizacion!G481</f>
        <v>0.000280339284607229</v>
      </c>
      <c r="H483" s="21" t="n">
        <f aca="false">H$5*4_Normalizacion!H481</f>
        <v>0.00169754589383076</v>
      </c>
      <c r="I483" s="21" t="n">
        <f aca="false">I$5*4_Normalizacion!I481</f>
        <v>0.0140543412710073</v>
      </c>
      <c r="J483" s="21" t="n">
        <f aca="false">J$5*4_Normalizacion!J481</f>
        <v>0.000255567041403239</v>
      </c>
      <c r="K483" s="21" t="n">
        <f aca="false">K$5*4_Normalizacion!K481</f>
        <v>3.90133374367575E-005</v>
      </c>
      <c r="L483" s="21" t="n">
        <f aca="false">L$5*4_Normalizacion!L481</f>
        <v>0.00120131786367692</v>
      </c>
      <c r="M483" s="21" t="n">
        <f aca="false">M$5*4_Normalizacion!M481</f>
        <v>0.000742578594742551</v>
      </c>
      <c r="N483" s="21" t="n">
        <f aca="false">N$5*4_Normalizacion!N481</f>
        <v>0.00607918426103344</v>
      </c>
      <c r="O483" s="21" t="n">
        <f aca="false">O$5*4_Normalizacion!O481</f>
        <v>0.00200587264654955</v>
      </c>
      <c r="P483" s="21" t="n">
        <f aca="false">P$5*4_Normalizacion!P481</f>
        <v>0.00271682439873943</v>
      </c>
      <c r="Q483" s="21" t="n">
        <f aca="false">Q$5*4_Normalizacion!Q481</f>
        <v>0.00285926571798898</v>
      </c>
    </row>
    <row r="484" customFormat="false" ht="15" hidden="false" customHeight="false" outlineLevel="0" collapsed="false">
      <c r="A484" s="15" t="n">
        <f aca="false">4_Normalizacion!A482</f>
        <v>477</v>
      </c>
      <c r="B484" s="16" t="n">
        <f aca="false">4_Normalizacion!B482</f>
        <v>47.892</v>
      </c>
      <c r="C484" s="21" t="n">
        <f aca="false">C$5*4_Normalizacion!C482</f>
        <v>0.00211491006743141</v>
      </c>
      <c r="D484" s="21" t="n">
        <f aca="false">D$5*4_Normalizacion!D482</f>
        <v>0.00020543122737585</v>
      </c>
      <c r="E484" s="21" t="n">
        <f aca="false">E$5*4_Normalizacion!E482</f>
        <v>0.00185693905364827</v>
      </c>
      <c r="F484" s="21" t="n">
        <f aca="false">F$5*4_Normalizacion!F482</f>
        <v>0.00161403739408304</v>
      </c>
      <c r="G484" s="21" t="n">
        <f aca="false">G$5*4_Normalizacion!G482</f>
        <v>0.000280339284607229</v>
      </c>
      <c r="H484" s="21" t="n">
        <f aca="false">H$5*4_Normalizacion!H482</f>
        <v>0.00169754589383076</v>
      </c>
      <c r="I484" s="21" t="n">
        <f aca="false">I$5*4_Normalizacion!I482</f>
        <v>0.0112434730168058</v>
      </c>
      <c r="J484" s="21" t="n">
        <f aca="false">J$5*4_Normalizacion!J482</f>
        <v>0.000255567041403239</v>
      </c>
      <c r="K484" s="21" t="n">
        <f aca="false">K$5*4_Normalizacion!K482</f>
        <v>3.90133374367575E-005</v>
      </c>
      <c r="L484" s="21" t="n">
        <f aca="false">L$5*4_Normalizacion!L482</f>
        <v>0.000947115794860479</v>
      </c>
      <c r="M484" s="21" t="n">
        <f aca="false">M$5*4_Normalizacion!M482</f>
        <v>0.000772529608995032</v>
      </c>
      <c r="N484" s="21" t="n">
        <f aca="false">N$5*4_Normalizacion!N482</f>
        <v>0.00607918426103344</v>
      </c>
      <c r="O484" s="21" t="n">
        <f aca="false">O$5*4_Normalizacion!O482</f>
        <v>0.00200587264654955</v>
      </c>
      <c r="P484" s="21" t="n">
        <f aca="false">P$5*4_Normalizacion!P482</f>
        <v>0.00271682439873943</v>
      </c>
      <c r="Q484" s="21" t="n">
        <f aca="false">Q$5*4_Normalizacion!Q482</f>
        <v>0.00285926571798898</v>
      </c>
    </row>
    <row r="485" customFormat="false" ht="15" hidden="false" customHeight="false" outlineLevel="0" collapsed="false">
      <c r="A485" s="15" t="n">
        <f aca="false">4_Normalizacion!A483</f>
        <v>478</v>
      </c>
      <c r="B485" s="16" t="n">
        <f aca="false">4_Normalizacion!B483</f>
        <v>47.992</v>
      </c>
      <c r="C485" s="21" t="n">
        <f aca="false">C$5*4_Normalizacion!C483</f>
        <v>0.00211491006743141</v>
      </c>
      <c r="D485" s="21" t="n">
        <f aca="false">D$5*4_Normalizacion!D483</f>
        <v>0.00016434498190068</v>
      </c>
      <c r="E485" s="21" t="n">
        <f aca="false">E$5*4_Normalizacion!E483</f>
        <v>0.00232117381706033</v>
      </c>
      <c r="F485" s="21" t="n">
        <f aca="false">F$5*4_Normalizacion!F483</f>
        <v>0.00121052804556228</v>
      </c>
      <c r="G485" s="21" t="n">
        <f aca="false">G$5*4_Normalizacion!G483</f>
        <v>0.000280339284607229</v>
      </c>
      <c r="H485" s="21" t="n">
        <f aca="false">H$5*4_Normalizacion!H483</f>
        <v>0.00169754589383076</v>
      </c>
      <c r="I485" s="21" t="n">
        <f aca="false">I$5*4_Normalizacion!I483</f>
        <v>0.0140543412710073</v>
      </c>
      <c r="J485" s="21" t="n">
        <f aca="false">J$5*4_Normalizacion!J483</f>
        <v>0.000255567041403239</v>
      </c>
      <c r="K485" s="21" t="n">
        <f aca="false">K$5*4_Normalizacion!K483</f>
        <v>3.90133374367575E-005</v>
      </c>
      <c r="L485" s="21" t="n">
        <f aca="false">L$5*4_Normalizacion!L483</f>
        <v>0.000859874848166078</v>
      </c>
      <c r="M485" s="21" t="n">
        <f aca="false">M$5*4_Normalizacion!M483</f>
        <v>0.000807851149941061</v>
      </c>
      <c r="N485" s="21" t="n">
        <f aca="false">N$5*4_Normalizacion!N483</f>
        <v>0.00607918426103344</v>
      </c>
      <c r="O485" s="21" t="n">
        <f aca="false">O$5*4_Normalizacion!O483</f>
        <v>0.00200587264654955</v>
      </c>
      <c r="P485" s="21" t="n">
        <f aca="false">P$5*4_Normalizacion!P483</f>
        <v>0.00271682439873943</v>
      </c>
      <c r="Q485" s="21" t="n">
        <f aca="false">Q$5*4_Normalizacion!Q483</f>
        <v>0.00285926571798898</v>
      </c>
    </row>
    <row r="486" customFormat="false" ht="15" hidden="false" customHeight="false" outlineLevel="0" collapsed="false">
      <c r="A486" s="15" t="n">
        <f aca="false">4_Normalizacion!A484</f>
        <v>479</v>
      </c>
      <c r="B486" s="16" t="n">
        <f aca="false">4_Normalizacion!B484</f>
        <v>48.092</v>
      </c>
      <c r="C486" s="21" t="n">
        <f aca="false">C$5*4_Normalizacion!C484</f>
        <v>0.00211491006743141</v>
      </c>
      <c r="D486" s="21" t="n">
        <f aca="false">D$5*4_Normalizacion!D484</f>
        <v>0.00016434498190068</v>
      </c>
      <c r="E486" s="21" t="n">
        <f aca="false">E$5*4_Normalizacion!E484</f>
        <v>0.00185693905364827</v>
      </c>
      <c r="F486" s="21" t="n">
        <f aca="false">F$5*4_Normalizacion!F484</f>
        <v>0.000807018697041519</v>
      </c>
      <c r="G486" s="21" t="n">
        <f aca="false">G$5*4_Normalizacion!G484</f>
        <v>0.000280339284607229</v>
      </c>
      <c r="H486" s="21" t="n">
        <f aca="false">H$5*4_Normalizacion!H484</f>
        <v>0.00169754589383076</v>
      </c>
      <c r="I486" s="21" t="n">
        <f aca="false">I$5*4_Normalizacion!I484</f>
        <v>0.0112434730168058</v>
      </c>
      <c r="J486" s="21" t="n">
        <f aca="false">J$5*4_Normalizacion!J484</f>
        <v>0.000255567041403239</v>
      </c>
      <c r="K486" s="21" t="n">
        <f aca="false">K$5*4_Normalizacion!K484</f>
        <v>3.90133374367575E-005</v>
      </c>
      <c r="L486" s="21" t="n">
        <f aca="false">L$5*4_Normalizacion!L484</f>
        <v>0.000915027170788975</v>
      </c>
      <c r="M486" s="21" t="n">
        <f aca="false">M$5*4_Normalizacion!M484</f>
        <v>0.000813634794072575</v>
      </c>
      <c r="N486" s="21" t="n">
        <f aca="false">N$5*4_Normalizacion!N484</f>
        <v>0.0075989803262918</v>
      </c>
      <c r="O486" s="21" t="n">
        <f aca="false">O$5*4_Normalizacion!O484</f>
        <v>0.00200587264654955</v>
      </c>
      <c r="P486" s="21" t="n">
        <f aca="false">P$5*4_Normalizacion!P484</f>
        <v>0.00271682439873943</v>
      </c>
      <c r="Q486" s="21" t="n">
        <f aca="false">Q$5*4_Normalizacion!Q484</f>
        <v>0.00285926571798898</v>
      </c>
    </row>
    <row r="487" customFormat="false" ht="15" hidden="false" customHeight="false" outlineLevel="0" collapsed="false">
      <c r="A487" s="15" t="n">
        <f aca="false">4_Normalizacion!A485</f>
        <v>480</v>
      </c>
      <c r="B487" s="16" t="n">
        <f aca="false">4_Normalizacion!B485</f>
        <v>48.191</v>
      </c>
      <c r="C487" s="21" t="n">
        <f aca="false">C$5*4_Normalizacion!C485</f>
        <v>0.00211491006743141</v>
      </c>
      <c r="D487" s="21" t="n">
        <f aca="false">D$5*4_Normalizacion!D485</f>
        <v>0.00016434498190068</v>
      </c>
      <c r="E487" s="21" t="n">
        <f aca="false">E$5*4_Normalizacion!E485</f>
        <v>0.00185693905364827</v>
      </c>
      <c r="F487" s="21" t="n">
        <f aca="false">F$5*4_Normalizacion!F485</f>
        <v>0.00121052804556228</v>
      </c>
      <c r="G487" s="21" t="n">
        <f aca="false">G$5*4_Normalizacion!G485</f>
        <v>0.000280339284607229</v>
      </c>
      <c r="H487" s="21" t="n">
        <f aca="false">H$5*4_Normalizacion!H485</f>
        <v>0.00169754589383076</v>
      </c>
      <c r="I487" s="21" t="n">
        <f aca="false">I$5*4_Normalizacion!I485</f>
        <v>0.00843260476260438</v>
      </c>
      <c r="J487" s="21" t="n">
        <f aca="false">J$5*4_Normalizacion!J485</f>
        <v>0.000255567041403239</v>
      </c>
      <c r="K487" s="21" t="n">
        <f aca="false">K$5*4_Normalizacion!K485</f>
        <v>3.90133374367575E-005</v>
      </c>
      <c r="L487" s="21" t="n">
        <f aca="false">L$5*4_Normalizacion!L485</f>
        <v>0.00130360035290484</v>
      </c>
      <c r="M487" s="21" t="n">
        <f aca="false">M$5*4_Normalizacion!M485</f>
        <v>0.000722335840282253</v>
      </c>
      <c r="N487" s="21" t="n">
        <f aca="false">N$5*4_Normalizacion!N485</f>
        <v>0.0075989803262918</v>
      </c>
      <c r="O487" s="21" t="n">
        <f aca="false">O$5*4_Normalizacion!O485</f>
        <v>0.00200587264654955</v>
      </c>
      <c r="P487" s="21" t="n">
        <f aca="false">P$5*4_Normalizacion!P485</f>
        <v>0.00271682439873943</v>
      </c>
      <c r="Q487" s="21" t="n">
        <f aca="false">Q$5*4_Normalizacion!Q485</f>
        <v>0.00571853143597797</v>
      </c>
    </row>
    <row r="488" customFormat="false" ht="15" hidden="false" customHeight="false" outlineLevel="0" collapsed="false">
      <c r="A488" s="15" t="n">
        <f aca="false">4_Normalizacion!A486</f>
        <v>481</v>
      </c>
      <c r="B488" s="16" t="n">
        <f aca="false">4_Normalizacion!B486</f>
        <v>48.29</v>
      </c>
      <c r="C488" s="21" t="n">
        <f aca="false">C$5*4_Normalizacion!C486</f>
        <v>0.00211491006743141</v>
      </c>
      <c r="D488" s="21" t="n">
        <f aca="false">D$5*4_Normalizacion!D486</f>
        <v>0.00016434498190068</v>
      </c>
      <c r="E488" s="21" t="n">
        <f aca="false">E$5*4_Normalizacion!E486</f>
        <v>0.00185693905364827</v>
      </c>
      <c r="F488" s="21" t="n">
        <f aca="false">F$5*4_Normalizacion!F486</f>
        <v>0.00161403739408304</v>
      </c>
      <c r="G488" s="21" t="n">
        <f aca="false">G$5*4_Normalizacion!G486</f>
        <v>0.000280339284607229</v>
      </c>
      <c r="H488" s="21" t="n">
        <f aca="false">H$5*4_Normalizacion!H486</f>
        <v>0.00169754589383076</v>
      </c>
      <c r="I488" s="21" t="n">
        <f aca="false">I$5*4_Normalizacion!I486</f>
        <v>0.00562173650840292</v>
      </c>
      <c r="J488" s="21" t="n">
        <f aca="false">J$5*4_Normalizacion!J486</f>
        <v>0.000255567041403239</v>
      </c>
      <c r="K488" s="21" t="n">
        <f aca="false">K$5*4_Normalizacion!K486</f>
        <v>3.90133374367575E-005</v>
      </c>
      <c r="L488" s="21" t="n">
        <f aca="false">L$5*4_Normalizacion!L486</f>
        <v>0.00122989679449061</v>
      </c>
      <c r="M488" s="21" t="n">
        <f aca="false">M$5*4_Normalizacion!M486</f>
        <v>0.000782031310068233</v>
      </c>
      <c r="N488" s="21" t="n">
        <f aca="false">N$5*4_Normalizacion!N486</f>
        <v>0.0075989803262918</v>
      </c>
      <c r="O488" s="21" t="n">
        <f aca="false">O$5*4_Normalizacion!O486</f>
        <v>0.00200587264654955</v>
      </c>
      <c r="P488" s="21" t="n">
        <f aca="false">P$5*4_Normalizacion!P486</f>
        <v>0.00271682439873943</v>
      </c>
      <c r="Q488" s="21" t="n">
        <f aca="false">Q$5*4_Normalizacion!Q486</f>
        <v>0.00285926571798898</v>
      </c>
    </row>
    <row r="489" customFormat="false" ht="15" hidden="false" customHeight="false" outlineLevel="0" collapsed="false">
      <c r="A489" s="15" t="n">
        <f aca="false">4_Normalizacion!A487</f>
        <v>482</v>
      </c>
      <c r="B489" s="16" t="n">
        <f aca="false">4_Normalizacion!B487</f>
        <v>48.389</v>
      </c>
      <c r="C489" s="21" t="n">
        <f aca="false">C$5*4_Normalizacion!C487</f>
        <v>0.00211491006743141</v>
      </c>
      <c r="D489" s="21" t="n">
        <f aca="false">D$5*4_Normalizacion!D487</f>
        <v>0.00016434498190068</v>
      </c>
      <c r="E489" s="21" t="n">
        <f aca="false">E$5*4_Normalizacion!E487</f>
        <v>0.00185693905364827</v>
      </c>
      <c r="F489" s="21" t="n">
        <f aca="false">F$5*4_Normalizacion!F487</f>
        <v>0.00161403739408304</v>
      </c>
      <c r="G489" s="21" t="n">
        <f aca="false">G$5*4_Normalizacion!G487</f>
        <v>0.000280339284607229</v>
      </c>
      <c r="H489" s="21" t="n">
        <f aca="false">H$5*4_Normalizacion!H487</f>
        <v>0.00169754589383076</v>
      </c>
      <c r="I489" s="21" t="n">
        <f aca="false">I$5*4_Normalizacion!I487</f>
        <v>0.00281086825420146</v>
      </c>
      <c r="J489" s="21" t="n">
        <f aca="false">J$5*4_Normalizacion!J487</f>
        <v>0.000255567041403239</v>
      </c>
      <c r="K489" s="21" t="n">
        <f aca="false">K$5*4_Normalizacion!K487</f>
        <v>3.90133374367575E-005</v>
      </c>
      <c r="L489" s="21" t="n">
        <f aca="false">L$5*4_Normalizacion!L487</f>
        <v>0.0011366392307828</v>
      </c>
      <c r="M489" s="21" t="n">
        <f aca="false">M$5*4_Normalizacion!M487</f>
        <v>0.000826234875930515</v>
      </c>
      <c r="N489" s="21" t="n">
        <f aca="false">N$5*4_Normalizacion!N487</f>
        <v>0.0075989803262918</v>
      </c>
      <c r="O489" s="21" t="n">
        <f aca="false">O$5*4_Normalizacion!O487</f>
        <v>0.00200587264654955</v>
      </c>
      <c r="P489" s="21" t="n">
        <f aca="false">P$5*4_Normalizacion!P487</f>
        <v>0.00271682439873943</v>
      </c>
      <c r="Q489" s="21" t="n">
        <f aca="false">Q$5*4_Normalizacion!Q487</f>
        <v>0.00285926571798898</v>
      </c>
    </row>
    <row r="490" customFormat="false" ht="15" hidden="false" customHeight="false" outlineLevel="0" collapsed="false">
      <c r="A490" s="15" t="n">
        <f aca="false">4_Normalizacion!A488</f>
        <v>483</v>
      </c>
      <c r="B490" s="16" t="n">
        <f aca="false">4_Normalizacion!B488</f>
        <v>48.488</v>
      </c>
      <c r="C490" s="21" t="n">
        <f aca="false">C$5*4_Normalizacion!C488</f>
        <v>0.00211491006743141</v>
      </c>
      <c r="D490" s="21" t="n">
        <f aca="false">D$5*4_Normalizacion!D488</f>
        <v>0.00020543122737585</v>
      </c>
      <c r="E490" s="21" t="n">
        <f aca="false">E$5*4_Normalizacion!E488</f>
        <v>0.00185693905364827</v>
      </c>
      <c r="F490" s="21" t="n">
        <f aca="false">F$5*4_Normalizacion!F488</f>
        <v>0.00161403739408304</v>
      </c>
      <c r="G490" s="21" t="n">
        <f aca="false">G$5*4_Normalizacion!G488</f>
        <v>0.000280339284607229</v>
      </c>
      <c r="H490" s="21" t="n">
        <f aca="false">H$5*4_Normalizacion!H488</f>
        <v>0.00169754589383076</v>
      </c>
      <c r="I490" s="21" t="n">
        <f aca="false">I$5*4_Normalizacion!I488</f>
        <v>0.00281086825420146</v>
      </c>
      <c r="J490" s="21" t="n">
        <f aca="false">J$5*4_Normalizacion!J488</f>
        <v>0.000255567041403239</v>
      </c>
      <c r="K490" s="21" t="n">
        <f aca="false">K$5*4_Normalizacion!K488</f>
        <v>3.90133374367575E-005</v>
      </c>
      <c r="L490" s="21" t="n">
        <f aca="false">L$5*4_Normalizacion!L488</f>
        <v>0.00120683309593921</v>
      </c>
      <c r="M490" s="21" t="n">
        <f aca="false">M$5*4_Normalizacion!M488</f>
        <v>0.000826234875930515</v>
      </c>
      <c r="N490" s="21" t="n">
        <f aca="false">N$5*4_Normalizacion!N488</f>
        <v>0.0075989803262918</v>
      </c>
      <c r="O490" s="21" t="n">
        <f aca="false">O$5*4_Normalizacion!O488</f>
        <v>0.00200587264654955</v>
      </c>
      <c r="P490" s="21" t="n">
        <f aca="false">P$5*4_Normalizacion!P488</f>
        <v>0.00271682439873943</v>
      </c>
      <c r="Q490" s="21" t="n">
        <f aca="false">Q$5*4_Normalizacion!Q488</f>
        <v>0.00285926571798898</v>
      </c>
    </row>
    <row r="491" customFormat="false" ht="15" hidden="false" customHeight="false" outlineLevel="0" collapsed="false">
      <c r="A491" s="15" t="n">
        <f aca="false">4_Normalizacion!A489</f>
        <v>484</v>
      </c>
      <c r="B491" s="16" t="n">
        <f aca="false">4_Normalizacion!B489</f>
        <v>48.587</v>
      </c>
      <c r="C491" s="21" t="n">
        <f aca="false">C$5*4_Normalizacion!C489</f>
        <v>0.00211491006743141</v>
      </c>
      <c r="D491" s="21" t="n">
        <f aca="false">D$5*4_Normalizacion!D489</f>
        <v>0.00020543122737585</v>
      </c>
      <c r="E491" s="21" t="n">
        <f aca="false">E$5*4_Normalizacion!E489</f>
        <v>0.00185693905364827</v>
      </c>
      <c r="F491" s="21" t="n">
        <f aca="false">F$5*4_Normalizacion!F489</f>
        <v>0.00121052804556228</v>
      </c>
      <c r="G491" s="21" t="n">
        <f aca="false">G$5*4_Normalizacion!G489</f>
        <v>0.000280339284607229</v>
      </c>
      <c r="H491" s="21" t="n">
        <f aca="false">H$5*4_Normalizacion!H489</f>
        <v>0.00169754589383076</v>
      </c>
      <c r="I491" s="21" t="n">
        <f aca="false">I$5*4_Normalizacion!I489</f>
        <v>0.00281086825420146</v>
      </c>
      <c r="J491" s="21" t="n">
        <f aca="false">J$5*4_Normalizacion!J489</f>
        <v>0.000255567041403239</v>
      </c>
      <c r="K491" s="21" t="n">
        <f aca="false">K$5*4_Normalizacion!K489</f>
        <v>3.90133374367575E-005</v>
      </c>
      <c r="L491" s="21" t="n">
        <f aca="false">L$5*4_Normalizacion!L489</f>
        <v>0.00119028739915234</v>
      </c>
      <c r="M491" s="21" t="n">
        <f aca="false">M$5*4_Normalizacion!M489</f>
        <v>0.000826234875930515</v>
      </c>
      <c r="N491" s="21" t="n">
        <f aca="false">N$5*4_Normalizacion!N489</f>
        <v>0.0075989803262918</v>
      </c>
      <c r="O491" s="21" t="n">
        <f aca="false">O$5*4_Normalizacion!O489</f>
        <v>0.00200587264654955</v>
      </c>
      <c r="P491" s="21" t="n">
        <f aca="false">P$5*4_Normalizacion!P489</f>
        <v>0.00271682439873943</v>
      </c>
      <c r="Q491" s="21" t="n">
        <f aca="false">Q$5*4_Normalizacion!Q489</f>
        <v>0.00285926571798898</v>
      </c>
    </row>
    <row r="492" customFormat="false" ht="15" hidden="false" customHeight="false" outlineLevel="0" collapsed="false">
      <c r="A492" s="15" t="n">
        <f aca="false">4_Normalizacion!A490</f>
        <v>485</v>
      </c>
      <c r="B492" s="16" t="n">
        <f aca="false">4_Normalizacion!B490</f>
        <v>48.687</v>
      </c>
      <c r="C492" s="21" t="n">
        <f aca="false">C$5*4_Normalizacion!C490</f>
        <v>0.00211491006743141</v>
      </c>
      <c r="D492" s="21" t="n">
        <f aca="false">D$5*4_Normalizacion!D490</f>
        <v>0.00020543122737585</v>
      </c>
      <c r="E492" s="21" t="n">
        <f aca="false">E$5*4_Normalizacion!E490</f>
        <v>0.00185693905364827</v>
      </c>
      <c r="F492" s="21" t="n">
        <f aca="false">F$5*4_Normalizacion!F490</f>
        <v>0.00121052804556228</v>
      </c>
      <c r="G492" s="21" t="n">
        <f aca="false">G$5*4_Normalizacion!G490</f>
        <v>0.000280339284607229</v>
      </c>
      <c r="H492" s="21" t="n">
        <f aca="false">H$5*4_Normalizacion!H490</f>
        <v>0.00169754589383076</v>
      </c>
      <c r="I492" s="21" t="n">
        <f aca="false">I$5*4_Normalizacion!I490</f>
        <v>0.00281086825420146</v>
      </c>
      <c r="J492" s="21" t="n">
        <f aca="false">J$5*4_Normalizacion!J490</f>
        <v>0.000255567041403239</v>
      </c>
      <c r="K492" s="21" t="n">
        <f aca="false">K$5*4_Normalizacion!K490</f>
        <v>3.90133374367575E-005</v>
      </c>
      <c r="L492" s="21" t="n">
        <f aca="false">L$5*4_Normalizacion!L490</f>
        <v>0.00119580263141463</v>
      </c>
      <c r="M492" s="21" t="n">
        <f aca="false">M$5*4_Normalizacion!M490</f>
        <v>0.000826234875930515</v>
      </c>
      <c r="N492" s="21" t="n">
        <f aca="false">N$5*4_Normalizacion!N490</f>
        <v>0.0075989803262918</v>
      </c>
      <c r="O492" s="21" t="n">
        <f aca="false">O$5*4_Normalizacion!O490</f>
        <v>0.00200587264654955</v>
      </c>
      <c r="P492" s="21" t="n">
        <f aca="false">P$5*4_Normalizacion!P490</f>
        <v>0.00271682439873943</v>
      </c>
      <c r="Q492" s="21" t="n">
        <f aca="false">Q$5*4_Normalizacion!Q490</f>
        <v>0.00285926571798898</v>
      </c>
    </row>
    <row r="493" customFormat="false" ht="15" hidden="false" customHeight="false" outlineLevel="0" collapsed="false">
      <c r="A493" s="15" t="n">
        <f aca="false">4_Normalizacion!A491</f>
        <v>486</v>
      </c>
      <c r="B493" s="16" t="n">
        <f aca="false">4_Normalizacion!B491</f>
        <v>48.786</v>
      </c>
      <c r="C493" s="21" t="n">
        <f aca="false">C$5*4_Normalizacion!C491</f>
        <v>0.00211491006743141</v>
      </c>
      <c r="D493" s="21" t="n">
        <f aca="false">D$5*4_Normalizacion!D491</f>
        <v>0.00020543122737585</v>
      </c>
      <c r="E493" s="21" t="n">
        <f aca="false">E$5*4_Normalizacion!E491</f>
        <v>0.00185693905364827</v>
      </c>
      <c r="F493" s="21" t="n">
        <f aca="false">F$5*4_Normalizacion!F491</f>
        <v>0.00121052804556228</v>
      </c>
      <c r="G493" s="21" t="n">
        <f aca="false">G$5*4_Normalizacion!G491</f>
        <v>0.000280339284607229</v>
      </c>
      <c r="H493" s="21" t="n">
        <f aca="false">H$5*4_Normalizacion!H491</f>
        <v>0.00169754589383076</v>
      </c>
      <c r="I493" s="21" t="n">
        <f aca="false">I$5*4_Normalizacion!I491</f>
        <v>0.00281086825420146</v>
      </c>
      <c r="J493" s="21" t="n">
        <f aca="false">J$5*4_Normalizacion!J491</f>
        <v>0.000255567041403239</v>
      </c>
      <c r="K493" s="21" t="n">
        <f aca="false">K$5*4_Normalizacion!K491</f>
        <v>3.90133374367575E-005</v>
      </c>
      <c r="L493" s="21" t="n">
        <f aca="false">L$5*4_Normalizacion!L491</f>
        <v>0.00119078878390346</v>
      </c>
      <c r="M493" s="21" t="n">
        <f aca="false">M$5*4_Normalizacion!M491</f>
        <v>0.000826234875930515</v>
      </c>
      <c r="N493" s="21" t="n">
        <f aca="false">N$5*4_Normalizacion!N491</f>
        <v>0.0075989803262918</v>
      </c>
      <c r="O493" s="21" t="n">
        <f aca="false">O$5*4_Normalizacion!O491</f>
        <v>0.00200587264654955</v>
      </c>
      <c r="P493" s="21" t="n">
        <f aca="false">P$5*4_Normalizacion!P491</f>
        <v>0.00271682439873943</v>
      </c>
      <c r="Q493" s="21" t="n">
        <f aca="false">Q$5*4_Normalizacion!Q491</f>
        <v>0.00285926571798898</v>
      </c>
    </row>
    <row r="494" customFormat="false" ht="15" hidden="false" customHeight="false" outlineLevel="0" collapsed="false">
      <c r="A494" s="15" t="n">
        <f aca="false">4_Normalizacion!A492</f>
        <v>487</v>
      </c>
      <c r="B494" s="16" t="n">
        <f aca="false">4_Normalizacion!B492</f>
        <v>48.885</v>
      </c>
      <c r="C494" s="21" t="n">
        <f aca="false">C$5*4_Normalizacion!C492</f>
        <v>0.00211491006743141</v>
      </c>
      <c r="D494" s="21" t="n">
        <f aca="false">D$5*4_Normalizacion!D492</f>
        <v>0.00020543122737585</v>
      </c>
      <c r="E494" s="21" t="n">
        <f aca="false">E$5*4_Normalizacion!E492</f>
        <v>0.00185693905364827</v>
      </c>
      <c r="F494" s="21" t="n">
        <f aca="false">F$5*4_Normalizacion!F492</f>
        <v>0.00121052804556228</v>
      </c>
      <c r="G494" s="21" t="n">
        <f aca="false">G$5*4_Normalizacion!G492</f>
        <v>0.000280339284607229</v>
      </c>
      <c r="H494" s="21" t="n">
        <f aca="false">H$5*4_Normalizacion!H492</f>
        <v>0.00169754589383076</v>
      </c>
      <c r="I494" s="21" t="n">
        <f aca="false">I$5*4_Normalizacion!I492</f>
        <v>0.00281086825420146</v>
      </c>
      <c r="J494" s="21" t="n">
        <f aca="false">J$5*4_Normalizacion!J492</f>
        <v>0.000255567041403239</v>
      </c>
      <c r="K494" s="21" t="n">
        <f aca="false">K$5*4_Normalizacion!K492</f>
        <v>3.90133374367575E-005</v>
      </c>
      <c r="L494" s="21" t="n">
        <f aca="false">L$5*4_Normalizacion!L492</f>
        <v>0.00120683309593921</v>
      </c>
      <c r="M494" s="21" t="n">
        <f aca="false">M$5*4_Normalizacion!M492</f>
        <v>0.000826234875930515</v>
      </c>
      <c r="N494" s="21" t="n">
        <f aca="false">N$5*4_Normalizacion!N492</f>
        <v>0.0075989803262918</v>
      </c>
      <c r="O494" s="21" t="n">
        <f aca="false">O$5*4_Normalizacion!O492</f>
        <v>0.00200587264654955</v>
      </c>
      <c r="P494" s="21" t="n">
        <f aca="false">P$5*4_Normalizacion!P492</f>
        <v>0.00271682439873943</v>
      </c>
      <c r="Q494" s="21" t="n">
        <f aca="false">Q$5*4_Normalizacion!Q492</f>
        <v>0.00285926571798898</v>
      </c>
    </row>
    <row r="495" customFormat="false" ht="15" hidden="false" customHeight="false" outlineLevel="0" collapsed="false">
      <c r="A495" s="15" t="n">
        <f aca="false">4_Normalizacion!A493</f>
        <v>488</v>
      </c>
      <c r="B495" s="16" t="n">
        <f aca="false">4_Normalizacion!B493</f>
        <v>48.984</v>
      </c>
      <c r="C495" s="21" t="n">
        <f aca="false">C$5*4_Normalizacion!C493</f>
        <v>0.00211491006743141</v>
      </c>
      <c r="D495" s="21" t="n">
        <f aca="false">D$5*4_Normalizacion!D493</f>
        <v>0.00020543122737585</v>
      </c>
      <c r="E495" s="21" t="n">
        <f aca="false">E$5*4_Normalizacion!E493</f>
        <v>0.00185693905364827</v>
      </c>
      <c r="F495" s="21" t="n">
        <f aca="false">F$5*4_Normalizacion!F493</f>
        <v>0.00121052804556228</v>
      </c>
      <c r="G495" s="21" t="n">
        <f aca="false">G$5*4_Normalizacion!G493</f>
        <v>0.000280339284607229</v>
      </c>
      <c r="H495" s="21" t="n">
        <f aca="false">H$5*4_Normalizacion!H493</f>
        <v>0.00169754589383076</v>
      </c>
      <c r="I495" s="21" t="n">
        <f aca="false">I$5*4_Normalizacion!I493</f>
        <v>0.00281086825420146</v>
      </c>
      <c r="J495" s="21" t="n">
        <f aca="false">J$5*4_Normalizacion!J493</f>
        <v>0.000255567041403239</v>
      </c>
      <c r="K495" s="21" t="n">
        <f aca="false">K$5*4_Normalizacion!K493</f>
        <v>3.90133374367575E-005</v>
      </c>
      <c r="L495" s="21" t="n">
        <f aca="false">L$5*4_Normalizacion!L493</f>
        <v>0.0012238801774772</v>
      </c>
      <c r="M495" s="21" t="n">
        <f aca="false">M$5*4_Normalizacion!M493</f>
        <v>0.000826234875930515</v>
      </c>
      <c r="N495" s="21" t="n">
        <f aca="false">N$5*4_Normalizacion!N493</f>
        <v>0.0075989803262918</v>
      </c>
      <c r="O495" s="21" t="n">
        <f aca="false">O$5*4_Normalizacion!O493</f>
        <v>0.00200587264654955</v>
      </c>
      <c r="P495" s="21" t="n">
        <f aca="false">P$5*4_Normalizacion!P493</f>
        <v>0.00271682439873943</v>
      </c>
      <c r="Q495" s="21" t="n">
        <f aca="false">Q$5*4_Normalizacion!Q493</f>
        <v>0.00285926571798898</v>
      </c>
    </row>
    <row r="496" customFormat="false" ht="15" hidden="false" customHeight="false" outlineLevel="0" collapsed="false">
      <c r="A496" s="15" t="n">
        <f aca="false">4_Normalizacion!A494</f>
        <v>489</v>
      </c>
      <c r="B496" s="16" t="n">
        <f aca="false">4_Normalizacion!B494</f>
        <v>49.084</v>
      </c>
      <c r="C496" s="21" t="n">
        <f aca="false">C$5*4_Normalizacion!C494</f>
        <v>0.00169192805394512</v>
      </c>
      <c r="D496" s="21" t="n">
        <f aca="false">D$5*4_Normalizacion!D494</f>
        <v>0.00020543122737585</v>
      </c>
      <c r="E496" s="21" t="n">
        <f aca="false">E$5*4_Normalizacion!E494</f>
        <v>0.00185693905364827</v>
      </c>
      <c r="F496" s="21" t="n">
        <f aca="false">F$5*4_Normalizacion!F494</f>
        <v>0.00121052804556228</v>
      </c>
      <c r="G496" s="21" t="n">
        <f aca="false">G$5*4_Normalizacion!G494</f>
        <v>0.000280339284607229</v>
      </c>
      <c r="H496" s="21" t="n">
        <f aca="false">H$5*4_Normalizacion!H494</f>
        <v>0.00169754589383076</v>
      </c>
      <c r="I496" s="21" t="n">
        <f aca="false">I$5*4_Normalizacion!I494</f>
        <v>0.00562173650840292</v>
      </c>
      <c r="J496" s="21" t="n">
        <f aca="false">J$5*4_Normalizacion!J494</f>
        <v>0.000255567041403239</v>
      </c>
      <c r="K496" s="21" t="n">
        <f aca="false">K$5*4_Normalizacion!K494</f>
        <v>3.90133374367575E-005</v>
      </c>
      <c r="L496" s="21" t="n">
        <f aca="false">L$5*4_Normalizacion!L494</f>
        <v>0.0012414286437663</v>
      </c>
      <c r="M496" s="21" t="n">
        <f aca="false">M$5*4_Normalizacion!M494</f>
        <v>0.000826234875930515</v>
      </c>
      <c r="N496" s="21" t="n">
        <f aca="false">N$5*4_Normalizacion!N494</f>
        <v>0.0075989803262918</v>
      </c>
      <c r="O496" s="21" t="n">
        <f aca="false">O$5*4_Normalizacion!O494</f>
        <v>0.00200587264654955</v>
      </c>
      <c r="P496" s="21" t="n">
        <f aca="false">P$5*4_Normalizacion!P494</f>
        <v>0.00271682439873943</v>
      </c>
      <c r="Q496" s="21" t="n">
        <f aca="false">Q$5*4_Normalizacion!Q494</f>
        <v>0.00285926571798898</v>
      </c>
    </row>
    <row r="497" customFormat="false" ht="15" hidden="false" customHeight="false" outlineLevel="0" collapsed="false">
      <c r="A497" s="15" t="n">
        <f aca="false">4_Normalizacion!A495</f>
        <v>490</v>
      </c>
      <c r="B497" s="16" t="n">
        <f aca="false">4_Normalizacion!B495</f>
        <v>49.183</v>
      </c>
      <c r="C497" s="21" t="n">
        <f aca="false">C$5*4_Normalizacion!C495</f>
        <v>0.00169192805394512</v>
      </c>
      <c r="D497" s="21" t="n">
        <f aca="false">D$5*4_Normalizacion!D495</f>
        <v>0.00020543122737585</v>
      </c>
      <c r="E497" s="21" t="n">
        <f aca="false">E$5*4_Normalizacion!E495</f>
        <v>0.00185693905364827</v>
      </c>
      <c r="F497" s="21" t="n">
        <f aca="false">F$5*4_Normalizacion!F495</f>
        <v>0.00121052804556228</v>
      </c>
      <c r="G497" s="21" t="n">
        <f aca="false">G$5*4_Normalizacion!G495</f>
        <v>0.000280339284607229</v>
      </c>
      <c r="H497" s="21" t="n">
        <f aca="false">H$5*4_Normalizacion!H495</f>
        <v>0.00169754589383076</v>
      </c>
      <c r="I497" s="21" t="n">
        <f aca="false">I$5*4_Normalizacion!I495</f>
        <v>0.00562173650840292</v>
      </c>
      <c r="J497" s="21" t="n">
        <f aca="false">J$5*4_Normalizacion!J495</f>
        <v>0.000255567041403239</v>
      </c>
      <c r="K497" s="21" t="n">
        <f aca="false">K$5*4_Normalizacion!K495</f>
        <v>3.90133374367575E-005</v>
      </c>
      <c r="L497" s="21" t="n">
        <f aca="false">L$5*4_Normalizacion!L495</f>
        <v>0.00122989679449061</v>
      </c>
      <c r="M497" s="21" t="n">
        <f aca="false">M$5*4_Normalizacion!M495</f>
        <v>0.000826234875930515</v>
      </c>
      <c r="N497" s="21" t="n">
        <f aca="false">N$5*4_Normalizacion!N495</f>
        <v>0.0075989803262918</v>
      </c>
      <c r="O497" s="21" t="n">
        <f aca="false">O$5*4_Normalizacion!O495</f>
        <v>0.00200587264654955</v>
      </c>
      <c r="P497" s="21" t="n">
        <f aca="false">P$5*4_Normalizacion!P495</f>
        <v>0.00271682439873943</v>
      </c>
      <c r="Q497" s="21" t="n">
        <f aca="false">Q$5*4_Normalizacion!Q495</f>
        <v>0.00285926571798898</v>
      </c>
    </row>
    <row r="498" customFormat="false" ht="15" hidden="false" customHeight="false" outlineLevel="0" collapsed="false">
      <c r="A498" s="15" t="n">
        <f aca="false">4_Normalizacion!A496</f>
        <v>491</v>
      </c>
      <c r="B498" s="16" t="n">
        <f aca="false">4_Normalizacion!B496</f>
        <v>49.282</v>
      </c>
      <c r="C498" s="21" t="n">
        <f aca="false">C$5*4_Normalizacion!C496</f>
        <v>0.00169192805394512</v>
      </c>
      <c r="D498" s="21" t="n">
        <f aca="false">D$5*4_Normalizacion!D496</f>
        <v>0.00020543122737585</v>
      </c>
      <c r="E498" s="21" t="n">
        <f aca="false">E$5*4_Normalizacion!E496</f>
        <v>0.00185693905364827</v>
      </c>
      <c r="F498" s="21" t="n">
        <f aca="false">F$5*4_Normalizacion!F496</f>
        <v>0.00161403739408304</v>
      </c>
      <c r="G498" s="21" t="n">
        <f aca="false">G$5*4_Normalizacion!G496</f>
        <v>0.000280339284607229</v>
      </c>
      <c r="H498" s="21" t="n">
        <f aca="false">H$5*4_Normalizacion!H496</f>
        <v>0.00169754589383076</v>
      </c>
      <c r="I498" s="21" t="n">
        <f aca="false">I$5*4_Normalizacion!I496</f>
        <v>0.00562173650840292</v>
      </c>
      <c r="J498" s="21" t="n">
        <f aca="false">J$5*4_Normalizacion!J496</f>
        <v>0.000255567041403239</v>
      </c>
      <c r="K498" s="21" t="n">
        <f aca="false">K$5*4_Normalizacion!K496</f>
        <v>3.90133374367575E-005</v>
      </c>
      <c r="L498" s="21" t="n">
        <f aca="false">L$5*4_Normalizacion!L496</f>
        <v>0.00124644249127748</v>
      </c>
      <c r="M498" s="21" t="n">
        <f aca="false">M$5*4_Normalizacion!M496</f>
        <v>0.000826234875930515</v>
      </c>
      <c r="N498" s="21" t="n">
        <f aca="false">N$5*4_Normalizacion!N496</f>
        <v>0.0075989803262918</v>
      </c>
      <c r="O498" s="21" t="n">
        <f aca="false">O$5*4_Normalizacion!O496</f>
        <v>0.00200587264654955</v>
      </c>
      <c r="P498" s="21" t="n">
        <f aca="false">P$5*4_Normalizacion!P496</f>
        <v>0.00271682439873943</v>
      </c>
      <c r="Q498" s="21" t="n">
        <f aca="false">Q$5*4_Normalizacion!Q496</f>
        <v>0.00285926571798898</v>
      </c>
    </row>
    <row r="499" customFormat="false" ht="15" hidden="false" customHeight="false" outlineLevel="0" collapsed="false">
      <c r="A499" s="15" t="n">
        <f aca="false">4_Normalizacion!A497</f>
        <v>492</v>
      </c>
      <c r="B499" s="16" t="n">
        <f aca="false">4_Normalizacion!B497</f>
        <v>49.381</v>
      </c>
      <c r="C499" s="21" t="n">
        <f aca="false">C$5*4_Normalizacion!C497</f>
        <v>0.00169192805394512</v>
      </c>
      <c r="D499" s="21" t="n">
        <f aca="false">D$5*4_Normalizacion!D497</f>
        <v>0.00020543122737585</v>
      </c>
      <c r="E499" s="21" t="n">
        <f aca="false">E$5*4_Normalizacion!E497</f>
        <v>0.00185693905364827</v>
      </c>
      <c r="F499" s="21" t="n">
        <f aca="false">F$5*4_Normalizacion!F497</f>
        <v>0.00161403739408304</v>
      </c>
      <c r="G499" s="21" t="n">
        <f aca="false">G$5*4_Normalizacion!G497</f>
        <v>0.000280339284607229</v>
      </c>
      <c r="H499" s="21" t="n">
        <f aca="false">H$5*4_Normalizacion!H497</f>
        <v>0.00169754589383076</v>
      </c>
      <c r="I499" s="21" t="n">
        <f aca="false">I$5*4_Normalizacion!I497</f>
        <v>0.00281086825420146</v>
      </c>
      <c r="J499" s="21" t="n">
        <f aca="false">J$5*4_Normalizacion!J497</f>
        <v>0.000255567041403239</v>
      </c>
      <c r="K499" s="21" t="n">
        <f aca="false">K$5*4_Normalizacion!K497</f>
        <v>3.90133374367575E-005</v>
      </c>
      <c r="L499" s="21" t="n">
        <f aca="false">L$5*4_Normalizacion!L497</f>
        <v>0.0012354120267529</v>
      </c>
      <c r="M499" s="21" t="n">
        <f aca="false">M$5*4_Normalizacion!M497</f>
        <v>0.000826234875930515</v>
      </c>
      <c r="N499" s="21" t="n">
        <f aca="false">N$5*4_Normalizacion!N497</f>
        <v>0.0075989803262918</v>
      </c>
      <c r="O499" s="21" t="n">
        <f aca="false">O$5*4_Normalizacion!O497</f>
        <v>0.00200587264654955</v>
      </c>
      <c r="P499" s="21" t="n">
        <f aca="false">P$5*4_Normalizacion!P497</f>
        <v>0.00271682439873943</v>
      </c>
      <c r="Q499" s="21" t="n">
        <f aca="false">Q$5*4_Normalizacion!Q497</f>
        <v>0.00285926571798898</v>
      </c>
    </row>
    <row r="500" customFormat="false" ht="15" hidden="false" customHeight="false" outlineLevel="0" collapsed="false">
      <c r="A500" s="15" t="n">
        <f aca="false">4_Normalizacion!A498</f>
        <v>493</v>
      </c>
      <c r="B500" s="16" t="n">
        <f aca="false">4_Normalizacion!B498</f>
        <v>49.481</v>
      </c>
      <c r="C500" s="21" t="n">
        <f aca="false">C$5*4_Normalizacion!C498</f>
        <v>0.00169192805394512</v>
      </c>
      <c r="D500" s="21" t="n">
        <f aca="false">D$5*4_Normalizacion!D498</f>
        <v>0.00020543122737585</v>
      </c>
      <c r="E500" s="21" t="n">
        <f aca="false">E$5*4_Normalizacion!E498</f>
        <v>0.00185693905364827</v>
      </c>
      <c r="F500" s="21" t="n">
        <f aca="false">F$5*4_Normalizacion!F498</f>
        <v>0.00121052804556228</v>
      </c>
      <c r="G500" s="21" t="n">
        <f aca="false">G$5*4_Normalizacion!G498</f>
        <v>0.000280339284607229</v>
      </c>
      <c r="H500" s="21" t="n">
        <f aca="false">H$5*4_Normalizacion!H498</f>
        <v>0.00169754589383076</v>
      </c>
      <c r="I500" s="21" t="n">
        <f aca="false">I$5*4_Normalizacion!I498</f>
        <v>0.00562173650840292</v>
      </c>
      <c r="J500" s="21" t="n">
        <f aca="false">J$5*4_Normalizacion!J498</f>
        <v>0.000255567041403239</v>
      </c>
      <c r="K500" s="21" t="n">
        <f aca="false">K$5*4_Normalizacion!K498</f>
        <v>3.90133374367575E-005</v>
      </c>
      <c r="L500" s="21" t="n">
        <f aca="false">L$5*4_Normalizacion!L498</f>
        <v>0.0012123483282015</v>
      </c>
      <c r="M500" s="21" t="n">
        <f aca="false">M$5*4_Normalizacion!M498</f>
        <v>0.000826234875930515</v>
      </c>
      <c r="N500" s="21" t="n">
        <f aca="false">N$5*4_Normalizacion!N498</f>
        <v>0.0075989803262918</v>
      </c>
      <c r="O500" s="21" t="n">
        <f aca="false">O$5*4_Normalizacion!O498</f>
        <v>0.00200587264654955</v>
      </c>
      <c r="P500" s="21" t="n">
        <f aca="false">P$5*4_Normalizacion!P498</f>
        <v>0.00271682439873943</v>
      </c>
      <c r="Q500" s="21" t="n">
        <f aca="false">Q$5*4_Normalizacion!Q498</f>
        <v>0.00285926571798898</v>
      </c>
    </row>
    <row r="501" customFormat="false" ht="15" hidden="false" customHeight="false" outlineLevel="0" collapsed="false">
      <c r="A501" s="15" t="n">
        <f aca="false">4_Normalizacion!A499</f>
        <v>494</v>
      </c>
      <c r="B501" s="16" t="n">
        <f aca="false">4_Normalizacion!B499</f>
        <v>49.58</v>
      </c>
      <c r="C501" s="21" t="n">
        <f aca="false">C$5*4_Normalizacion!C499</f>
        <v>0.00169192805394512</v>
      </c>
      <c r="D501" s="21" t="n">
        <f aca="false">D$5*4_Normalizacion!D499</f>
        <v>0.00020543122737585</v>
      </c>
      <c r="E501" s="21" t="n">
        <f aca="false">E$5*4_Normalizacion!E499</f>
        <v>0.00232117381706033</v>
      </c>
      <c r="F501" s="21" t="n">
        <f aca="false">F$5*4_Normalizacion!F499</f>
        <v>0.00121052804556228</v>
      </c>
      <c r="G501" s="21" t="n">
        <f aca="false">G$5*4_Normalizacion!G499</f>
        <v>0.000280339284607229</v>
      </c>
      <c r="H501" s="21" t="n">
        <f aca="false">H$5*4_Normalizacion!H499</f>
        <v>0.00169754589383076</v>
      </c>
      <c r="I501" s="21" t="n">
        <f aca="false">I$5*4_Normalizacion!I499</f>
        <v>0.00562173650840292</v>
      </c>
      <c r="J501" s="21" t="n">
        <f aca="false">J$5*4_Normalizacion!J499</f>
        <v>0.000255567041403239</v>
      </c>
      <c r="K501" s="21" t="n">
        <f aca="false">K$5*4_Normalizacion!K499</f>
        <v>3.90133374367575E-005</v>
      </c>
      <c r="L501" s="21" t="n">
        <f aca="false">L$5*4_Normalizacion!L499</f>
        <v>0.00121034278919703</v>
      </c>
      <c r="M501" s="21" t="n">
        <f aca="false">M$5*4_Normalizacion!M499</f>
        <v>0.000826234875930515</v>
      </c>
      <c r="N501" s="21" t="n">
        <f aca="false">N$5*4_Normalizacion!N499</f>
        <v>0.0075989803262918</v>
      </c>
      <c r="O501" s="21" t="n">
        <f aca="false">O$5*4_Normalizacion!O499</f>
        <v>0.00200587264654955</v>
      </c>
      <c r="P501" s="21" t="n">
        <f aca="false">P$5*4_Normalizacion!P499</f>
        <v>0.00271682439873943</v>
      </c>
      <c r="Q501" s="21" t="n">
        <f aca="false">Q$5*4_Normalizacion!Q499</f>
        <v>0.00285926571798898</v>
      </c>
    </row>
    <row r="502" customFormat="false" ht="15" hidden="false" customHeight="false" outlineLevel="0" collapsed="false">
      <c r="A502" s="15" t="n">
        <f aca="false">4_Normalizacion!A500</f>
        <v>495</v>
      </c>
      <c r="B502" s="16" t="n">
        <f aca="false">4_Normalizacion!B500</f>
        <v>49.679</v>
      </c>
      <c r="C502" s="21" t="n">
        <f aca="false">C$5*4_Normalizacion!C500</f>
        <v>0.00169192805394512</v>
      </c>
      <c r="D502" s="21" t="n">
        <f aca="false">D$5*4_Normalizacion!D500</f>
        <v>0.00020543122737585</v>
      </c>
      <c r="E502" s="21" t="n">
        <f aca="false">E$5*4_Normalizacion!E500</f>
        <v>0.00185693905364827</v>
      </c>
      <c r="F502" s="21" t="n">
        <f aca="false">F$5*4_Normalizacion!F500</f>
        <v>0.00161403739408304</v>
      </c>
      <c r="G502" s="21" t="n">
        <f aca="false">G$5*4_Normalizacion!G500</f>
        <v>0.000280339284607229</v>
      </c>
      <c r="H502" s="21" t="n">
        <f aca="false">H$5*4_Normalizacion!H500</f>
        <v>0.00169754589383076</v>
      </c>
      <c r="I502" s="21" t="n">
        <f aca="false">I$5*4_Normalizacion!I500</f>
        <v>0.00562173650840292</v>
      </c>
      <c r="J502" s="21" t="n">
        <f aca="false">J$5*4_Normalizacion!J500</f>
        <v>0.000255567041403239</v>
      </c>
      <c r="K502" s="21" t="n">
        <f aca="false">K$5*4_Normalizacion!K500</f>
        <v>3.90133374367575E-005</v>
      </c>
      <c r="L502" s="21" t="n">
        <f aca="false">L$5*4_Normalizacion!L500</f>
        <v>0.00121585802145932</v>
      </c>
      <c r="M502" s="21" t="n">
        <f aca="false">M$5*4_Normalizacion!M500</f>
        <v>0.000826234875930515</v>
      </c>
      <c r="N502" s="21" t="n">
        <f aca="false">N$5*4_Normalizacion!N500</f>
        <v>0.0075989803262918</v>
      </c>
      <c r="O502" s="21" t="n">
        <f aca="false">O$5*4_Normalizacion!O500</f>
        <v>0.00200587264654955</v>
      </c>
      <c r="P502" s="21" t="n">
        <f aca="false">P$5*4_Normalizacion!P500</f>
        <v>0.00271682439873943</v>
      </c>
      <c r="Q502" s="21" t="n">
        <f aca="false">Q$5*4_Normalizacion!Q500</f>
        <v>0.00285926571798898</v>
      </c>
    </row>
    <row r="503" customFormat="false" ht="15" hidden="false" customHeight="false" outlineLevel="0" collapsed="false">
      <c r="A503" s="15" t="n">
        <f aca="false">4_Normalizacion!A501</f>
        <v>496</v>
      </c>
      <c r="B503" s="16" t="n">
        <f aca="false">4_Normalizacion!B501</f>
        <v>49.778</v>
      </c>
      <c r="C503" s="21" t="n">
        <f aca="false">C$5*4_Normalizacion!C501</f>
        <v>0.00169192805394512</v>
      </c>
      <c r="D503" s="21" t="n">
        <f aca="false">D$5*4_Normalizacion!D501</f>
        <v>0.00020543122737585</v>
      </c>
      <c r="E503" s="21" t="n">
        <f aca="false">E$5*4_Normalizacion!E501</f>
        <v>0.00185693905364827</v>
      </c>
      <c r="F503" s="21" t="n">
        <f aca="false">F$5*4_Normalizacion!F501</f>
        <v>0.00121052804556228</v>
      </c>
      <c r="G503" s="21" t="n">
        <f aca="false">G$5*4_Normalizacion!G501</f>
        <v>0.000280339284607229</v>
      </c>
      <c r="H503" s="21" t="n">
        <f aca="false">H$5*4_Normalizacion!H501</f>
        <v>0.00169754589383076</v>
      </c>
      <c r="I503" s="21" t="n">
        <f aca="false">I$5*4_Normalizacion!I501</f>
        <v>0.00562173650840292</v>
      </c>
      <c r="J503" s="21" t="n">
        <f aca="false">J$5*4_Normalizacion!J501</f>
        <v>0.000255567041403239</v>
      </c>
      <c r="K503" s="21" t="n">
        <f aca="false">K$5*4_Normalizacion!K501</f>
        <v>3.90133374367575E-005</v>
      </c>
      <c r="L503" s="21" t="n">
        <f aca="false">L$5*4_Normalizacion!L501</f>
        <v>0.00121686079096156</v>
      </c>
      <c r="M503" s="21" t="n">
        <f aca="false">M$5*4_Normalizacion!M501</f>
        <v>0.000817352851014262</v>
      </c>
      <c r="N503" s="21" t="n">
        <f aca="false">N$5*4_Normalizacion!N501</f>
        <v>0.0075989803262918</v>
      </c>
      <c r="O503" s="21" t="n">
        <f aca="false">O$5*4_Normalizacion!O501</f>
        <v>0.00200587264654955</v>
      </c>
      <c r="P503" s="21" t="n">
        <f aca="false">P$5*4_Normalizacion!P501</f>
        <v>0.00271682439873943</v>
      </c>
      <c r="Q503" s="21" t="n">
        <f aca="false">Q$5*4_Normalizacion!Q501</f>
        <v>0.00285926571798898</v>
      </c>
    </row>
    <row r="504" customFormat="false" ht="15" hidden="false" customHeight="false" outlineLevel="0" collapsed="false">
      <c r="A504" s="15" t="n">
        <f aca="false">4_Normalizacion!A502</f>
        <v>497</v>
      </c>
      <c r="B504" s="16" t="n">
        <f aca="false">4_Normalizacion!B502</f>
        <v>49.877</v>
      </c>
      <c r="C504" s="21" t="n">
        <f aca="false">C$5*4_Normalizacion!C502</f>
        <v>0.00169192805394512</v>
      </c>
      <c r="D504" s="21" t="n">
        <f aca="false">D$5*4_Normalizacion!D502</f>
        <v>0.00020543122737585</v>
      </c>
      <c r="E504" s="21" t="n">
        <f aca="false">E$5*4_Normalizacion!E502</f>
        <v>0.00185693905364827</v>
      </c>
      <c r="F504" s="21" t="n">
        <f aca="false">F$5*4_Normalizacion!F502</f>
        <v>0.00161403739408304</v>
      </c>
      <c r="G504" s="21" t="n">
        <f aca="false">G$5*4_Normalizacion!G502</f>
        <v>0.000280339284607229</v>
      </c>
      <c r="H504" s="21" t="n">
        <f aca="false">H$5*4_Normalizacion!H502</f>
        <v>0.00169754589383076</v>
      </c>
      <c r="I504" s="21" t="n">
        <f aca="false">I$5*4_Normalizacion!I502</f>
        <v>0.00562173650840292</v>
      </c>
      <c r="J504" s="21" t="n">
        <f aca="false">J$5*4_Normalizacion!J502</f>
        <v>0.000255567041403239</v>
      </c>
      <c r="K504" s="21" t="n">
        <f aca="false">K$5*4_Normalizacion!K502</f>
        <v>3.90133374367575E-005</v>
      </c>
      <c r="L504" s="21" t="n">
        <f aca="false">L$5*4_Normalizacion!L502</f>
        <v>0.00120232063317916</v>
      </c>
      <c r="M504" s="21" t="n">
        <f aca="false">M$5*4_Normalizacion!M502</f>
        <v>0.000791739569860416</v>
      </c>
      <c r="N504" s="21" t="n">
        <f aca="false">N$5*4_Normalizacion!N502</f>
        <v>0.0075989803262918</v>
      </c>
      <c r="O504" s="21" t="n">
        <f aca="false">O$5*4_Normalizacion!O502</f>
        <v>0.00200587264654955</v>
      </c>
      <c r="P504" s="21" t="n">
        <f aca="false">P$5*4_Normalizacion!P502</f>
        <v>0.00271682439873943</v>
      </c>
      <c r="Q504" s="21" t="n">
        <f aca="false">Q$5*4_Normalizacion!Q502</f>
        <v>0.00285926571798898</v>
      </c>
    </row>
    <row r="505" customFormat="false" ht="15" hidden="false" customHeight="false" outlineLevel="0" collapsed="false">
      <c r="A505" s="15" t="n">
        <f aca="false">4_Normalizacion!A503</f>
        <v>498</v>
      </c>
      <c r="B505" s="16" t="n">
        <f aca="false">4_Normalizacion!B503</f>
        <v>49.975</v>
      </c>
      <c r="C505" s="21" t="n">
        <f aca="false">C$5*4_Normalizacion!C503</f>
        <v>0.00169192805394512</v>
      </c>
      <c r="D505" s="21" t="n">
        <f aca="false">D$5*4_Normalizacion!D503</f>
        <v>0.00020543122737585</v>
      </c>
      <c r="E505" s="21" t="n">
        <f aca="false">E$5*4_Normalizacion!E503</f>
        <v>0.00185693905364827</v>
      </c>
      <c r="F505" s="21" t="n">
        <f aca="false">F$5*4_Normalizacion!F503</f>
        <v>0.00161403739408304</v>
      </c>
      <c r="G505" s="21" t="n">
        <f aca="false">G$5*4_Normalizacion!G503</f>
        <v>0.000280339284607229</v>
      </c>
      <c r="H505" s="21" t="n">
        <f aca="false">H$5*4_Normalizacion!H503</f>
        <v>0.00169754589383076</v>
      </c>
      <c r="I505" s="21" t="n">
        <f aca="false">I$5*4_Normalizacion!I503</f>
        <v>0.00562173650840292</v>
      </c>
      <c r="J505" s="21" t="n">
        <f aca="false">J$5*4_Normalizacion!J503</f>
        <v>0.000255567041403239</v>
      </c>
      <c r="K505" s="21" t="n">
        <f aca="false">K$5*4_Normalizacion!K503</f>
        <v>3.90133374367575E-005</v>
      </c>
      <c r="L505" s="21" t="n">
        <f aca="false">L$5*4_Normalizacion!L503</f>
        <v>0.00118978601440123</v>
      </c>
      <c r="M505" s="21" t="n">
        <f aca="false">M$5*4_Normalizacion!M503</f>
        <v>0.000807024915065131</v>
      </c>
      <c r="N505" s="21" t="n">
        <f aca="false">N$5*4_Normalizacion!N503</f>
        <v>0.0075989803262918</v>
      </c>
      <c r="O505" s="21" t="n">
        <f aca="false">O$5*4_Normalizacion!O503</f>
        <v>0.00200587264654955</v>
      </c>
      <c r="P505" s="21" t="n">
        <f aca="false">P$5*4_Normalizacion!P503</f>
        <v>0.00271682439873943</v>
      </c>
      <c r="Q505" s="21" t="n">
        <f aca="false">Q$5*4_Normalizacion!Q503</f>
        <v>0.00285926571798898</v>
      </c>
    </row>
    <row r="506" customFormat="false" ht="15" hidden="false" customHeight="false" outlineLevel="0" collapsed="false">
      <c r="A506" s="15" t="n">
        <f aca="false">4_Normalizacion!A504</f>
        <v>499</v>
      </c>
      <c r="B506" s="16" t="n">
        <f aca="false">4_Normalizacion!B504</f>
        <v>50.074</v>
      </c>
      <c r="C506" s="21" t="n">
        <f aca="false">C$5*4_Normalizacion!C504</f>
        <v>0.00169192805394512</v>
      </c>
      <c r="D506" s="21" t="n">
        <f aca="false">D$5*4_Normalizacion!D504</f>
        <v>0.00020543122737585</v>
      </c>
      <c r="E506" s="21" t="n">
        <f aca="false">E$5*4_Normalizacion!E504</f>
        <v>0.00185693905364827</v>
      </c>
      <c r="F506" s="21" t="n">
        <f aca="false">F$5*4_Normalizacion!F504</f>
        <v>0.00161403739408304</v>
      </c>
      <c r="G506" s="21" t="n">
        <f aca="false">G$5*4_Normalizacion!G504</f>
        <v>0.000280339284607229</v>
      </c>
      <c r="H506" s="21" t="n">
        <f aca="false">H$5*4_Normalizacion!H504</f>
        <v>0.00169754589383076</v>
      </c>
      <c r="I506" s="21" t="n">
        <f aca="false">I$5*4_Normalizacion!I504</f>
        <v>0.00562173650840292</v>
      </c>
      <c r="J506" s="21" t="n">
        <f aca="false">J$5*4_Normalizacion!J504</f>
        <v>0.000255567041403239</v>
      </c>
      <c r="K506" s="21" t="n">
        <f aca="false">K$5*4_Normalizacion!K504</f>
        <v>3.90133374367575E-005</v>
      </c>
      <c r="L506" s="21" t="n">
        <f aca="false">L$5*4_Normalizacion!L504</f>
        <v>0.00114716831055626</v>
      </c>
      <c r="M506" s="21" t="n">
        <f aca="false">M$5*4_Normalizacion!M504</f>
        <v>0.000826234875930515</v>
      </c>
      <c r="N506" s="21" t="n">
        <f aca="false">N$5*4_Normalizacion!N504</f>
        <v>0.0075989803262918</v>
      </c>
      <c r="O506" s="21" t="n">
        <f aca="false">O$5*4_Normalizacion!O504</f>
        <v>0.00200587264654955</v>
      </c>
      <c r="P506" s="21" t="n">
        <f aca="false">P$5*4_Normalizacion!P504</f>
        <v>0.00271682439873943</v>
      </c>
      <c r="Q506" s="21" t="n">
        <f aca="false">Q$5*4_Normalizacion!Q504</f>
        <v>0.00285926571798898</v>
      </c>
    </row>
    <row r="507" customFormat="false" ht="15" hidden="false" customHeight="false" outlineLevel="0" collapsed="false">
      <c r="A507" s="15" t="n">
        <f aca="false">4_Normalizacion!A505</f>
        <v>500</v>
      </c>
      <c r="B507" s="16" t="n">
        <f aca="false">4_Normalizacion!B505</f>
        <v>50.173</v>
      </c>
      <c r="C507" s="21" t="n">
        <f aca="false">C$5*4_Normalizacion!C505</f>
        <v>0.00169192805394512</v>
      </c>
      <c r="D507" s="21" t="n">
        <f aca="false">D$5*4_Normalizacion!D505</f>
        <v>0.00020543122737585</v>
      </c>
      <c r="E507" s="21" t="n">
        <f aca="false">E$5*4_Normalizacion!E505</f>
        <v>0.00185693905364827</v>
      </c>
      <c r="F507" s="21" t="n">
        <f aca="false">F$5*4_Normalizacion!F505</f>
        <v>0.00161403739408304</v>
      </c>
      <c r="G507" s="21" t="n">
        <f aca="false">G$5*4_Normalizacion!G505</f>
        <v>0.000280339284607229</v>
      </c>
      <c r="H507" s="21" t="n">
        <f aca="false">H$5*4_Normalizacion!H505</f>
        <v>0.00169754589383076</v>
      </c>
      <c r="I507" s="21" t="n">
        <f aca="false">I$5*4_Normalizacion!I505</f>
        <v>0.00562173650840292</v>
      </c>
      <c r="J507" s="21" t="n">
        <f aca="false">J$5*4_Normalizacion!J505</f>
        <v>0.000255567041403239</v>
      </c>
      <c r="K507" s="21" t="n">
        <f aca="false">K$5*4_Normalizacion!K505</f>
        <v>3.90133374367575E-005</v>
      </c>
      <c r="L507" s="21" t="n">
        <f aca="false">L$5*4_Normalizacion!L505</f>
        <v>0.00114416000204956</v>
      </c>
      <c r="M507" s="21" t="n">
        <f aca="false">M$5*4_Normalizacion!M505</f>
        <v>0.000826234875930515</v>
      </c>
      <c r="N507" s="21" t="n">
        <f aca="false">N$5*4_Normalizacion!N505</f>
        <v>0.0075989803262918</v>
      </c>
      <c r="O507" s="21" t="n">
        <f aca="false">O$5*4_Normalizacion!O505</f>
        <v>0.00200587264654955</v>
      </c>
      <c r="P507" s="21" t="n">
        <f aca="false">P$5*4_Normalizacion!P505</f>
        <v>0.00271682439873943</v>
      </c>
      <c r="Q507" s="21" t="n">
        <f aca="false">Q$5*4_Normalizacion!Q505</f>
        <v>0.00285926571798898</v>
      </c>
    </row>
    <row r="508" customFormat="false" ht="15" hidden="false" customHeight="false" outlineLevel="0" collapsed="false">
      <c r="A508" s="15" t="n">
        <f aca="false">4_Normalizacion!A506</f>
        <v>501</v>
      </c>
      <c r="B508" s="16" t="n">
        <f aca="false">4_Normalizacion!B506</f>
        <v>50.272</v>
      </c>
      <c r="C508" s="21" t="n">
        <f aca="false">C$5*4_Normalizacion!C506</f>
        <v>0.00169192805394512</v>
      </c>
      <c r="D508" s="21" t="n">
        <f aca="false">D$5*4_Normalizacion!D506</f>
        <v>0.00020543122737585</v>
      </c>
      <c r="E508" s="21" t="n">
        <f aca="false">E$5*4_Normalizacion!E506</f>
        <v>0.00185693905364827</v>
      </c>
      <c r="F508" s="21" t="n">
        <f aca="false">F$5*4_Normalizacion!F506</f>
        <v>0.00161403739408304</v>
      </c>
      <c r="G508" s="21" t="n">
        <f aca="false">G$5*4_Normalizacion!G506</f>
        <v>0.000280339284607229</v>
      </c>
      <c r="H508" s="21" t="n">
        <f aca="false">H$5*4_Normalizacion!H506</f>
        <v>0.00169754589383076</v>
      </c>
      <c r="I508" s="21" t="n">
        <f aca="false">I$5*4_Normalizacion!I506</f>
        <v>0.00562173650840292</v>
      </c>
      <c r="J508" s="21" t="n">
        <f aca="false">J$5*4_Normalizacion!J506</f>
        <v>0.000255567041403239</v>
      </c>
      <c r="K508" s="21" t="n">
        <f aca="false">K$5*4_Normalizacion!K506</f>
        <v>3.90133374367575E-005</v>
      </c>
      <c r="L508" s="21" t="n">
        <f aca="false">L$5*4_Normalizacion!L506</f>
        <v>0.00119429847716128</v>
      </c>
      <c r="M508" s="21" t="n">
        <f aca="false">M$5*4_Normalizacion!M506</f>
        <v>0.000826234875930515</v>
      </c>
      <c r="N508" s="21" t="n">
        <f aca="false">N$5*4_Normalizacion!N506</f>
        <v>0.0075989803262918</v>
      </c>
      <c r="O508" s="21" t="n">
        <f aca="false">O$5*4_Normalizacion!O506</f>
        <v>0.00200587264654955</v>
      </c>
      <c r="P508" s="21" t="n">
        <f aca="false">P$5*4_Normalizacion!P506</f>
        <v>0.00271682439873943</v>
      </c>
      <c r="Q508" s="21" t="n">
        <f aca="false">Q$5*4_Normalizacion!Q506</f>
        <v>0.00285926571798898</v>
      </c>
    </row>
    <row r="509" customFormat="false" ht="15" hidden="false" customHeight="false" outlineLevel="0" collapsed="false">
      <c r="A509" s="15" t="n">
        <f aca="false">4_Normalizacion!A507</f>
        <v>502</v>
      </c>
      <c r="B509" s="16" t="n">
        <f aca="false">4_Normalizacion!B507</f>
        <v>50.371</v>
      </c>
      <c r="C509" s="21" t="n">
        <f aca="false">C$5*4_Normalizacion!C507</f>
        <v>0.00169192805394512</v>
      </c>
      <c r="D509" s="21" t="n">
        <f aca="false">D$5*4_Normalizacion!D507</f>
        <v>0.00020543122737585</v>
      </c>
      <c r="E509" s="21" t="n">
        <f aca="false">E$5*4_Normalizacion!E507</f>
        <v>0.00185693905364827</v>
      </c>
      <c r="F509" s="21" t="n">
        <f aca="false">F$5*4_Normalizacion!F507</f>
        <v>0.00161403739408304</v>
      </c>
      <c r="G509" s="21" t="n">
        <f aca="false">G$5*4_Normalizacion!G507</f>
        <v>0.000280339284607229</v>
      </c>
      <c r="H509" s="21" t="n">
        <f aca="false">H$5*4_Normalizacion!H507</f>
        <v>0.00169754589383076</v>
      </c>
      <c r="I509" s="21" t="n">
        <f aca="false">I$5*4_Normalizacion!I507</f>
        <v>0.00562173650840292</v>
      </c>
      <c r="J509" s="21" t="n">
        <f aca="false">J$5*4_Normalizacion!J507</f>
        <v>0.000255567041403239</v>
      </c>
      <c r="K509" s="21" t="n">
        <f aca="false">K$5*4_Normalizacion!K507</f>
        <v>3.90133374367575E-005</v>
      </c>
      <c r="L509" s="21" t="n">
        <f aca="false">L$5*4_Normalizacion!L507</f>
        <v>0.00118778047539676</v>
      </c>
      <c r="M509" s="21" t="n">
        <f aca="false">M$5*4_Normalizacion!M507</f>
        <v>0.000826234875930515</v>
      </c>
      <c r="N509" s="21" t="n">
        <f aca="false">N$5*4_Normalizacion!N507</f>
        <v>0.0075989803262918</v>
      </c>
      <c r="O509" s="21" t="n">
        <f aca="false">O$5*4_Normalizacion!O507</f>
        <v>0.00200587264654955</v>
      </c>
      <c r="P509" s="21" t="n">
        <f aca="false">P$5*4_Normalizacion!P507</f>
        <v>0.00271682439873943</v>
      </c>
      <c r="Q509" s="21" t="n">
        <f aca="false">Q$5*4_Normalizacion!Q507</f>
        <v>0.00285926571798898</v>
      </c>
    </row>
    <row r="510" customFormat="false" ht="15" hidden="false" customHeight="false" outlineLevel="0" collapsed="false">
      <c r="A510" s="15" t="n">
        <f aca="false">4_Normalizacion!A508</f>
        <v>503</v>
      </c>
      <c r="B510" s="16" t="n">
        <f aca="false">4_Normalizacion!B508</f>
        <v>50.471</v>
      </c>
      <c r="C510" s="21" t="n">
        <f aca="false">C$5*4_Normalizacion!C508</f>
        <v>0.00169192805394512</v>
      </c>
      <c r="D510" s="21" t="n">
        <f aca="false">D$5*4_Normalizacion!D508</f>
        <v>0.00020543122737585</v>
      </c>
      <c r="E510" s="21" t="n">
        <f aca="false">E$5*4_Normalizacion!E508</f>
        <v>0.00185693905364827</v>
      </c>
      <c r="F510" s="21" t="n">
        <f aca="false">F$5*4_Normalizacion!F508</f>
        <v>0.00161403739408304</v>
      </c>
      <c r="G510" s="21" t="n">
        <f aca="false">G$5*4_Normalizacion!G508</f>
        <v>0.000280339284607229</v>
      </c>
      <c r="H510" s="21" t="n">
        <f aca="false">H$5*4_Normalizacion!H508</f>
        <v>0.00169754589383076</v>
      </c>
      <c r="I510" s="21" t="n">
        <f aca="false">I$5*4_Normalizacion!I508</f>
        <v>0.00562173650840292</v>
      </c>
      <c r="J510" s="21" t="n">
        <f aca="false">J$5*4_Normalizacion!J508</f>
        <v>0.000255567041403239</v>
      </c>
      <c r="K510" s="21" t="n">
        <f aca="false">K$5*4_Normalizacion!K508</f>
        <v>3.90133374367575E-005</v>
      </c>
      <c r="L510" s="21" t="n">
        <f aca="false">L$5*4_Normalizacion!L508</f>
        <v>0.00121435386720597</v>
      </c>
      <c r="M510" s="21" t="n">
        <f aca="false">M$5*4_Normalizacion!M508</f>
        <v>0.000826234875930515</v>
      </c>
      <c r="N510" s="21" t="n">
        <f aca="false">N$5*4_Normalizacion!N508</f>
        <v>0.0075989803262918</v>
      </c>
      <c r="O510" s="21" t="n">
        <f aca="false">O$5*4_Normalizacion!O508</f>
        <v>0.00200587264654955</v>
      </c>
      <c r="P510" s="21" t="n">
        <f aca="false">P$5*4_Normalizacion!P508</f>
        <v>0.00271682439873943</v>
      </c>
      <c r="Q510" s="21" t="n">
        <f aca="false">Q$5*4_Normalizacion!Q508</f>
        <v>0.00285926571798898</v>
      </c>
    </row>
    <row r="511" customFormat="false" ht="15" hidden="false" customHeight="false" outlineLevel="0" collapsed="false">
      <c r="A511" s="15" t="n">
        <f aca="false">4_Normalizacion!A509</f>
        <v>504</v>
      </c>
      <c r="B511" s="16" t="n">
        <f aca="false">4_Normalizacion!B509</f>
        <v>50.57</v>
      </c>
      <c r="C511" s="21" t="n">
        <f aca="false">C$5*4_Normalizacion!C509</f>
        <v>0.00211491006743141</v>
      </c>
      <c r="D511" s="21" t="n">
        <f aca="false">D$5*4_Normalizacion!D509</f>
        <v>0.00020543122737585</v>
      </c>
      <c r="E511" s="21" t="n">
        <f aca="false">E$5*4_Normalizacion!E509</f>
        <v>0.00185693905364827</v>
      </c>
      <c r="F511" s="21" t="n">
        <f aca="false">F$5*4_Normalizacion!F509</f>
        <v>0.00161403739408304</v>
      </c>
      <c r="G511" s="21" t="n">
        <f aca="false">G$5*4_Normalizacion!G509</f>
        <v>0.000280339284607229</v>
      </c>
      <c r="H511" s="21" t="n">
        <f aca="false">H$5*4_Normalizacion!H509</f>
        <v>0.00169754589383076</v>
      </c>
      <c r="I511" s="21" t="n">
        <f aca="false">I$5*4_Normalizacion!I509</f>
        <v>0.00562173650840292</v>
      </c>
      <c r="J511" s="21" t="n">
        <f aca="false">J$5*4_Normalizacion!J509</f>
        <v>0.000255567041403239</v>
      </c>
      <c r="K511" s="21" t="n">
        <f aca="false">K$5*4_Normalizacion!K509</f>
        <v>3.90133374367575E-005</v>
      </c>
      <c r="L511" s="21" t="n">
        <f aca="false">L$5*4_Normalizacion!L509</f>
        <v>0.00123741756575736</v>
      </c>
      <c r="M511" s="21" t="n">
        <f aca="false">M$5*4_Normalizacion!M509</f>
        <v>0.000826234875930515</v>
      </c>
      <c r="N511" s="21" t="n">
        <f aca="false">N$5*4_Normalizacion!N509</f>
        <v>0.0075989803262918</v>
      </c>
      <c r="O511" s="21" t="n">
        <f aca="false">O$5*4_Normalizacion!O509</f>
        <v>0.00200587264654955</v>
      </c>
      <c r="P511" s="21" t="n">
        <f aca="false">P$5*4_Normalizacion!P509</f>
        <v>0.00271682439873943</v>
      </c>
      <c r="Q511" s="21" t="n">
        <f aca="false">Q$5*4_Normalizacion!Q509</f>
        <v>0.00285926571798898</v>
      </c>
    </row>
    <row r="512" customFormat="false" ht="15" hidden="false" customHeight="false" outlineLevel="0" collapsed="false">
      <c r="A512" s="15" t="n">
        <f aca="false">4_Normalizacion!A510</f>
        <v>505</v>
      </c>
      <c r="B512" s="16" t="n">
        <f aca="false">4_Normalizacion!B510</f>
        <v>50.67</v>
      </c>
      <c r="C512" s="21" t="n">
        <f aca="false">C$5*4_Normalizacion!C510</f>
        <v>0.00169192805394512</v>
      </c>
      <c r="D512" s="21" t="n">
        <f aca="false">D$5*4_Normalizacion!D510</f>
        <v>0.00020543122737585</v>
      </c>
      <c r="E512" s="21" t="n">
        <f aca="false">E$5*4_Normalizacion!E510</f>
        <v>0.00185693905364827</v>
      </c>
      <c r="F512" s="21" t="n">
        <f aca="false">F$5*4_Normalizacion!F510</f>
        <v>0.00161403739408304</v>
      </c>
      <c r="G512" s="21" t="n">
        <f aca="false">G$5*4_Normalizacion!G510</f>
        <v>0.000280339284607229</v>
      </c>
      <c r="H512" s="21" t="n">
        <f aca="false">H$5*4_Normalizacion!H510</f>
        <v>0.00169754589383076</v>
      </c>
      <c r="I512" s="21" t="n">
        <f aca="false">I$5*4_Normalizacion!I510</f>
        <v>0.00562173650840292</v>
      </c>
      <c r="J512" s="21" t="n">
        <f aca="false">J$5*4_Normalizacion!J510</f>
        <v>0.000255567041403239</v>
      </c>
      <c r="K512" s="21" t="n">
        <f aca="false">K$5*4_Normalizacion!K510</f>
        <v>3.90133374367575E-005</v>
      </c>
      <c r="L512" s="21" t="n">
        <f aca="false">L$5*4_Normalizacion!L510</f>
        <v>0.0012238801774772</v>
      </c>
      <c r="M512" s="21" t="n">
        <f aca="false">M$5*4_Normalizacion!M510</f>
        <v>0.000826234875930515</v>
      </c>
      <c r="N512" s="21" t="n">
        <f aca="false">N$5*4_Normalizacion!N510</f>
        <v>0.00607918426103344</v>
      </c>
      <c r="O512" s="21" t="n">
        <f aca="false">O$5*4_Normalizacion!O510</f>
        <v>0.00200587264654955</v>
      </c>
      <c r="P512" s="21" t="n">
        <f aca="false">P$5*4_Normalizacion!P510</f>
        <v>0.00271682439873943</v>
      </c>
      <c r="Q512" s="21" t="n">
        <f aca="false">Q$5*4_Normalizacion!Q510</f>
        <v>0.00285926571798898</v>
      </c>
    </row>
    <row r="513" customFormat="false" ht="15" hidden="false" customHeight="false" outlineLevel="0" collapsed="false">
      <c r="A513" s="15" t="n">
        <f aca="false">4_Normalizacion!A511</f>
        <v>506</v>
      </c>
      <c r="B513" s="16" t="n">
        <f aca="false">4_Normalizacion!B511</f>
        <v>50.769</v>
      </c>
      <c r="C513" s="21" t="n">
        <f aca="false">C$5*4_Normalizacion!C511</f>
        <v>0.00169192805394512</v>
      </c>
      <c r="D513" s="21" t="n">
        <f aca="false">D$5*4_Normalizacion!D511</f>
        <v>0.00020543122737585</v>
      </c>
      <c r="E513" s="21" t="n">
        <f aca="false">E$5*4_Normalizacion!E511</f>
        <v>0.00185693905364827</v>
      </c>
      <c r="F513" s="21" t="n">
        <f aca="false">F$5*4_Normalizacion!F511</f>
        <v>0.00121052804556228</v>
      </c>
      <c r="G513" s="21" t="n">
        <f aca="false">G$5*4_Normalizacion!G511</f>
        <v>0.000280339284607229</v>
      </c>
      <c r="H513" s="21" t="n">
        <f aca="false">H$5*4_Normalizacion!H511</f>
        <v>0.00169754589383076</v>
      </c>
      <c r="I513" s="21" t="n">
        <f aca="false">I$5*4_Normalizacion!I511</f>
        <v>0.00281086825420146</v>
      </c>
      <c r="J513" s="21" t="n">
        <f aca="false">J$5*4_Normalizacion!J511</f>
        <v>0.000255567041403239</v>
      </c>
      <c r="K513" s="21" t="n">
        <f aca="false">K$5*4_Normalizacion!K511</f>
        <v>3.90133374367575E-005</v>
      </c>
      <c r="L513" s="21" t="n">
        <f aca="false">L$5*4_Normalizacion!L511</f>
        <v>0.00122037048421938</v>
      </c>
      <c r="M513" s="21" t="n">
        <f aca="false">M$5*4_Normalizacion!M511</f>
        <v>0.000826234875930515</v>
      </c>
      <c r="N513" s="21" t="n">
        <f aca="false">N$5*4_Normalizacion!N511</f>
        <v>0.00607918426103344</v>
      </c>
      <c r="O513" s="21" t="n">
        <f aca="false">O$5*4_Normalizacion!O511</f>
        <v>0.00200587264654955</v>
      </c>
      <c r="P513" s="21" t="n">
        <f aca="false">P$5*4_Normalizacion!P511</f>
        <v>0.00271682439873943</v>
      </c>
      <c r="Q513" s="21" t="n">
        <f aca="false">Q$5*4_Normalizacion!Q511</f>
        <v>0.00285926571798898</v>
      </c>
    </row>
    <row r="514" customFormat="false" ht="15" hidden="false" customHeight="false" outlineLevel="0" collapsed="false">
      <c r="A514" s="15" t="n">
        <f aca="false">4_Normalizacion!A512</f>
        <v>507</v>
      </c>
      <c r="B514" s="16" t="n">
        <f aca="false">4_Normalizacion!B512</f>
        <v>50.869</v>
      </c>
      <c r="C514" s="21" t="n">
        <f aca="false">C$5*4_Normalizacion!C512</f>
        <v>0.00169192805394512</v>
      </c>
      <c r="D514" s="21" t="n">
        <f aca="false">D$5*4_Normalizacion!D512</f>
        <v>0.00020543122737585</v>
      </c>
      <c r="E514" s="21" t="n">
        <f aca="false">E$5*4_Normalizacion!E512</f>
        <v>0.0013927042902362</v>
      </c>
      <c r="F514" s="21" t="n">
        <f aca="false">F$5*4_Normalizacion!F512</f>
        <v>0.00121052804556228</v>
      </c>
      <c r="G514" s="21" t="n">
        <f aca="false">G$5*4_Normalizacion!G512</f>
        <v>0.000280339284607229</v>
      </c>
      <c r="H514" s="21" t="n">
        <f aca="false">H$5*4_Normalizacion!H512</f>
        <v>0.00169754589383076</v>
      </c>
      <c r="I514" s="21" t="n">
        <f aca="false">I$5*4_Normalizacion!I512</f>
        <v>0.00281086825420146</v>
      </c>
      <c r="J514" s="21" t="n">
        <f aca="false">J$5*4_Normalizacion!J512</f>
        <v>0.000255567041403239</v>
      </c>
      <c r="K514" s="21" t="n">
        <f aca="false">K$5*4_Normalizacion!K512</f>
        <v>3.90133374367575E-005</v>
      </c>
      <c r="L514" s="21" t="n">
        <f aca="false">L$5*4_Normalizacion!L512</f>
        <v>0.00122137325372161</v>
      </c>
      <c r="M514" s="21" t="n">
        <f aca="false">M$5*4_Normalizacion!M512</f>
        <v>0.000826234875930515</v>
      </c>
      <c r="N514" s="21" t="n">
        <f aca="false">N$5*4_Normalizacion!N512</f>
        <v>0.00607918426103344</v>
      </c>
      <c r="O514" s="21" t="n">
        <f aca="false">O$5*4_Normalizacion!O512</f>
        <v>0.00200587264654955</v>
      </c>
      <c r="P514" s="21" t="n">
        <f aca="false">P$5*4_Normalizacion!P512</f>
        <v>0.00271682439873943</v>
      </c>
      <c r="Q514" s="21" t="n">
        <f aca="false">Q$5*4_Normalizacion!Q512</f>
        <v>0.00285926571798898</v>
      </c>
    </row>
    <row r="515" customFormat="false" ht="15" hidden="false" customHeight="false" outlineLevel="0" collapsed="false">
      <c r="A515" s="15" t="n">
        <f aca="false">4_Normalizacion!A513</f>
        <v>508</v>
      </c>
      <c r="B515" s="16" t="n">
        <f aca="false">4_Normalizacion!B513</f>
        <v>50.969</v>
      </c>
      <c r="C515" s="21" t="n">
        <f aca="false">C$5*4_Normalizacion!C513</f>
        <v>0.00169192805394512</v>
      </c>
      <c r="D515" s="21" t="n">
        <f aca="false">D$5*4_Normalizacion!D513</f>
        <v>0.00020543122737585</v>
      </c>
      <c r="E515" s="21" t="n">
        <f aca="false">E$5*4_Normalizacion!E513</f>
        <v>0.0013927042902362</v>
      </c>
      <c r="F515" s="21" t="n">
        <f aca="false">F$5*4_Normalizacion!F513</f>
        <v>0.00161403739408304</v>
      </c>
      <c r="G515" s="21" t="n">
        <f aca="false">G$5*4_Normalizacion!G513</f>
        <v>0.000280339284607229</v>
      </c>
      <c r="H515" s="21" t="n">
        <f aca="false">H$5*4_Normalizacion!H513</f>
        <v>0.00169754589383076</v>
      </c>
      <c r="I515" s="21" t="n">
        <f aca="false">I$5*4_Normalizacion!I513</f>
        <v>0.00281086825420146</v>
      </c>
      <c r="J515" s="21" t="n">
        <f aca="false">J$5*4_Normalizacion!J513</f>
        <v>0.000255567041403239</v>
      </c>
      <c r="K515" s="21" t="n">
        <f aca="false">K$5*4_Normalizacion!K513</f>
        <v>3.90133374367575E-005</v>
      </c>
      <c r="L515" s="21" t="n">
        <f aca="false">L$5*4_Normalizacion!L513</f>
        <v>0.00116772508535207</v>
      </c>
      <c r="M515" s="21" t="n">
        <f aca="false">M$5*4_Normalizacion!M513</f>
        <v>0.000826234875930515</v>
      </c>
      <c r="N515" s="21" t="n">
        <f aca="false">N$5*4_Normalizacion!N513</f>
        <v>0.00607918426103344</v>
      </c>
      <c r="O515" s="21" t="n">
        <f aca="false">O$5*4_Normalizacion!O513</f>
        <v>0.00200587264654955</v>
      </c>
      <c r="P515" s="21" t="n">
        <f aca="false">P$5*4_Normalizacion!P513</f>
        <v>0.00271682439873943</v>
      </c>
      <c r="Q515" s="21" t="n">
        <f aca="false">Q$5*4_Normalizacion!Q513</f>
        <v>0.00285926571798898</v>
      </c>
    </row>
    <row r="516" customFormat="false" ht="15" hidden="false" customHeight="false" outlineLevel="0" collapsed="false">
      <c r="A516" s="15" t="n">
        <f aca="false">4_Normalizacion!A514</f>
        <v>509</v>
      </c>
      <c r="B516" s="16" t="n">
        <f aca="false">4_Normalizacion!B514</f>
        <v>51.068</v>
      </c>
      <c r="C516" s="21" t="n">
        <f aca="false">C$5*4_Normalizacion!C514</f>
        <v>0.00211491006743141</v>
      </c>
      <c r="D516" s="21" t="n">
        <f aca="false">D$5*4_Normalizacion!D514</f>
        <v>0.00020543122737585</v>
      </c>
      <c r="E516" s="21" t="n">
        <f aca="false">E$5*4_Normalizacion!E514</f>
        <v>0.000928469526824133</v>
      </c>
      <c r="F516" s="21" t="n">
        <f aca="false">F$5*4_Normalizacion!F514</f>
        <v>0.00161403739408304</v>
      </c>
      <c r="G516" s="21" t="n">
        <f aca="false">G$5*4_Normalizacion!G514</f>
        <v>0.000280339284607229</v>
      </c>
      <c r="H516" s="21" t="n">
        <f aca="false">H$5*4_Normalizacion!H514</f>
        <v>0.00169754589383076</v>
      </c>
      <c r="I516" s="21" t="n">
        <f aca="false">I$5*4_Normalizacion!I514</f>
        <v>0.00281086825420146</v>
      </c>
      <c r="J516" s="21" t="n">
        <f aca="false">J$5*4_Normalizacion!J514</f>
        <v>0.000255567041403239</v>
      </c>
      <c r="K516" s="21" t="n">
        <f aca="false">K$5*4_Normalizacion!K514</f>
        <v>3.90133374367575E-005</v>
      </c>
      <c r="L516" s="21" t="n">
        <f aca="false">L$5*4_Normalizacion!L514</f>
        <v>0.00108299106241325</v>
      </c>
      <c r="M516" s="21" t="n">
        <f aca="false">M$5*4_Normalizacion!M514</f>
        <v>0.000826234875930515</v>
      </c>
      <c r="N516" s="21" t="n">
        <f aca="false">N$5*4_Normalizacion!N514</f>
        <v>0.00607918426103344</v>
      </c>
      <c r="O516" s="21" t="n">
        <f aca="false">O$5*4_Normalizacion!O514</f>
        <v>0.00200587264654955</v>
      </c>
      <c r="P516" s="21" t="n">
        <f aca="false">P$5*4_Normalizacion!P514</f>
        <v>0.00271682439873943</v>
      </c>
      <c r="Q516" s="21" t="n">
        <f aca="false">Q$5*4_Normalizacion!Q514</f>
        <v>0.00285926571798898</v>
      </c>
    </row>
    <row r="517" customFormat="false" ht="15" hidden="false" customHeight="false" outlineLevel="0" collapsed="false">
      <c r="A517" s="15" t="n">
        <f aca="false">4_Normalizacion!A515</f>
        <v>510</v>
      </c>
      <c r="B517" s="16" t="n">
        <f aca="false">4_Normalizacion!B515</f>
        <v>51.168</v>
      </c>
      <c r="C517" s="21" t="n">
        <f aca="false">C$5*4_Normalizacion!C515</f>
        <v>0.00211491006743141</v>
      </c>
      <c r="D517" s="21" t="n">
        <f aca="false">D$5*4_Normalizacion!D515</f>
        <v>0.00020543122737585</v>
      </c>
      <c r="E517" s="21" t="n">
        <f aca="false">E$5*4_Normalizacion!E515</f>
        <v>0.000464234763412067</v>
      </c>
      <c r="F517" s="21" t="n">
        <f aca="false">F$5*4_Normalizacion!F515</f>
        <v>0.00161403739408304</v>
      </c>
      <c r="G517" s="21" t="n">
        <f aca="false">G$5*4_Normalizacion!G515</f>
        <v>0.000280339284607229</v>
      </c>
      <c r="H517" s="21" t="n">
        <f aca="false">H$5*4_Normalizacion!H515</f>
        <v>0.00169754589383076</v>
      </c>
      <c r="I517" s="21" t="n">
        <f aca="false">I$5*4_Normalizacion!I515</f>
        <v>0.00281086825420146</v>
      </c>
      <c r="J517" s="21" t="n">
        <f aca="false">J$5*4_Normalizacion!J515</f>
        <v>0.000255567041403239</v>
      </c>
      <c r="K517" s="21" t="n">
        <f aca="false">K$5*4_Normalizacion!K515</f>
        <v>3.90133374367575E-005</v>
      </c>
      <c r="L517" s="21" t="n">
        <f aca="false">L$5*4_Normalizacion!L515</f>
        <v>0.00112611015100934</v>
      </c>
      <c r="M517" s="21" t="n">
        <f aca="false">M$5*4_Normalizacion!M515</f>
        <v>0.000826234875930515</v>
      </c>
      <c r="N517" s="21" t="n">
        <f aca="false">N$5*4_Normalizacion!N515</f>
        <v>0.00607918426103344</v>
      </c>
      <c r="O517" s="21" t="n">
        <f aca="false">O$5*4_Normalizacion!O515</f>
        <v>0.00200587264654955</v>
      </c>
      <c r="P517" s="21" t="n">
        <f aca="false">P$5*4_Normalizacion!P515</f>
        <v>0.00271682439873943</v>
      </c>
      <c r="Q517" s="21" t="n">
        <f aca="false">Q$5*4_Normalizacion!Q515</f>
        <v>0.00285926571798898</v>
      </c>
    </row>
    <row r="518" customFormat="false" ht="15" hidden="false" customHeight="false" outlineLevel="0" collapsed="false">
      <c r="A518" s="15" t="n">
        <f aca="false">4_Normalizacion!A516</f>
        <v>511</v>
      </c>
      <c r="B518" s="16" t="n">
        <f aca="false">4_Normalizacion!B516</f>
        <v>51.269</v>
      </c>
      <c r="C518" s="21" t="n">
        <f aca="false">C$5*4_Normalizacion!C516</f>
        <v>0.00211491006743141</v>
      </c>
      <c r="D518" s="21" t="n">
        <f aca="false">D$5*4_Normalizacion!D516</f>
        <v>0.00020543122737585</v>
      </c>
      <c r="E518" s="21" t="n">
        <f aca="false">E$5*4_Normalizacion!E516</f>
        <v>0.000464234763412067</v>
      </c>
      <c r="F518" s="21" t="n">
        <f aca="false">F$5*4_Normalizacion!F516</f>
        <v>0.00161403739408304</v>
      </c>
      <c r="G518" s="21" t="n">
        <f aca="false">G$5*4_Normalizacion!G516</f>
        <v>0.000280339284607229</v>
      </c>
      <c r="H518" s="21" t="n">
        <f aca="false">H$5*4_Normalizacion!H516</f>
        <v>0.00169754589383076</v>
      </c>
      <c r="I518" s="21" t="n">
        <f aca="false">I$5*4_Normalizacion!I516</f>
        <v>0.00281086825420146</v>
      </c>
      <c r="J518" s="21" t="n">
        <f aca="false">J$5*4_Normalizacion!J516</f>
        <v>0.000255567041403239</v>
      </c>
      <c r="K518" s="21" t="n">
        <f aca="false">K$5*4_Normalizacion!K516</f>
        <v>3.90133374367575E-005</v>
      </c>
      <c r="L518" s="21" t="n">
        <f aca="false">L$5*4_Normalizacion!L516</f>
        <v>0.00115719600557861</v>
      </c>
      <c r="M518" s="21" t="n">
        <f aca="false">M$5*4_Normalizacion!M516</f>
        <v>0.000826234875930515</v>
      </c>
      <c r="N518" s="21" t="n">
        <f aca="false">N$5*4_Normalizacion!N516</f>
        <v>0.00607918426103344</v>
      </c>
      <c r="O518" s="21" t="n">
        <f aca="false">O$5*4_Normalizacion!O516</f>
        <v>0.00200587264654955</v>
      </c>
      <c r="P518" s="21" t="n">
        <f aca="false">P$5*4_Normalizacion!P516</f>
        <v>0.00271682439873943</v>
      </c>
      <c r="Q518" s="21" t="n">
        <f aca="false">Q$5*4_Normalizacion!Q516</f>
        <v>0.00285926571798898</v>
      </c>
    </row>
    <row r="519" customFormat="false" ht="15" hidden="false" customHeight="false" outlineLevel="0" collapsed="false">
      <c r="A519" s="15" t="n">
        <f aca="false">4_Normalizacion!A517</f>
        <v>512</v>
      </c>
      <c r="B519" s="16" t="n">
        <f aca="false">4_Normalizacion!B517</f>
        <v>51.369</v>
      </c>
      <c r="C519" s="21" t="n">
        <f aca="false">C$5*4_Normalizacion!C517</f>
        <v>0.00211491006743141</v>
      </c>
      <c r="D519" s="21" t="n">
        <f aca="false">D$5*4_Normalizacion!D517</f>
        <v>0.00020543122737585</v>
      </c>
      <c r="E519" s="21" t="n">
        <f aca="false">E$5*4_Normalizacion!E517</f>
        <v>0.000464234763412067</v>
      </c>
      <c r="F519" s="21" t="n">
        <f aca="false">F$5*4_Normalizacion!F517</f>
        <v>0.00121052804556228</v>
      </c>
      <c r="G519" s="21" t="n">
        <f aca="false">G$5*4_Normalizacion!G517</f>
        <v>0.000280339284607229</v>
      </c>
      <c r="H519" s="21" t="n">
        <f aca="false">H$5*4_Normalizacion!H517</f>
        <v>0.00169754589383076</v>
      </c>
      <c r="I519" s="21" t="n">
        <f aca="false">I$5*4_Normalizacion!I517</f>
        <v>0.00281086825420146</v>
      </c>
      <c r="J519" s="21" t="n">
        <f aca="false">J$5*4_Normalizacion!J517</f>
        <v>0.000255567041403239</v>
      </c>
      <c r="K519" s="21" t="n">
        <f aca="false">K$5*4_Normalizacion!K517</f>
        <v>3.90133374367575E-005</v>
      </c>
      <c r="L519" s="21" t="n">
        <f aca="false">L$5*4_Normalizacion!L517</f>
        <v>0.00115468908182302</v>
      </c>
      <c r="M519" s="21" t="n">
        <f aca="false">M$5*4_Normalizacion!M517</f>
        <v>0.000826234875930515</v>
      </c>
      <c r="N519" s="21" t="n">
        <f aca="false">N$5*4_Normalizacion!N517</f>
        <v>0.00607918426103344</v>
      </c>
      <c r="O519" s="21" t="n">
        <f aca="false">O$5*4_Normalizacion!O517</f>
        <v>0.00200587264654955</v>
      </c>
      <c r="P519" s="21" t="n">
        <f aca="false">P$5*4_Normalizacion!P517</f>
        <v>0.00271682439873943</v>
      </c>
      <c r="Q519" s="21" t="n">
        <f aca="false">Q$5*4_Normalizacion!Q517</f>
        <v>0.00285926571798898</v>
      </c>
    </row>
    <row r="520" customFormat="false" ht="15" hidden="false" customHeight="false" outlineLevel="0" collapsed="false">
      <c r="A520" s="15" t="n">
        <f aca="false">4_Normalizacion!A518</f>
        <v>513</v>
      </c>
      <c r="B520" s="16" t="n">
        <f aca="false">4_Normalizacion!B518</f>
        <v>51.47</v>
      </c>
      <c r="C520" s="21" t="n">
        <f aca="false">C$5*4_Normalizacion!C518</f>
        <v>0.00211491006743141</v>
      </c>
      <c r="D520" s="21" t="n">
        <f aca="false">D$5*4_Normalizacion!D518</f>
        <v>0.00020543122737585</v>
      </c>
      <c r="E520" s="21" t="n">
        <f aca="false">E$5*4_Normalizacion!E518</f>
        <v>0.000464234763412067</v>
      </c>
      <c r="F520" s="21" t="n">
        <f aca="false">F$5*4_Normalizacion!F518</f>
        <v>0.00161403739408304</v>
      </c>
      <c r="G520" s="21" t="n">
        <f aca="false">G$5*4_Normalizacion!G518</f>
        <v>0.000280339284607229</v>
      </c>
      <c r="H520" s="21" t="n">
        <f aca="false">H$5*4_Normalizacion!H518</f>
        <v>0.00169754589383076</v>
      </c>
      <c r="I520" s="21" t="n">
        <f aca="false">I$5*4_Normalizacion!I518</f>
        <v>0.00281086825420146</v>
      </c>
      <c r="J520" s="21" t="n">
        <f aca="false">J$5*4_Normalizacion!J518</f>
        <v>0.000255567041403239</v>
      </c>
      <c r="K520" s="21" t="n">
        <f aca="false">K$5*4_Normalizacion!K518</f>
        <v>3.90133374367575E-005</v>
      </c>
      <c r="L520" s="21" t="n">
        <f aca="false">L$5*4_Normalizacion!L518</f>
        <v>0.00115819877508084</v>
      </c>
      <c r="M520" s="21" t="n">
        <f aca="false">M$5*4_Normalizacion!M518</f>
        <v>0.000826234875930515</v>
      </c>
      <c r="N520" s="21" t="n">
        <f aca="false">N$5*4_Normalizacion!N518</f>
        <v>0.00607918426103344</v>
      </c>
      <c r="O520" s="21" t="n">
        <f aca="false">O$5*4_Normalizacion!O518</f>
        <v>0.00200587264654955</v>
      </c>
      <c r="P520" s="21" t="n">
        <f aca="false">P$5*4_Normalizacion!P518</f>
        <v>0.00271682439873943</v>
      </c>
      <c r="Q520" s="21" t="n">
        <f aca="false">Q$5*4_Normalizacion!Q518</f>
        <v>0.00285926571798898</v>
      </c>
    </row>
    <row r="521" customFormat="false" ht="15" hidden="false" customHeight="false" outlineLevel="0" collapsed="false">
      <c r="A521" s="15" t="n">
        <f aca="false">4_Normalizacion!A519</f>
        <v>514</v>
      </c>
      <c r="B521" s="16" t="n">
        <f aca="false">4_Normalizacion!B519</f>
        <v>51.571</v>
      </c>
      <c r="C521" s="21" t="n">
        <f aca="false">C$5*4_Normalizacion!C519</f>
        <v>0.00211491006743141</v>
      </c>
      <c r="D521" s="21" t="n">
        <f aca="false">D$5*4_Normalizacion!D519</f>
        <v>0.00020543122737585</v>
      </c>
      <c r="E521" s="21" t="n">
        <f aca="false">E$5*4_Normalizacion!E519</f>
        <v>0.000464234763412067</v>
      </c>
      <c r="F521" s="21" t="n">
        <f aca="false">F$5*4_Normalizacion!F519</f>
        <v>0.00161403739408304</v>
      </c>
      <c r="G521" s="21" t="n">
        <f aca="false">G$5*4_Normalizacion!G519</f>
        <v>0.000280339284607229</v>
      </c>
      <c r="H521" s="21" t="n">
        <f aca="false">H$5*4_Normalizacion!H519</f>
        <v>0.00169754589383076</v>
      </c>
      <c r="I521" s="21" t="n">
        <f aca="false">I$5*4_Normalizacion!I519</f>
        <v>0.00281086825420146</v>
      </c>
      <c r="J521" s="21" t="n">
        <f aca="false">J$5*4_Normalizacion!J519</f>
        <v>0.000255567041403239</v>
      </c>
      <c r="K521" s="21" t="n">
        <f aca="false">K$5*4_Normalizacion!K519</f>
        <v>3.90133374367575E-005</v>
      </c>
      <c r="L521" s="21" t="n">
        <f aca="false">L$5*4_Normalizacion!L519</f>
        <v>0.00109502429644007</v>
      </c>
      <c r="M521" s="21" t="n">
        <f aca="false">M$5*4_Normalizacion!M519</f>
        <v>0.000826234875930515</v>
      </c>
      <c r="N521" s="21" t="n">
        <f aca="false">N$5*4_Normalizacion!N519</f>
        <v>0.00607918426103344</v>
      </c>
      <c r="O521" s="21" t="n">
        <f aca="false">O$5*4_Normalizacion!O519</f>
        <v>0.00200587264654955</v>
      </c>
      <c r="P521" s="21" t="n">
        <f aca="false">P$5*4_Normalizacion!P519</f>
        <v>0.00271682439873943</v>
      </c>
      <c r="Q521" s="21" t="n">
        <f aca="false">Q$5*4_Normalizacion!Q519</f>
        <v>0.00285926571798898</v>
      </c>
    </row>
    <row r="522" customFormat="false" ht="15" hidden="false" customHeight="false" outlineLevel="0" collapsed="false">
      <c r="A522" s="15" t="n">
        <f aca="false">4_Normalizacion!A520</f>
        <v>515</v>
      </c>
      <c r="B522" s="16" t="n">
        <f aca="false">4_Normalizacion!B520</f>
        <v>51.672</v>
      </c>
      <c r="C522" s="21" t="n">
        <f aca="false">C$5*4_Normalizacion!C520</f>
        <v>0.00211491006743141</v>
      </c>
      <c r="D522" s="21" t="n">
        <f aca="false">D$5*4_Normalizacion!D520</f>
        <v>0.00020543122737585</v>
      </c>
      <c r="E522" s="21" t="n">
        <f aca="false">E$5*4_Normalizacion!E520</f>
        <v>0.000464234763412067</v>
      </c>
      <c r="F522" s="21" t="n">
        <f aca="false">F$5*4_Normalizacion!F520</f>
        <v>0.00161403739408304</v>
      </c>
      <c r="G522" s="21" t="n">
        <f aca="false">G$5*4_Normalizacion!G520</f>
        <v>0.000280339284607229</v>
      </c>
      <c r="H522" s="21" t="n">
        <f aca="false">H$5*4_Normalizacion!H520</f>
        <v>0.00169754589383076</v>
      </c>
      <c r="I522" s="21" t="n">
        <f aca="false">I$5*4_Normalizacion!I520</f>
        <v>0.00281086825420146</v>
      </c>
      <c r="J522" s="21" t="n">
        <f aca="false">J$5*4_Normalizacion!J520</f>
        <v>0.000255567041403239</v>
      </c>
      <c r="K522" s="21" t="n">
        <f aca="false">K$5*4_Normalizacion!K520</f>
        <v>3.90133374367575E-005</v>
      </c>
      <c r="L522" s="21" t="n">
        <f aca="false">L$5*4_Normalizacion!L520</f>
        <v>0.00113112399852051</v>
      </c>
      <c r="M522" s="21" t="n">
        <f aca="false">M$5*4_Normalizacion!M520</f>
        <v>0.000826234875930515</v>
      </c>
      <c r="N522" s="21" t="n">
        <f aca="false">N$5*4_Normalizacion!N520</f>
        <v>0.00607918426103344</v>
      </c>
      <c r="O522" s="21" t="n">
        <f aca="false">O$5*4_Normalizacion!O520</f>
        <v>0.00200587264654955</v>
      </c>
      <c r="P522" s="21" t="n">
        <f aca="false">P$5*4_Normalizacion!P520</f>
        <v>0.00271682439873943</v>
      </c>
      <c r="Q522" s="21" t="n">
        <f aca="false">Q$5*4_Normalizacion!Q520</f>
        <v>0.00285926571798898</v>
      </c>
    </row>
    <row r="523" customFormat="false" ht="15" hidden="false" customHeight="false" outlineLevel="0" collapsed="false">
      <c r="A523" s="15" t="n">
        <f aca="false">4_Normalizacion!A521</f>
        <v>516</v>
      </c>
      <c r="B523" s="16" t="n">
        <f aca="false">4_Normalizacion!B521</f>
        <v>51.773</v>
      </c>
      <c r="C523" s="21" t="n">
        <f aca="false">C$5*4_Normalizacion!C521</f>
        <v>0.00211491006743141</v>
      </c>
      <c r="D523" s="21" t="n">
        <f aca="false">D$5*4_Normalizacion!D521</f>
        <v>0.00020543122737585</v>
      </c>
      <c r="E523" s="21" t="n">
        <f aca="false">E$5*4_Normalizacion!E521</f>
        <v>0.000464234763412067</v>
      </c>
      <c r="F523" s="21" t="n">
        <f aca="false">F$5*4_Normalizacion!F521</f>
        <v>0.00121052804556228</v>
      </c>
      <c r="G523" s="21" t="n">
        <f aca="false">G$5*4_Normalizacion!G521</f>
        <v>0.000280339284607229</v>
      </c>
      <c r="H523" s="21" t="n">
        <f aca="false">H$5*4_Normalizacion!H521</f>
        <v>0.00169754589383076</v>
      </c>
      <c r="I523" s="21" t="n">
        <f aca="false">I$5*4_Normalizacion!I521</f>
        <v>0.00281086825420146</v>
      </c>
      <c r="J523" s="21" t="n">
        <f aca="false">J$5*4_Normalizacion!J521</f>
        <v>0.000255567041403239</v>
      </c>
      <c r="K523" s="21" t="n">
        <f aca="false">K$5*4_Normalizacion!K521</f>
        <v>3.90133374367575E-005</v>
      </c>
      <c r="L523" s="21" t="n">
        <f aca="false">L$5*4_Normalizacion!L521</f>
        <v>0.00116672231584983</v>
      </c>
      <c r="M523" s="21" t="n">
        <f aca="false">M$5*4_Normalizacion!M521</f>
        <v>0.000826234875930515</v>
      </c>
      <c r="N523" s="21" t="n">
        <f aca="false">N$5*4_Normalizacion!N521</f>
        <v>0.00607918426103344</v>
      </c>
      <c r="O523" s="21" t="n">
        <f aca="false">O$5*4_Normalizacion!O521</f>
        <v>0.00200587264654955</v>
      </c>
      <c r="P523" s="21" t="n">
        <f aca="false">P$5*4_Normalizacion!P521</f>
        <v>0.00271682439873943</v>
      </c>
      <c r="Q523" s="21" t="n">
        <f aca="false">Q$5*4_Normalizacion!Q521</f>
        <v>0.00285926571798898</v>
      </c>
    </row>
    <row r="524" customFormat="false" ht="15" hidden="false" customHeight="false" outlineLevel="0" collapsed="false">
      <c r="A524" s="15" t="n">
        <f aca="false">4_Normalizacion!A522</f>
        <v>517</v>
      </c>
      <c r="B524" s="16" t="n">
        <f aca="false">4_Normalizacion!B522</f>
        <v>51.873</v>
      </c>
      <c r="C524" s="21" t="n">
        <f aca="false">C$5*4_Normalizacion!C522</f>
        <v>0.00211491006743141</v>
      </c>
      <c r="D524" s="21" t="n">
        <f aca="false">D$5*4_Normalizacion!D522</f>
        <v>0.00020543122737585</v>
      </c>
      <c r="E524" s="21" t="n">
        <f aca="false">E$5*4_Normalizacion!E522</f>
        <v>0.000464234763412067</v>
      </c>
      <c r="F524" s="21" t="n">
        <f aca="false">F$5*4_Normalizacion!F522</f>
        <v>0.00121052804556228</v>
      </c>
      <c r="G524" s="21" t="n">
        <f aca="false">G$5*4_Normalizacion!G522</f>
        <v>0.000280339284607229</v>
      </c>
      <c r="H524" s="21" t="n">
        <f aca="false">H$5*4_Normalizacion!H522</f>
        <v>0.00169754589383076</v>
      </c>
      <c r="I524" s="21" t="n">
        <f aca="false">I$5*4_Normalizacion!I522</f>
        <v>0.00281086825420146</v>
      </c>
      <c r="J524" s="21" t="n">
        <f aca="false">J$5*4_Normalizacion!J522</f>
        <v>0.000255567041403239</v>
      </c>
      <c r="K524" s="21" t="n">
        <f aca="false">K$5*4_Normalizacion!K522</f>
        <v>3.90133374367575E-005</v>
      </c>
      <c r="L524" s="21" t="n">
        <f aca="false">L$5*4_Normalizacion!L522</f>
        <v>0.00104588859083058</v>
      </c>
      <c r="M524" s="21" t="n">
        <f aca="false">M$5*4_Normalizacion!M522</f>
        <v>0.000826234875930515</v>
      </c>
      <c r="N524" s="21" t="n">
        <f aca="false">N$5*4_Normalizacion!N522</f>
        <v>0.00607918426103344</v>
      </c>
      <c r="O524" s="21" t="n">
        <f aca="false">O$5*4_Normalizacion!O522</f>
        <v>0.00200587264654955</v>
      </c>
      <c r="P524" s="21" t="n">
        <f aca="false">P$5*4_Normalizacion!P522</f>
        <v>0.00271682439873943</v>
      </c>
      <c r="Q524" s="21" t="n">
        <f aca="false">Q$5*4_Normalizacion!Q522</f>
        <v>0.00285926571798898</v>
      </c>
    </row>
    <row r="525" customFormat="false" ht="15" hidden="false" customHeight="false" outlineLevel="0" collapsed="false">
      <c r="A525" s="15" t="n">
        <f aca="false">4_Normalizacion!A523</f>
        <v>518</v>
      </c>
      <c r="B525" s="16" t="n">
        <f aca="false">4_Normalizacion!B523</f>
        <v>51.974</v>
      </c>
      <c r="C525" s="21" t="n">
        <f aca="false">C$5*4_Normalizacion!C523</f>
        <v>0.00211491006743141</v>
      </c>
      <c r="D525" s="21" t="n">
        <f aca="false">D$5*4_Normalizacion!D523</f>
        <v>0.00020543122737585</v>
      </c>
      <c r="E525" s="21" t="n">
        <f aca="false">E$5*4_Normalizacion!E523</f>
        <v>0.000928469526824133</v>
      </c>
      <c r="F525" s="21" t="n">
        <f aca="false">F$5*4_Normalizacion!F523</f>
        <v>0.00121052804556228</v>
      </c>
      <c r="G525" s="21" t="n">
        <f aca="false">G$5*4_Normalizacion!G523</f>
        <v>0.000280339284607229</v>
      </c>
      <c r="H525" s="21" t="n">
        <f aca="false">H$5*4_Normalizacion!H523</f>
        <v>0.00169754589383076</v>
      </c>
      <c r="I525" s="21" t="n">
        <f aca="false">I$5*4_Normalizacion!I523</f>
        <v>0.00281086825420146</v>
      </c>
      <c r="J525" s="21" t="n">
        <f aca="false">J$5*4_Normalizacion!J523</f>
        <v>0.000255567041403239</v>
      </c>
      <c r="K525" s="21" t="n">
        <f aca="false">K$5*4_Normalizacion!K523</f>
        <v>3.90133374367575E-005</v>
      </c>
      <c r="L525" s="21" t="n">
        <f aca="false">L$5*4_Normalizacion!L523</f>
        <v>0.00115519046657414</v>
      </c>
      <c r="M525" s="21" t="n">
        <f aca="false">M$5*4_Normalizacion!M523</f>
        <v>0.000764473818954709</v>
      </c>
      <c r="N525" s="21" t="n">
        <f aca="false">N$5*4_Normalizacion!N523</f>
        <v>0.00607918426103344</v>
      </c>
      <c r="O525" s="21" t="n">
        <f aca="false">O$5*4_Normalizacion!O523</f>
        <v>0.00200587264654955</v>
      </c>
      <c r="P525" s="21" t="n">
        <f aca="false">P$5*4_Normalizacion!P523</f>
        <v>0.00271682439873943</v>
      </c>
      <c r="Q525" s="21" t="n">
        <f aca="false">Q$5*4_Normalizacion!Q523</f>
        <v>0.00571853143597797</v>
      </c>
    </row>
    <row r="526" customFormat="false" ht="15" hidden="false" customHeight="false" outlineLevel="0" collapsed="false">
      <c r="A526" s="15" t="n">
        <f aca="false">4_Normalizacion!A524</f>
        <v>519</v>
      </c>
      <c r="B526" s="16" t="n">
        <f aca="false">4_Normalizacion!B524</f>
        <v>52.075</v>
      </c>
      <c r="C526" s="21" t="n">
        <f aca="false">C$5*4_Normalizacion!C524</f>
        <v>0.00211491006743141</v>
      </c>
      <c r="D526" s="21" t="n">
        <f aca="false">D$5*4_Normalizacion!D524</f>
        <v>0.00020543122737585</v>
      </c>
      <c r="E526" s="21" t="n">
        <f aca="false">E$5*4_Normalizacion!E524</f>
        <v>0.0013927042902362</v>
      </c>
      <c r="F526" s="21" t="n">
        <f aca="false">F$5*4_Normalizacion!F524</f>
        <v>0.00121052804556228</v>
      </c>
      <c r="G526" s="21" t="n">
        <f aca="false">G$5*4_Normalizacion!G524</f>
        <v>0.000280339284607229</v>
      </c>
      <c r="H526" s="21" t="n">
        <f aca="false">H$5*4_Normalizacion!H524</f>
        <v>0.00169754589383076</v>
      </c>
      <c r="I526" s="21" t="n">
        <f aca="false">I$5*4_Normalizacion!I524</f>
        <v>0.00281086825420146</v>
      </c>
      <c r="J526" s="21" t="n">
        <f aca="false">J$5*4_Normalizacion!J524</f>
        <v>0.000255567041403239</v>
      </c>
      <c r="K526" s="21" t="n">
        <f aca="false">K$5*4_Normalizacion!K524</f>
        <v>3.90133374367575E-005</v>
      </c>
      <c r="L526" s="21" t="n">
        <f aca="false">L$5*4_Normalizacion!L524</f>
        <v>0.00128354496286015</v>
      </c>
      <c r="M526" s="21" t="n">
        <f aca="false">M$5*4_Normalizacion!M524</f>
        <v>0.000719237459497514</v>
      </c>
      <c r="N526" s="21" t="n">
        <f aca="false">N$5*4_Normalizacion!N524</f>
        <v>0.00607918426103344</v>
      </c>
      <c r="O526" s="21" t="n">
        <f aca="false">O$5*4_Normalizacion!O524</f>
        <v>0.00200587264654955</v>
      </c>
      <c r="P526" s="21" t="n">
        <f aca="false">P$5*4_Normalizacion!P524</f>
        <v>0.00271682439873943</v>
      </c>
      <c r="Q526" s="21" t="n">
        <f aca="false">Q$5*4_Normalizacion!Q524</f>
        <v>0.00285926571798898</v>
      </c>
    </row>
    <row r="527" customFormat="false" ht="15" hidden="false" customHeight="false" outlineLevel="0" collapsed="false">
      <c r="A527" s="15" t="n">
        <f aca="false">4_Normalizacion!A525</f>
        <v>520</v>
      </c>
      <c r="B527" s="16" t="n">
        <f aca="false">4_Normalizacion!B525</f>
        <v>52.176</v>
      </c>
      <c r="C527" s="21" t="n">
        <f aca="false">C$5*4_Normalizacion!C525</f>
        <v>0.00211491006743141</v>
      </c>
      <c r="D527" s="21" t="n">
        <f aca="false">D$5*4_Normalizacion!D525</f>
        <v>0.00020543122737585</v>
      </c>
      <c r="E527" s="21" t="n">
        <f aca="false">E$5*4_Normalizacion!E525</f>
        <v>0.000928469526824133</v>
      </c>
      <c r="F527" s="21" t="n">
        <f aca="false">F$5*4_Normalizacion!F525</f>
        <v>0.00121052804556228</v>
      </c>
      <c r="G527" s="21" t="n">
        <f aca="false">G$5*4_Normalizacion!G525</f>
        <v>0.000280339284607229</v>
      </c>
      <c r="H527" s="21" t="n">
        <f aca="false">H$5*4_Normalizacion!H525</f>
        <v>0.00169754589383076</v>
      </c>
      <c r="I527" s="21" t="n">
        <f aca="false">I$5*4_Normalizacion!I525</f>
        <v>0.00281086825420146</v>
      </c>
      <c r="J527" s="21" t="n">
        <f aca="false">J$5*4_Normalizacion!J525</f>
        <v>0.000255567041403239</v>
      </c>
      <c r="K527" s="21" t="n">
        <f aca="false">K$5*4_Normalizacion!K525</f>
        <v>3.90133374367575E-005</v>
      </c>
      <c r="L527" s="21" t="n">
        <f aca="false">L$5*4_Normalizacion!L525</f>
        <v>0.0011657195463476</v>
      </c>
      <c r="M527" s="21" t="n">
        <f aca="false">M$5*4_Normalizacion!M525</f>
        <v>0.000819831555642054</v>
      </c>
      <c r="N527" s="21" t="n">
        <f aca="false">N$5*4_Normalizacion!N525</f>
        <v>0.00607918426103344</v>
      </c>
      <c r="O527" s="21" t="n">
        <f aca="false">O$5*4_Normalizacion!O525</f>
        <v>0.00200587264654955</v>
      </c>
      <c r="P527" s="21" t="n">
        <f aca="false">P$5*4_Normalizacion!P525</f>
        <v>0.00271682439873943</v>
      </c>
      <c r="Q527" s="21" t="n">
        <f aca="false">Q$5*4_Normalizacion!Q525</f>
        <v>0.00285926571798898</v>
      </c>
    </row>
    <row r="528" customFormat="false" ht="15" hidden="false" customHeight="false" outlineLevel="0" collapsed="false">
      <c r="A528" s="15" t="n">
        <f aca="false">4_Normalizacion!A526</f>
        <v>521</v>
      </c>
      <c r="B528" s="16" t="n">
        <f aca="false">4_Normalizacion!B526</f>
        <v>52.276</v>
      </c>
      <c r="C528" s="21" t="n">
        <f aca="false">C$5*4_Normalizacion!C526</f>
        <v>0.00211491006743141</v>
      </c>
      <c r="D528" s="21" t="n">
        <f aca="false">D$5*4_Normalizacion!D526</f>
        <v>0.00020543122737585</v>
      </c>
      <c r="E528" s="21" t="n">
        <f aca="false">E$5*4_Normalizacion!E526</f>
        <v>0.000464234763412067</v>
      </c>
      <c r="F528" s="21" t="n">
        <f aca="false">F$5*4_Normalizacion!F526</f>
        <v>0.00121052804556228</v>
      </c>
      <c r="G528" s="21" t="n">
        <f aca="false">G$5*4_Normalizacion!G526</f>
        <v>0.000280339284607229</v>
      </c>
      <c r="H528" s="21" t="n">
        <f aca="false">H$5*4_Normalizacion!H526</f>
        <v>0.00169754589383076</v>
      </c>
      <c r="I528" s="21" t="n">
        <f aca="false">I$5*4_Normalizacion!I526</f>
        <v>0.00281086825420146</v>
      </c>
      <c r="J528" s="21" t="n">
        <f aca="false">J$5*4_Normalizacion!J526</f>
        <v>0.000255567041403239</v>
      </c>
      <c r="K528" s="21" t="n">
        <f aca="false">K$5*4_Normalizacion!K526</f>
        <v>3.90133374367575E-005</v>
      </c>
      <c r="L528" s="21" t="n">
        <f aca="false">L$5*4_Normalizacion!L526</f>
        <v>0.00108098552340878</v>
      </c>
      <c r="M528" s="21" t="n">
        <f aca="false">M$5*4_Normalizacion!M526</f>
        <v>0.000826234875930515</v>
      </c>
      <c r="N528" s="21" t="n">
        <f aca="false">N$5*4_Normalizacion!N526</f>
        <v>0.00607918426103344</v>
      </c>
      <c r="O528" s="21" t="n">
        <f aca="false">O$5*4_Normalizacion!O526</f>
        <v>0.00200587264654955</v>
      </c>
      <c r="P528" s="21" t="n">
        <f aca="false">P$5*4_Normalizacion!P526</f>
        <v>0.00271682439873943</v>
      </c>
      <c r="Q528" s="21" t="n">
        <f aca="false">Q$5*4_Normalizacion!Q526</f>
        <v>0.00285926571798898</v>
      </c>
    </row>
    <row r="529" customFormat="false" ht="15" hidden="false" customHeight="false" outlineLevel="0" collapsed="false">
      <c r="A529" s="15" t="n">
        <f aca="false">4_Normalizacion!A527</f>
        <v>522</v>
      </c>
      <c r="B529" s="16" t="n">
        <f aca="false">4_Normalizacion!B527</f>
        <v>52.377</v>
      </c>
      <c r="C529" s="21" t="n">
        <f aca="false">C$5*4_Normalizacion!C527</f>
        <v>0.00211491006743141</v>
      </c>
      <c r="D529" s="21" t="n">
        <f aca="false">D$5*4_Normalizacion!D527</f>
        <v>0.00020543122737585</v>
      </c>
      <c r="E529" s="21" t="n">
        <f aca="false">E$5*4_Normalizacion!E527</f>
        <v>0.000464234763412067</v>
      </c>
      <c r="F529" s="21" t="n">
        <f aca="false">F$5*4_Normalizacion!F527</f>
        <v>0.00121052804556228</v>
      </c>
      <c r="G529" s="21" t="n">
        <f aca="false">G$5*4_Normalizacion!G527</f>
        <v>0.000280339284607229</v>
      </c>
      <c r="H529" s="21" t="n">
        <f aca="false">H$5*4_Normalizacion!H527</f>
        <v>0.00169754589383076</v>
      </c>
      <c r="I529" s="21" t="n">
        <f aca="false">I$5*4_Normalizacion!I527</f>
        <v>0.00281086825420146</v>
      </c>
      <c r="J529" s="21" t="n">
        <f aca="false">J$5*4_Normalizacion!J527</f>
        <v>0.000255567041403239</v>
      </c>
      <c r="K529" s="21" t="n">
        <f aca="false">K$5*4_Normalizacion!K527</f>
        <v>3.90133374367575E-005</v>
      </c>
      <c r="L529" s="21" t="n">
        <f aca="false">L$5*4_Normalizacion!L527</f>
        <v>0.00107095782838644</v>
      </c>
      <c r="M529" s="21" t="n">
        <f aca="false">M$5*4_Normalizacion!M527</f>
        <v>0.000826234875930515</v>
      </c>
      <c r="N529" s="21" t="n">
        <f aca="false">N$5*4_Normalizacion!N527</f>
        <v>0.00607918426103344</v>
      </c>
      <c r="O529" s="21" t="n">
        <f aca="false">O$5*4_Normalizacion!O527</f>
        <v>0.00200587264654955</v>
      </c>
      <c r="P529" s="21" t="n">
        <f aca="false">P$5*4_Normalizacion!P527</f>
        <v>0.00271682439873943</v>
      </c>
      <c r="Q529" s="21" t="n">
        <f aca="false">Q$5*4_Normalizacion!Q527</f>
        <v>0.00285926571798898</v>
      </c>
    </row>
    <row r="530" customFormat="false" ht="15" hidden="false" customHeight="false" outlineLevel="0" collapsed="false">
      <c r="A530" s="15" t="n">
        <f aca="false">4_Normalizacion!A528</f>
        <v>523</v>
      </c>
      <c r="B530" s="16" t="n">
        <f aca="false">4_Normalizacion!B528</f>
        <v>52.478</v>
      </c>
      <c r="C530" s="21" t="n">
        <f aca="false">C$5*4_Normalizacion!C528</f>
        <v>0.00211491006743141</v>
      </c>
      <c r="D530" s="21" t="n">
        <f aca="false">D$5*4_Normalizacion!D528</f>
        <v>0.00020543122737585</v>
      </c>
      <c r="E530" s="21" t="n">
        <f aca="false">E$5*4_Normalizacion!E528</f>
        <v>0.000464234763412067</v>
      </c>
      <c r="F530" s="21" t="n">
        <f aca="false">F$5*4_Normalizacion!F528</f>
        <v>0.00121052804556228</v>
      </c>
      <c r="G530" s="21" t="n">
        <f aca="false">G$5*4_Normalizacion!G528</f>
        <v>0.000280339284607229</v>
      </c>
      <c r="H530" s="21" t="n">
        <f aca="false">H$5*4_Normalizacion!H528</f>
        <v>0.00169754589383076</v>
      </c>
      <c r="I530" s="21" t="n">
        <f aca="false">I$5*4_Normalizacion!I528</f>
        <v>0.00281086825420146</v>
      </c>
      <c r="J530" s="21" t="n">
        <f aca="false">J$5*4_Normalizacion!J528</f>
        <v>0.000255567041403239</v>
      </c>
      <c r="K530" s="21" t="n">
        <f aca="false">K$5*4_Normalizacion!K528</f>
        <v>3.90133374367575E-005</v>
      </c>
      <c r="L530" s="21" t="n">
        <f aca="false">L$5*4_Normalizacion!L528</f>
        <v>0.00107496890639538</v>
      </c>
      <c r="M530" s="21" t="n">
        <f aca="false">M$5*4_Normalizacion!M528</f>
        <v>0.000826234875930515</v>
      </c>
      <c r="N530" s="21" t="n">
        <f aca="false">N$5*4_Normalizacion!N528</f>
        <v>0.00607918426103344</v>
      </c>
      <c r="O530" s="21" t="n">
        <f aca="false">O$5*4_Normalizacion!O528</f>
        <v>0.00200587264654955</v>
      </c>
      <c r="P530" s="21" t="n">
        <f aca="false">P$5*4_Normalizacion!P528</f>
        <v>0.00271682439873943</v>
      </c>
      <c r="Q530" s="21" t="n">
        <f aca="false">Q$5*4_Normalizacion!Q528</f>
        <v>0.00285926571798898</v>
      </c>
    </row>
    <row r="531" customFormat="false" ht="15" hidden="false" customHeight="false" outlineLevel="0" collapsed="false">
      <c r="A531" s="15" t="n">
        <f aca="false">4_Normalizacion!A529</f>
        <v>524</v>
      </c>
      <c r="B531" s="16" t="n">
        <f aca="false">4_Normalizacion!B529</f>
        <v>52.578</v>
      </c>
      <c r="C531" s="21" t="n">
        <f aca="false">C$5*4_Normalizacion!C529</f>
        <v>0.00169192805394512</v>
      </c>
      <c r="D531" s="21" t="n">
        <f aca="false">D$5*4_Normalizacion!D529</f>
        <v>0.00020543122737585</v>
      </c>
      <c r="E531" s="21" t="n">
        <f aca="false">E$5*4_Normalizacion!E529</f>
        <v>0.000928469526824133</v>
      </c>
      <c r="F531" s="21" t="n">
        <f aca="false">F$5*4_Normalizacion!F529</f>
        <v>0.00121052804556228</v>
      </c>
      <c r="G531" s="21" t="n">
        <f aca="false">G$5*4_Normalizacion!G529</f>
        <v>0.000280339284607229</v>
      </c>
      <c r="H531" s="21" t="n">
        <f aca="false">H$5*4_Normalizacion!H529</f>
        <v>0.00169754589383076</v>
      </c>
      <c r="I531" s="21" t="n">
        <f aca="false">I$5*4_Normalizacion!I529</f>
        <v>0.00281086825420146</v>
      </c>
      <c r="J531" s="21" t="n">
        <f aca="false">J$5*4_Normalizacion!J529</f>
        <v>0.000255567041403239</v>
      </c>
      <c r="K531" s="21" t="n">
        <f aca="false">K$5*4_Normalizacion!K529</f>
        <v>3.90133374367575E-005</v>
      </c>
      <c r="L531" s="21" t="n">
        <f aca="false">L$5*4_Normalizacion!L529</f>
        <v>0.00107145921313756</v>
      </c>
      <c r="M531" s="21" t="n">
        <f aca="false">M$5*4_Normalizacion!M529</f>
        <v>0.000826234875930515</v>
      </c>
      <c r="N531" s="21" t="n">
        <f aca="false">N$5*4_Normalizacion!N529</f>
        <v>0.00607918426103344</v>
      </c>
      <c r="O531" s="21" t="n">
        <f aca="false">O$5*4_Normalizacion!O529</f>
        <v>0.00200587264654955</v>
      </c>
      <c r="P531" s="21" t="n">
        <f aca="false">P$5*4_Normalizacion!P529</f>
        <v>0.00271682439873943</v>
      </c>
      <c r="Q531" s="21" t="n">
        <f aca="false">Q$5*4_Normalizacion!Q529</f>
        <v>0.00285926571798898</v>
      </c>
    </row>
    <row r="532" customFormat="false" ht="15" hidden="false" customHeight="false" outlineLevel="0" collapsed="false">
      <c r="A532" s="15" t="n">
        <f aca="false">4_Normalizacion!A530</f>
        <v>525</v>
      </c>
      <c r="B532" s="16" t="n">
        <f aca="false">4_Normalizacion!B530</f>
        <v>52.679</v>
      </c>
      <c r="C532" s="21" t="n">
        <f aca="false">C$5*4_Normalizacion!C530</f>
        <v>0.00169192805394512</v>
      </c>
      <c r="D532" s="21" t="n">
        <f aca="false">D$5*4_Normalizacion!D530</f>
        <v>0.00020543122737585</v>
      </c>
      <c r="E532" s="21" t="n">
        <f aca="false">E$5*4_Normalizacion!E530</f>
        <v>0.0013927042902362</v>
      </c>
      <c r="F532" s="21" t="n">
        <f aca="false">F$5*4_Normalizacion!F530</f>
        <v>0.00121052804556228</v>
      </c>
      <c r="G532" s="21" t="n">
        <f aca="false">G$5*4_Normalizacion!G530</f>
        <v>0.000280339284607229</v>
      </c>
      <c r="H532" s="21" t="n">
        <f aca="false">H$5*4_Normalizacion!H530</f>
        <v>0.00169754589383076</v>
      </c>
      <c r="I532" s="21" t="n">
        <f aca="false">I$5*4_Normalizacion!I530</f>
        <v>0.00281086825420146</v>
      </c>
      <c r="J532" s="21" t="n">
        <f aca="false">J$5*4_Normalizacion!J530</f>
        <v>0.000255567041403239</v>
      </c>
      <c r="K532" s="21" t="n">
        <f aca="false">K$5*4_Normalizacion!K530</f>
        <v>3.90133374367575E-005</v>
      </c>
      <c r="L532" s="21" t="n">
        <f aca="false">L$5*4_Normalizacion!L530</f>
        <v>0.00110003814395124</v>
      </c>
      <c r="M532" s="21" t="n">
        <f aca="false">M$5*4_Normalizacion!M530</f>
        <v>0.000826234875930515</v>
      </c>
      <c r="N532" s="21" t="n">
        <f aca="false">N$5*4_Normalizacion!N530</f>
        <v>0.00607918426103344</v>
      </c>
      <c r="O532" s="21" t="n">
        <f aca="false">O$5*4_Normalizacion!O530</f>
        <v>0.00200587264654955</v>
      </c>
      <c r="P532" s="21" t="n">
        <f aca="false">P$5*4_Normalizacion!P530</f>
        <v>0.00271682439873943</v>
      </c>
      <c r="Q532" s="21" t="n">
        <f aca="false">Q$5*4_Normalizacion!Q530</f>
        <v>0.00285926571798898</v>
      </c>
    </row>
    <row r="533" customFormat="false" ht="15" hidden="false" customHeight="false" outlineLevel="0" collapsed="false">
      <c r="A533" s="15" t="n">
        <f aca="false">4_Normalizacion!A531</f>
        <v>526</v>
      </c>
      <c r="B533" s="16" t="n">
        <f aca="false">4_Normalizacion!B531</f>
        <v>52.779</v>
      </c>
      <c r="C533" s="21" t="n">
        <f aca="false">C$5*4_Normalizacion!C531</f>
        <v>0.00169192805394512</v>
      </c>
      <c r="D533" s="21" t="n">
        <f aca="false">D$5*4_Normalizacion!D531</f>
        <v>0.00020543122737585</v>
      </c>
      <c r="E533" s="21" t="n">
        <f aca="false">E$5*4_Normalizacion!E531</f>
        <v>0.0013927042902362</v>
      </c>
      <c r="F533" s="21" t="n">
        <f aca="false">F$5*4_Normalizacion!F531</f>
        <v>0.000807018697041519</v>
      </c>
      <c r="G533" s="21" t="n">
        <f aca="false">G$5*4_Normalizacion!G531</f>
        <v>0.000280339284607229</v>
      </c>
      <c r="H533" s="21" t="n">
        <f aca="false">H$5*4_Normalizacion!H531</f>
        <v>0.00169754589383076</v>
      </c>
      <c r="I533" s="21" t="n">
        <f aca="false">I$5*4_Normalizacion!I531</f>
        <v>0.00281086825420146</v>
      </c>
      <c r="J533" s="21" t="n">
        <f aca="false">J$5*4_Normalizacion!J531</f>
        <v>0.000255567041403239</v>
      </c>
      <c r="K533" s="21" t="n">
        <f aca="false">K$5*4_Normalizacion!K531</f>
        <v>3.90133374367575E-005</v>
      </c>
      <c r="L533" s="21" t="n">
        <f aca="false">L$5*4_Normalizacion!L531</f>
        <v>0.00111608245598699</v>
      </c>
      <c r="M533" s="21" t="n">
        <f aca="false">M$5*4_Normalizacion!M531</f>
        <v>0.000795251068083121</v>
      </c>
      <c r="N533" s="21" t="n">
        <f aca="false">N$5*4_Normalizacion!N531</f>
        <v>0.00607918426103344</v>
      </c>
      <c r="O533" s="21" t="n">
        <f aca="false">O$5*4_Normalizacion!O531</f>
        <v>0.00200587264654955</v>
      </c>
      <c r="P533" s="21" t="n">
        <f aca="false">P$5*4_Normalizacion!P531</f>
        <v>0.00271682439873943</v>
      </c>
      <c r="Q533" s="21" t="n">
        <f aca="false">Q$5*4_Normalizacion!Q531</f>
        <v>0.00285926571798898</v>
      </c>
    </row>
    <row r="534" customFormat="false" ht="15" hidden="false" customHeight="false" outlineLevel="0" collapsed="false">
      <c r="A534" s="15" t="n">
        <f aca="false">4_Normalizacion!A532</f>
        <v>527</v>
      </c>
      <c r="B534" s="16" t="n">
        <f aca="false">4_Normalizacion!B532</f>
        <v>52.88</v>
      </c>
      <c r="C534" s="21" t="n">
        <f aca="false">C$5*4_Normalizacion!C532</f>
        <v>0.00169192805394512</v>
      </c>
      <c r="D534" s="21" t="n">
        <f aca="false">D$5*4_Normalizacion!D532</f>
        <v>0.00020543122737585</v>
      </c>
      <c r="E534" s="21" t="n">
        <f aca="false">E$5*4_Normalizacion!E532</f>
        <v>0.000928469526824133</v>
      </c>
      <c r="F534" s="21" t="n">
        <f aca="false">F$5*4_Normalizacion!F532</f>
        <v>0.00161403739408304</v>
      </c>
      <c r="G534" s="21" t="n">
        <f aca="false">G$5*4_Normalizacion!G532</f>
        <v>0.000280339284607229</v>
      </c>
      <c r="H534" s="21" t="n">
        <f aca="false">H$5*4_Normalizacion!H532</f>
        <v>0.00169754589383076</v>
      </c>
      <c r="I534" s="21" t="n">
        <f aca="false">I$5*4_Normalizacion!I532</f>
        <v>0.00281086825420146</v>
      </c>
      <c r="J534" s="21" t="n">
        <f aca="false">J$5*4_Normalizacion!J532</f>
        <v>0.000255567041403239</v>
      </c>
      <c r="K534" s="21" t="n">
        <f aca="false">K$5*4_Normalizacion!K532</f>
        <v>3.90133374367575E-005</v>
      </c>
      <c r="L534" s="21" t="n">
        <f aca="false">L$5*4_Normalizacion!L532</f>
        <v>0.00113714061553392</v>
      </c>
      <c r="M534" s="21" t="n">
        <f aca="false">M$5*4_Normalizacion!M532</f>
        <v>0.000784716573415007</v>
      </c>
      <c r="N534" s="21" t="n">
        <f aca="false">N$5*4_Normalizacion!N532</f>
        <v>0.00607918426103344</v>
      </c>
      <c r="O534" s="21" t="n">
        <f aca="false">O$5*4_Normalizacion!O532</f>
        <v>0.00200587264654955</v>
      </c>
      <c r="P534" s="21" t="n">
        <f aca="false">P$5*4_Normalizacion!P532</f>
        <v>0.00271682439873943</v>
      </c>
      <c r="Q534" s="21" t="n">
        <f aca="false">Q$5*4_Normalizacion!Q532</f>
        <v>0.00285926571798898</v>
      </c>
    </row>
    <row r="535" customFormat="false" ht="15" hidden="false" customHeight="false" outlineLevel="0" collapsed="false">
      <c r="A535" s="15" t="n">
        <f aca="false">4_Normalizacion!A533</f>
        <v>528</v>
      </c>
      <c r="B535" s="16" t="n">
        <f aca="false">4_Normalizacion!B533</f>
        <v>52.981</v>
      </c>
      <c r="C535" s="21" t="n">
        <f aca="false">C$5*4_Normalizacion!C533</f>
        <v>0.00169192805394512</v>
      </c>
      <c r="D535" s="21" t="n">
        <f aca="false">D$5*4_Normalizacion!D533</f>
        <v>0.00020543122737585</v>
      </c>
      <c r="E535" s="21" t="n">
        <f aca="false">E$5*4_Normalizacion!E533</f>
        <v>0.0013927042902362</v>
      </c>
      <c r="F535" s="21" t="n">
        <f aca="false">F$5*4_Normalizacion!F533</f>
        <v>0.00161403739408304</v>
      </c>
      <c r="G535" s="21" t="n">
        <f aca="false">G$5*4_Normalizacion!G533</f>
        <v>0.000280339284607229</v>
      </c>
      <c r="H535" s="21" t="n">
        <f aca="false">H$5*4_Normalizacion!H533</f>
        <v>0.00169754589383076</v>
      </c>
      <c r="I535" s="21" t="n">
        <f aca="false">I$5*4_Normalizacion!I533</f>
        <v>0.00281086825420146</v>
      </c>
      <c r="J535" s="21" t="n">
        <f aca="false">J$5*4_Normalizacion!J533</f>
        <v>0.000255567041403239</v>
      </c>
      <c r="K535" s="21" t="n">
        <f aca="false">K$5*4_Normalizacion!K533</f>
        <v>3.90133374367575E-005</v>
      </c>
      <c r="L535" s="21" t="n">
        <f aca="false">L$5*4_Normalizacion!L533</f>
        <v>0.00115970292933419</v>
      </c>
      <c r="M535" s="21" t="n">
        <f aca="false">M$5*4_Normalizacion!M533</f>
        <v>0.000818592203328158</v>
      </c>
      <c r="N535" s="21" t="n">
        <f aca="false">N$5*4_Normalizacion!N533</f>
        <v>0.00607918426103344</v>
      </c>
      <c r="O535" s="21" t="n">
        <f aca="false">O$5*4_Normalizacion!O533</f>
        <v>0.00200587264654955</v>
      </c>
      <c r="P535" s="21" t="n">
        <f aca="false">P$5*4_Normalizacion!P533</f>
        <v>0.00271682439873943</v>
      </c>
      <c r="Q535" s="21" t="n">
        <f aca="false">Q$5*4_Normalizacion!Q533</f>
        <v>0.00285926571798898</v>
      </c>
    </row>
    <row r="536" customFormat="false" ht="15" hidden="false" customHeight="false" outlineLevel="0" collapsed="false">
      <c r="A536" s="15" t="n">
        <f aca="false">4_Normalizacion!A534</f>
        <v>529</v>
      </c>
      <c r="B536" s="16" t="n">
        <f aca="false">4_Normalizacion!B534</f>
        <v>53.081</v>
      </c>
      <c r="C536" s="21" t="n">
        <f aca="false">C$5*4_Normalizacion!C534</f>
        <v>0.00169192805394512</v>
      </c>
      <c r="D536" s="21" t="n">
        <f aca="false">D$5*4_Normalizacion!D534</f>
        <v>0.00020543122737585</v>
      </c>
      <c r="E536" s="21" t="n">
        <f aca="false">E$5*4_Normalizacion!E534</f>
        <v>0.0013927042902362</v>
      </c>
      <c r="F536" s="21" t="n">
        <f aca="false">F$5*4_Normalizacion!F534</f>
        <v>0.00161403739408304</v>
      </c>
      <c r="G536" s="21" t="n">
        <f aca="false">G$5*4_Normalizacion!G534</f>
        <v>0.000280339284607229</v>
      </c>
      <c r="H536" s="21" t="n">
        <f aca="false">H$5*4_Normalizacion!H534</f>
        <v>0.00169754589383076</v>
      </c>
      <c r="I536" s="21" t="n">
        <f aca="false">I$5*4_Normalizacion!I534</f>
        <v>0.00281086825420146</v>
      </c>
      <c r="J536" s="21" t="n">
        <f aca="false">J$5*4_Normalizacion!J534</f>
        <v>0.000255567041403239</v>
      </c>
      <c r="K536" s="21" t="n">
        <f aca="false">K$5*4_Normalizacion!K534</f>
        <v>3.90133374367575E-005</v>
      </c>
      <c r="L536" s="21" t="n">
        <f aca="false">L$5*4_Normalizacion!L534</f>
        <v>0.000882437161966354</v>
      </c>
      <c r="M536" s="21" t="n">
        <f aca="false">M$5*4_Normalizacion!M534</f>
        <v>0.000815700381262401</v>
      </c>
      <c r="N536" s="21" t="n">
        <f aca="false">N$5*4_Normalizacion!N534</f>
        <v>0.00607918426103344</v>
      </c>
      <c r="O536" s="21" t="n">
        <f aca="false">O$5*4_Normalizacion!O534</f>
        <v>0.00200587264654955</v>
      </c>
      <c r="P536" s="21" t="n">
        <f aca="false">P$5*4_Normalizacion!P534</f>
        <v>0.00271682439873943</v>
      </c>
      <c r="Q536" s="21" t="n">
        <f aca="false">Q$5*4_Normalizacion!Q534</f>
        <v>0.00285926571798898</v>
      </c>
    </row>
    <row r="537" customFormat="false" ht="15" hidden="false" customHeight="false" outlineLevel="0" collapsed="false">
      <c r="A537" s="15" t="n">
        <f aca="false">4_Normalizacion!A535</f>
        <v>530</v>
      </c>
      <c r="B537" s="16" t="n">
        <f aca="false">4_Normalizacion!B535</f>
        <v>53.181</v>
      </c>
      <c r="C537" s="21" t="n">
        <f aca="false">C$5*4_Normalizacion!C535</f>
        <v>0.00169192805394512</v>
      </c>
      <c r="D537" s="21" t="n">
        <f aca="false">D$5*4_Normalizacion!D535</f>
        <v>0.00020543122737585</v>
      </c>
      <c r="E537" s="21" t="n">
        <f aca="false">E$5*4_Normalizacion!E535</f>
        <v>0.0013927042902362</v>
      </c>
      <c r="F537" s="21" t="n">
        <f aca="false">F$5*4_Normalizacion!F535</f>
        <v>0.00161403739408304</v>
      </c>
      <c r="G537" s="21" t="n">
        <f aca="false">G$5*4_Normalizacion!G535</f>
        <v>0.000280339284607229</v>
      </c>
      <c r="H537" s="21" t="n">
        <f aca="false">H$5*4_Normalizacion!H535</f>
        <v>0.00169754589383076</v>
      </c>
      <c r="I537" s="21" t="n">
        <f aca="false">I$5*4_Normalizacion!I535</f>
        <v>0.00281086825420146</v>
      </c>
      <c r="J537" s="21" t="n">
        <f aca="false">J$5*4_Normalizacion!J535</f>
        <v>0.000255567041403239</v>
      </c>
      <c r="K537" s="21" t="n">
        <f aca="false">K$5*4_Normalizacion!K535</f>
        <v>3.90133374367575E-005</v>
      </c>
      <c r="L537" s="21" t="n">
        <f aca="false">L$5*4_Normalizacion!L535</f>
        <v>0.000853858231152671</v>
      </c>
      <c r="M537" s="21" t="n">
        <f aca="false">M$5*4_Normalizacion!M535</f>
        <v>0.000826234875930515</v>
      </c>
      <c r="N537" s="21" t="n">
        <f aca="false">N$5*4_Normalizacion!N535</f>
        <v>0.00607918426103344</v>
      </c>
      <c r="O537" s="21" t="n">
        <f aca="false">O$5*4_Normalizacion!O535</f>
        <v>0.00200587264654955</v>
      </c>
      <c r="P537" s="21" t="n">
        <f aca="false">P$5*4_Normalizacion!P535</f>
        <v>0.00271682439873943</v>
      </c>
      <c r="Q537" s="21" t="n">
        <f aca="false">Q$5*4_Normalizacion!Q535</f>
        <v>0.00285926571798898</v>
      </c>
    </row>
    <row r="538" customFormat="false" ht="15" hidden="false" customHeight="false" outlineLevel="0" collapsed="false">
      <c r="A538" s="15" t="n">
        <f aca="false">4_Normalizacion!A536</f>
        <v>531</v>
      </c>
      <c r="B538" s="16" t="n">
        <f aca="false">4_Normalizacion!B536</f>
        <v>53.281</v>
      </c>
      <c r="C538" s="21" t="n">
        <f aca="false">C$5*4_Normalizacion!C536</f>
        <v>0.00169192805394512</v>
      </c>
      <c r="D538" s="21" t="n">
        <f aca="false">D$5*4_Normalizacion!D536</f>
        <v>0.00020543122737585</v>
      </c>
      <c r="E538" s="21" t="n">
        <f aca="false">E$5*4_Normalizacion!E536</f>
        <v>0.0013927042902362</v>
      </c>
      <c r="F538" s="21" t="n">
        <f aca="false">F$5*4_Normalizacion!F536</f>
        <v>0.0020175467426038</v>
      </c>
      <c r="G538" s="21" t="n">
        <f aca="false">G$5*4_Normalizacion!G536</f>
        <v>0.000280339284607229</v>
      </c>
      <c r="H538" s="21" t="n">
        <f aca="false">H$5*4_Normalizacion!H536</f>
        <v>0.00169754589383076</v>
      </c>
      <c r="I538" s="21" t="n">
        <f aca="false">I$5*4_Normalizacion!I536</f>
        <v>0.00562173650840292</v>
      </c>
      <c r="J538" s="21" t="n">
        <f aca="false">J$5*4_Normalizacion!J536</f>
        <v>0.000255567041403239</v>
      </c>
      <c r="K538" s="21" t="n">
        <f aca="false">K$5*4_Normalizacion!K536</f>
        <v>3.90133374367575E-005</v>
      </c>
      <c r="L538" s="21" t="n">
        <f aca="false">L$5*4_Normalizacion!L536</f>
        <v>0.000895473165495403</v>
      </c>
      <c r="M538" s="21" t="n">
        <f aca="false">M$5*4_Normalizacion!M536</f>
        <v>0.000826028317211533</v>
      </c>
      <c r="N538" s="21" t="n">
        <f aca="false">N$5*4_Normalizacion!N536</f>
        <v>0.00607918426103344</v>
      </c>
      <c r="O538" s="21" t="n">
        <f aca="false">O$5*4_Normalizacion!O536</f>
        <v>0.00200587264654955</v>
      </c>
      <c r="P538" s="21" t="n">
        <f aca="false">P$5*4_Normalizacion!P536</f>
        <v>0.00271682439873943</v>
      </c>
      <c r="Q538" s="21" t="n">
        <f aca="false">Q$5*4_Normalizacion!Q536</f>
        <v>0.00285926571798898</v>
      </c>
    </row>
    <row r="539" customFormat="false" ht="15" hidden="false" customHeight="false" outlineLevel="0" collapsed="false">
      <c r="A539" s="15" t="n">
        <f aca="false">4_Normalizacion!A537</f>
        <v>532</v>
      </c>
      <c r="B539" s="16" t="n">
        <f aca="false">4_Normalizacion!B537</f>
        <v>53.38</v>
      </c>
      <c r="C539" s="21" t="n">
        <f aca="false">C$5*4_Normalizacion!C537</f>
        <v>0.00169192805394512</v>
      </c>
      <c r="D539" s="21" t="n">
        <f aca="false">D$5*4_Normalizacion!D537</f>
        <v>0.00020543122737585</v>
      </c>
      <c r="E539" s="21" t="n">
        <f aca="false">E$5*4_Normalizacion!E537</f>
        <v>0.0013927042902362</v>
      </c>
      <c r="F539" s="21" t="n">
        <f aca="false">F$5*4_Normalizacion!F537</f>
        <v>0.00161403739408304</v>
      </c>
      <c r="G539" s="21" t="n">
        <f aca="false">G$5*4_Normalizacion!G537</f>
        <v>0.000280339284607229</v>
      </c>
      <c r="H539" s="21" t="n">
        <f aca="false">H$5*4_Normalizacion!H537</f>
        <v>0.00169754589383076</v>
      </c>
      <c r="I539" s="21" t="n">
        <f aca="false">I$5*4_Normalizacion!I537</f>
        <v>0.00281086825420146</v>
      </c>
      <c r="J539" s="21" t="n">
        <f aca="false">J$5*4_Normalizacion!J537</f>
        <v>0.000255567041403239</v>
      </c>
      <c r="K539" s="21" t="n">
        <f aca="false">K$5*4_Normalizacion!K537</f>
        <v>3.90133374367575E-005</v>
      </c>
      <c r="L539" s="21" t="n">
        <f aca="false">L$5*4_Normalizacion!L537</f>
        <v>0.00107145921313756</v>
      </c>
      <c r="M539" s="21" t="n">
        <f aca="false">M$5*4_Normalizacion!M537</f>
        <v>0.000779139488002476</v>
      </c>
      <c r="N539" s="21" t="n">
        <f aca="false">N$5*4_Normalizacion!N537</f>
        <v>0.00607918426103344</v>
      </c>
      <c r="O539" s="21" t="n">
        <f aca="false">O$5*4_Normalizacion!O537</f>
        <v>0.00200587264654955</v>
      </c>
      <c r="P539" s="21" t="n">
        <f aca="false">P$5*4_Normalizacion!P537</f>
        <v>0.00271682439873943</v>
      </c>
      <c r="Q539" s="21" t="n">
        <f aca="false">Q$5*4_Normalizacion!Q537</f>
        <v>0.00285926571798898</v>
      </c>
    </row>
    <row r="540" customFormat="false" ht="15" hidden="false" customHeight="false" outlineLevel="0" collapsed="false">
      <c r="A540" s="15" t="n">
        <f aca="false">4_Normalizacion!A538</f>
        <v>533</v>
      </c>
      <c r="B540" s="16" t="n">
        <f aca="false">4_Normalizacion!B538</f>
        <v>53.48</v>
      </c>
      <c r="C540" s="21" t="n">
        <f aca="false">C$5*4_Normalizacion!C538</f>
        <v>0.00169192805394512</v>
      </c>
      <c r="D540" s="21" t="n">
        <f aca="false">D$5*4_Normalizacion!D538</f>
        <v>0.00020543122737585</v>
      </c>
      <c r="E540" s="21" t="n">
        <f aca="false">E$5*4_Normalizacion!E538</f>
        <v>0.0013927042902362</v>
      </c>
      <c r="F540" s="21" t="n">
        <f aca="false">F$5*4_Normalizacion!F538</f>
        <v>0.00161403739408304</v>
      </c>
      <c r="G540" s="21" t="n">
        <f aca="false">G$5*4_Normalizacion!G538</f>
        <v>0.000280339284607229</v>
      </c>
      <c r="H540" s="21" t="n">
        <f aca="false">H$5*4_Normalizacion!H538</f>
        <v>0.00169754589383076</v>
      </c>
      <c r="I540" s="21" t="n">
        <f aca="false">I$5*4_Normalizacion!I538</f>
        <v>0.00281086825420146</v>
      </c>
      <c r="J540" s="21" t="n">
        <f aca="false">J$5*4_Normalizacion!J538</f>
        <v>0.000255567041403239</v>
      </c>
      <c r="K540" s="21" t="n">
        <f aca="false">K$5*4_Normalizacion!K538</f>
        <v>3.90133374367575E-005</v>
      </c>
      <c r="L540" s="21" t="n">
        <f aca="false">L$5*4_Normalizacion!L538</f>
        <v>0.00123140094874396</v>
      </c>
      <c r="M540" s="21" t="n">
        <f aca="false">M$5*4_Normalizacion!M538</f>
        <v>0.00073700150933002</v>
      </c>
      <c r="N540" s="21" t="n">
        <f aca="false">N$5*4_Normalizacion!N538</f>
        <v>0.00607918426103344</v>
      </c>
      <c r="O540" s="21" t="n">
        <f aca="false">O$5*4_Normalizacion!O538</f>
        <v>0.00200587264654955</v>
      </c>
      <c r="P540" s="21" t="n">
        <f aca="false">P$5*4_Normalizacion!P538</f>
        <v>0.00271682439873943</v>
      </c>
      <c r="Q540" s="21" t="n">
        <f aca="false">Q$5*4_Normalizacion!Q538</f>
        <v>0.00285926571798898</v>
      </c>
    </row>
    <row r="541" customFormat="false" ht="15" hidden="false" customHeight="false" outlineLevel="0" collapsed="false">
      <c r="A541" s="15" t="n">
        <f aca="false">4_Normalizacion!A539</f>
        <v>534</v>
      </c>
      <c r="B541" s="16" t="n">
        <f aca="false">4_Normalizacion!B539</f>
        <v>53.579</v>
      </c>
      <c r="C541" s="21" t="n">
        <f aca="false">C$5*4_Normalizacion!C539</f>
        <v>0.00169192805394512</v>
      </c>
      <c r="D541" s="21" t="n">
        <f aca="false">D$5*4_Normalizacion!D539</f>
        <v>0.00020543122737585</v>
      </c>
      <c r="E541" s="21" t="n">
        <f aca="false">E$5*4_Normalizacion!E539</f>
        <v>0.0013927042902362</v>
      </c>
      <c r="F541" s="21" t="n">
        <f aca="false">F$5*4_Normalizacion!F539</f>
        <v>0.00121052804556228</v>
      </c>
      <c r="G541" s="21" t="n">
        <f aca="false">G$5*4_Normalizacion!G539</f>
        <v>0.000280339284607229</v>
      </c>
      <c r="H541" s="21" t="n">
        <f aca="false">H$5*4_Normalizacion!H539</f>
        <v>0.00169754589383076</v>
      </c>
      <c r="I541" s="21" t="n">
        <f aca="false">I$5*4_Normalizacion!I539</f>
        <v>0.00281086825420146</v>
      </c>
      <c r="J541" s="21" t="n">
        <f aca="false">J$5*4_Normalizacion!J539</f>
        <v>0.000255567041403239</v>
      </c>
      <c r="K541" s="21" t="n">
        <f aca="false">K$5*4_Normalizacion!K539</f>
        <v>3.90133374367575E-005</v>
      </c>
      <c r="L541" s="21" t="n">
        <f aca="false">L$5*4_Normalizacion!L539</f>
        <v>0.00117875554987665</v>
      </c>
      <c r="M541" s="21" t="n">
        <f aca="false">M$5*4_Normalizacion!M539</f>
        <v>0.00073700150933002</v>
      </c>
      <c r="N541" s="21" t="n">
        <f aca="false">N$5*4_Normalizacion!N539</f>
        <v>0.00607918426103344</v>
      </c>
      <c r="O541" s="21" t="n">
        <f aca="false">O$5*4_Normalizacion!O539</f>
        <v>0.00200587264654955</v>
      </c>
      <c r="P541" s="21" t="n">
        <f aca="false">P$5*4_Normalizacion!P539</f>
        <v>0.00271682439873943</v>
      </c>
      <c r="Q541" s="21" t="n">
        <f aca="false">Q$5*4_Normalizacion!Q539</f>
        <v>0.00285926571798898</v>
      </c>
    </row>
    <row r="542" customFormat="false" ht="15" hidden="false" customHeight="false" outlineLevel="0" collapsed="false">
      <c r="A542" s="15" t="n">
        <f aca="false">4_Normalizacion!A540</f>
        <v>535</v>
      </c>
      <c r="B542" s="16" t="n">
        <f aca="false">4_Normalizacion!B540</f>
        <v>53.678</v>
      </c>
      <c r="C542" s="21" t="n">
        <f aca="false">C$5*4_Normalizacion!C540</f>
        <v>0.00169192805394512</v>
      </c>
      <c r="D542" s="21" t="n">
        <f aca="false">D$5*4_Normalizacion!D540</f>
        <v>0.00020543122737585</v>
      </c>
      <c r="E542" s="21" t="n">
        <f aca="false">E$5*4_Normalizacion!E540</f>
        <v>0.0013927042902362</v>
      </c>
      <c r="F542" s="21" t="n">
        <f aca="false">F$5*4_Normalizacion!F540</f>
        <v>0.00121052804556228</v>
      </c>
      <c r="G542" s="21" t="n">
        <f aca="false">G$5*4_Normalizacion!G540</f>
        <v>0.000280339284607229</v>
      </c>
      <c r="H542" s="21" t="n">
        <f aca="false">H$5*4_Normalizacion!H540</f>
        <v>0.00169754589383076</v>
      </c>
      <c r="I542" s="21" t="n">
        <f aca="false">I$5*4_Normalizacion!I540</f>
        <v>0.00281086825420146</v>
      </c>
      <c r="J542" s="21" t="n">
        <f aca="false">J$5*4_Normalizacion!J540</f>
        <v>0.000255567041403239</v>
      </c>
      <c r="K542" s="21" t="n">
        <f aca="false">K$5*4_Normalizacion!K540</f>
        <v>3.90133374367575E-005</v>
      </c>
      <c r="L542" s="21" t="n">
        <f aca="false">L$5*4_Normalizacion!L540</f>
        <v>0.00108950906417778</v>
      </c>
      <c r="M542" s="21" t="n">
        <f aca="false">M$5*4_Normalizacion!M540</f>
        <v>0.000743817947056446</v>
      </c>
      <c r="N542" s="21" t="n">
        <f aca="false">N$5*4_Normalizacion!N540</f>
        <v>0.00607918426103344</v>
      </c>
      <c r="O542" s="21" t="n">
        <f aca="false">O$5*4_Normalizacion!O540</f>
        <v>0.00200587264654955</v>
      </c>
      <c r="P542" s="21" t="n">
        <f aca="false">P$5*4_Normalizacion!P540</f>
        <v>0.00271682439873943</v>
      </c>
      <c r="Q542" s="21" t="n">
        <f aca="false">Q$5*4_Normalizacion!Q540</f>
        <v>0.00285926571798898</v>
      </c>
    </row>
    <row r="543" customFormat="false" ht="15" hidden="false" customHeight="false" outlineLevel="0" collapsed="false">
      <c r="A543" s="15" t="n">
        <f aca="false">4_Normalizacion!A541</f>
        <v>536</v>
      </c>
      <c r="B543" s="16" t="n">
        <f aca="false">4_Normalizacion!B541</f>
        <v>53.777</v>
      </c>
      <c r="C543" s="21" t="n">
        <f aca="false">C$5*4_Normalizacion!C541</f>
        <v>0.00169192805394512</v>
      </c>
      <c r="D543" s="21" t="n">
        <f aca="false">D$5*4_Normalizacion!D541</f>
        <v>0.00020543122737585</v>
      </c>
      <c r="E543" s="21" t="n">
        <f aca="false">E$5*4_Normalizacion!E541</f>
        <v>0.000464234763412067</v>
      </c>
      <c r="F543" s="21" t="n">
        <f aca="false">F$5*4_Normalizacion!F541</f>
        <v>0.000807018697041519</v>
      </c>
      <c r="G543" s="21" t="n">
        <f aca="false">G$5*4_Normalizacion!G541</f>
        <v>0.000280339284607229</v>
      </c>
      <c r="H543" s="21" t="n">
        <f aca="false">H$5*4_Normalizacion!H541</f>
        <v>0.00169754589383076</v>
      </c>
      <c r="I543" s="21" t="n">
        <f aca="false">I$5*4_Normalizacion!I541</f>
        <v>0.00281086825420146</v>
      </c>
      <c r="J543" s="21" t="n">
        <f aca="false">J$5*4_Normalizacion!J541</f>
        <v>0.000255567041403239</v>
      </c>
      <c r="K543" s="21" t="n">
        <f aca="false">K$5*4_Normalizacion!K541</f>
        <v>3.90133374367575E-005</v>
      </c>
      <c r="L543" s="21" t="n">
        <f aca="false">L$5*4_Normalizacion!L541</f>
        <v>0.00104739274508393</v>
      </c>
      <c r="M543" s="21" t="n">
        <f aca="false">M$5*4_Normalizacion!M541</f>
        <v>0.000758896733542178</v>
      </c>
      <c r="N543" s="21" t="n">
        <f aca="false">N$5*4_Normalizacion!N541</f>
        <v>0.00607918426103344</v>
      </c>
      <c r="O543" s="21" t="n">
        <f aca="false">O$5*4_Normalizacion!O541</f>
        <v>0.00200587264654955</v>
      </c>
      <c r="P543" s="21" t="n">
        <f aca="false">P$5*4_Normalizacion!P541</f>
        <v>0.00271682439873943</v>
      </c>
      <c r="Q543" s="21" t="n">
        <f aca="false">Q$5*4_Normalizacion!Q541</f>
        <v>0.00285926571798898</v>
      </c>
    </row>
    <row r="544" customFormat="false" ht="15" hidden="false" customHeight="false" outlineLevel="0" collapsed="false">
      <c r="A544" s="15" t="n">
        <f aca="false">4_Normalizacion!A542</f>
        <v>537</v>
      </c>
      <c r="B544" s="16" t="n">
        <f aca="false">4_Normalizacion!B542</f>
        <v>53.876</v>
      </c>
      <c r="C544" s="21" t="n">
        <f aca="false">C$5*4_Normalizacion!C542</f>
        <v>0.00169192805394512</v>
      </c>
      <c r="D544" s="21" t="n">
        <f aca="false">D$5*4_Normalizacion!D542</f>
        <v>0.00020543122737585</v>
      </c>
      <c r="E544" s="21" t="n">
        <f aca="false">E$5*4_Normalizacion!E542</f>
        <v>0.000464234763412067</v>
      </c>
      <c r="F544" s="21" t="n">
        <f aca="false">F$5*4_Normalizacion!F542</f>
        <v>0.000807018697041519</v>
      </c>
      <c r="G544" s="21" t="n">
        <f aca="false">G$5*4_Normalizacion!G542</f>
        <v>0.000280339284607229</v>
      </c>
      <c r="H544" s="21" t="n">
        <f aca="false">H$5*4_Normalizacion!H542</f>
        <v>0.00169754589383076</v>
      </c>
      <c r="I544" s="21" t="n">
        <f aca="false">I$5*4_Normalizacion!I542</f>
        <v>0.00281086825420146</v>
      </c>
      <c r="J544" s="21" t="n">
        <f aca="false">J$5*4_Normalizacion!J542</f>
        <v>0.000255567041403239</v>
      </c>
      <c r="K544" s="21" t="n">
        <f aca="false">K$5*4_Normalizacion!K542</f>
        <v>3.90133374367575E-005</v>
      </c>
      <c r="L544" s="21" t="n">
        <f aca="false">L$5*4_Normalizacion!L542</f>
        <v>0.000946113025358244</v>
      </c>
      <c r="M544" s="21" t="n">
        <f aca="false">M$5*4_Normalizacion!M542</f>
        <v>0.000823136495145776</v>
      </c>
      <c r="N544" s="21" t="n">
        <f aca="false">N$5*4_Normalizacion!N542</f>
        <v>0.00607918426103344</v>
      </c>
      <c r="O544" s="21" t="n">
        <f aca="false">O$5*4_Normalizacion!O542</f>
        <v>0.00200587264654955</v>
      </c>
      <c r="P544" s="21" t="n">
        <f aca="false">P$5*4_Normalizacion!P542</f>
        <v>0.00271682439873943</v>
      </c>
      <c r="Q544" s="21" t="n">
        <f aca="false">Q$5*4_Normalizacion!Q542</f>
        <v>0.00285926571798898</v>
      </c>
    </row>
    <row r="545" customFormat="false" ht="15" hidden="false" customHeight="false" outlineLevel="0" collapsed="false">
      <c r="A545" s="15" t="n">
        <f aca="false">4_Normalizacion!A543</f>
        <v>538</v>
      </c>
      <c r="B545" s="16" t="n">
        <f aca="false">4_Normalizacion!B543</f>
        <v>53.975</v>
      </c>
      <c r="C545" s="21" t="n">
        <f aca="false">C$5*4_Normalizacion!C543</f>
        <v>0.00169192805394512</v>
      </c>
      <c r="D545" s="21" t="n">
        <f aca="false">D$5*4_Normalizacion!D543</f>
        <v>0.00020543122737585</v>
      </c>
      <c r="E545" s="21" t="n">
        <f aca="false">E$5*4_Normalizacion!E543</f>
        <v>0.000464234763412067</v>
      </c>
      <c r="F545" s="21" t="n">
        <f aca="false">F$5*4_Normalizacion!F543</f>
        <v>0.000807018697041519</v>
      </c>
      <c r="G545" s="21" t="n">
        <f aca="false">G$5*4_Normalizacion!G543</f>
        <v>0.000280339284607229</v>
      </c>
      <c r="H545" s="21" t="n">
        <f aca="false">H$5*4_Normalizacion!H543</f>
        <v>0.00169754589383076</v>
      </c>
      <c r="I545" s="21" t="n">
        <f aca="false">I$5*4_Normalizacion!I543</f>
        <v>0.00281086825420146</v>
      </c>
      <c r="J545" s="21" t="n">
        <f aca="false">J$5*4_Normalizacion!J543</f>
        <v>0.000255567041403239</v>
      </c>
      <c r="K545" s="21" t="n">
        <f aca="false">K$5*4_Normalizacion!K543</f>
        <v>3.90133374367575E-005</v>
      </c>
      <c r="L545" s="21" t="n">
        <f aca="false">L$5*4_Normalizacion!L543</f>
        <v>0.000983215496940921</v>
      </c>
      <c r="M545" s="21" t="n">
        <f aca="false">M$5*4_Normalizacion!M543</f>
        <v>0.000826234875930515</v>
      </c>
      <c r="N545" s="21" t="n">
        <f aca="false">N$5*4_Normalizacion!N543</f>
        <v>0.00607918426103344</v>
      </c>
      <c r="O545" s="21" t="n">
        <f aca="false">O$5*4_Normalizacion!O543</f>
        <v>0.00200587264654955</v>
      </c>
      <c r="P545" s="21" t="n">
        <f aca="false">P$5*4_Normalizacion!P543</f>
        <v>0.00271682439873943</v>
      </c>
      <c r="Q545" s="21" t="n">
        <f aca="false">Q$5*4_Normalizacion!Q543</f>
        <v>0.00285926571798898</v>
      </c>
    </row>
    <row r="546" customFormat="false" ht="15" hidden="false" customHeight="false" outlineLevel="0" collapsed="false">
      <c r="A546" s="15" t="n">
        <f aca="false">4_Normalizacion!A544</f>
        <v>539</v>
      </c>
      <c r="B546" s="16" t="n">
        <f aca="false">4_Normalizacion!B544</f>
        <v>54.074</v>
      </c>
      <c r="C546" s="21" t="n">
        <f aca="false">C$5*4_Normalizacion!C544</f>
        <v>0.00169192805394512</v>
      </c>
      <c r="D546" s="21" t="n">
        <f aca="false">D$5*4_Normalizacion!D544</f>
        <v>0.00020543122737585</v>
      </c>
      <c r="E546" s="21" t="n">
        <f aca="false">E$5*4_Normalizacion!E544</f>
        <v>0.000464234763412067</v>
      </c>
      <c r="F546" s="21" t="n">
        <f aca="false">F$5*4_Normalizacion!F544</f>
        <v>0.000807018697041519</v>
      </c>
      <c r="G546" s="21" t="n">
        <f aca="false">G$5*4_Normalizacion!G544</f>
        <v>0.000280339284607229</v>
      </c>
      <c r="H546" s="21" t="n">
        <f aca="false">H$5*4_Normalizacion!H544</f>
        <v>0.00169754589383076</v>
      </c>
      <c r="I546" s="21" t="n">
        <f aca="false">I$5*4_Normalizacion!I544</f>
        <v>0.00281086825420146</v>
      </c>
      <c r="J546" s="21" t="n">
        <f aca="false">J$5*4_Normalizacion!J544</f>
        <v>0.000255567041403239</v>
      </c>
      <c r="K546" s="21" t="n">
        <f aca="false">K$5*4_Normalizacion!K544</f>
        <v>3.90133374367575E-005</v>
      </c>
      <c r="L546" s="21" t="n">
        <f aca="false">L$5*4_Normalizacion!L544</f>
        <v>0.00101029027350125</v>
      </c>
      <c r="M546" s="21" t="n">
        <f aca="false">M$5*4_Normalizacion!M544</f>
        <v>0.000826234875930515</v>
      </c>
      <c r="N546" s="21" t="n">
        <f aca="false">N$5*4_Normalizacion!N544</f>
        <v>0.00607918426103344</v>
      </c>
      <c r="O546" s="21" t="n">
        <f aca="false">O$5*4_Normalizacion!O544</f>
        <v>0.00200587264654955</v>
      </c>
      <c r="P546" s="21" t="n">
        <f aca="false">P$5*4_Normalizacion!P544</f>
        <v>0.00271682439873943</v>
      </c>
      <c r="Q546" s="21" t="n">
        <f aca="false">Q$5*4_Normalizacion!Q544</f>
        <v>0.00285926571798898</v>
      </c>
    </row>
    <row r="547" customFormat="false" ht="15" hidden="false" customHeight="false" outlineLevel="0" collapsed="false">
      <c r="A547" s="15" t="n">
        <f aca="false">4_Normalizacion!A545</f>
        <v>540</v>
      </c>
      <c r="B547" s="16" t="n">
        <f aca="false">4_Normalizacion!B545</f>
        <v>54.174</v>
      </c>
      <c r="C547" s="21" t="n">
        <f aca="false">C$5*4_Normalizacion!C545</f>
        <v>0.00169192805394512</v>
      </c>
      <c r="D547" s="21" t="n">
        <f aca="false">D$5*4_Normalizacion!D545</f>
        <v>0.00020543122737585</v>
      </c>
      <c r="E547" s="21" t="n">
        <f aca="false">E$5*4_Normalizacion!E545</f>
        <v>0.000464234763412067</v>
      </c>
      <c r="F547" s="21" t="n">
        <f aca="false">F$5*4_Normalizacion!F545</f>
        <v>0.000807018697041519</v>
      </c>
      <c r="G547" s="21" t="n">
        <f aca="false">G$5*4_Normalizacion!G545</f>
        <v>0.000280339284607229</v>
      </c>
      <c r="H547" s="21" t="n">
        <f aca="false">H$5*4_Normalizacion!H545</f>
        <v>0.00169754589383076</v>
      </c>
      <c r="I547" s="21" t="n">
        <f aca="false">I$5*4_Normalizacion!I545</f>
        <v>0.00281086825420146</v>
      </c>
      <c r="J547" s="21" t="n">
        <f aca="false">J$5*4_Normalizacion!J545</f>
        <v>0.000255567041403239</v>
      </c>
      <c r="K547" s="21" t="n">
        <f aca="false">K$5*4_Normalizacion!K545</f>
        <v>3.90133374367575E-005</v>
      </c>
      <c r="L547" s="21" t="n">
        <f aca="false">L$5*4_Normalizacion!L545</f>
        <v>0.00106794951987974</v>
      </c>
      <c r="M547" s="21" t="n">
        <f aca="false">M$5*4_Normalizacion!M545</f>
        <v>0.000826234875930515</v>
      </c>
      <c r="N547" s="21" t="n">
        <f aca="false">N$5*4_Normalizacion!N545</f>
        <v>0.00607918426103344</v>
      </c>
      <c r="O547" s="21" t="n">
        <f aca="false">O$5*4_Normalizacion!O545</f>
        <v>0.00200587264654955</v>
      </c>
      <c r="P547" s="21" t="n">
        <f aca="false">P$5*4_Normalizacion!P545</f>
        <v>0.00271682439873943</v>
      </c>
      <c r="Q547" s="21" t="n">
        <f aca="false">Q$5*4_Normalizacion!Q545</f>
        <v>0.00285926571798898</v>
      </c>
    </row>
    <row r="548" customFormat="false" ht="15" hidden="false" customHeight="false" outlineLevel="0" collapsed="false">
      <c r="A548" s="15" t="n">
        <f aca="false">4_Normalizacion!A546</f>
        <v>541</v>
      </c>
      <c r="B548" s="16" t="n">
        <f aca="false">4_Normalizacion!B546</f>
        <v>54.274</v>
      </c>
      <c r="C548" s="21" t="n">
        <f aca="false">C$5*4_Normalizacion!C546</f>
        <v>0.00126894604045884</v>
      </c>
      <c r="D548" s="21" t="n">
        <f aca="false">D$5*4_Normalizacion!D546</f>
        <v>0.00020543122737585</v>
      </c>
      <c r="E548" s="21" t="n">
        <f aca="false">E$5*4_Normalizacion!E546</f>
        <v>0.000464234763412067</v>
      </c>
      <c r="F548" s="21" t="n">
        <f aca="false">F$5*4_Normalizacion!F546</f>
        <v>0.000807018697041519</v>
      </c>
      <c r="G548" s="21" t="n">
        <f aca="false">G$5*4_Normalizacion!G546</f>
        <v>0.000280339284607229</v>
      </c>
      <c r="H548" s="21" t="n">
        <f aca="false">H$5*4_Normalizacion!H546</f>
        <v>0.00169754589383076</v>
      </c>
      <c r="I548" s="21" t="n">
        <f aca="false">I$5*4_Normalizacion!I546</f>
        <v>0.00281086825420146</v>
      </c>
      <c r="J548" s="21" t="n">
        <f aca="false">J$5*4_Normalizacion!J546</f>
        <v>0.000255567041403239</v>
      </c>
      <c r="K548" s="21" t="n">
        <f aca="false">K$5*4_Normalizacion!K546</f>
        <v>3.90133374367575E-005</v>
      </c>
      <c r="L548" s="21" t="n">
        <f aca="false">L$5*4_Normalizacion!L546</f>
        <v>0.00108850629467554</v>
      </c>
      <c r="M548" s="21" t="n">
        <f aca="false">M$5*4_Normalizacion!M546</f>
        <v>0.000826234875930515</v>
      </c>
      <c r="N548" s="21" t="n">
        <f aca="false">N$5*4_Normalizacion!N546</f>
        <v>0.00607918426103344</v>
      </c>
      <c r="O548" s="21" t="n">
        <f aca="false">O$5*4_Normalizacion!O546</f>
        <v>0.00200587264654955</v>
      </c>
      <c r="P548" s="21" t="n">
        <f aca="false">P$5*4_Normalizacion!P546</f>
        <v>0.00271682439873943</v>
      </c>
      <c r="Q548" s="21" t="n">
        <f aca="false">Q$5*4_Normalizacion!Q546</f>
        <v>0.00285926571798898</v>
      </c>
    </row>
    <row r="549" customFormat="false" ht="15" hidden="false" customHeight="false" outlineLevel="0" collapsed="false">
      <c r="A549" s="15" t="n">
        <f aca="false">4_Normalizacion!A547</f>
        <v>542</v>
      </c>
      <c r="B549" s="16" t="n">
        <f aca="false">4_Normalizacion!B547</f>
        <v>54.374</v>
      </c>
      <c r="C549" s="21" t="n">
        <f aca="false">C$5*4_Normalizacion!C547</f>
        <v>0.00126894604045884</v>
      </c>
      <c r="D549" s="21" t="n">
        <f aca="false">D$5*4_Normalizacion!D547</f>
        <v>0.00020543122737585</v>
      </c>
      <c r="E549" s="21" t="n">
        <f aca="false">E$5*4_Normalizacion!E547</f>
        <v>0.000464234763412067</v>
      </c>
      <c r="F549" s="21" t="n">
        <f aca="false">F$5*4_Normalizacion!F547</f>
        <v>0.000807018697041519</v>
      </c>
      <c r="G549" s="21" t="n">
        <f aca="false">G$5*4_Normalizacion!G547</f>
        <v>0.000280339284607229</v>
      </c>
      <c r="H549" s="21" t="n">
        <f aca="false">H$5*4_Normalizacion!H547</f>
        <v>0.00169754589383076</v>
      </c>
      <c r="I549" s="21" t="n">
        <f aca="false">I$5*4_Normalizacion!I547</f>
        <v>0.00281086825420146</v>
      </c>
      <c r="J549" s="21" t="n">
        <f aca="false">J$5*4_Normalizacion!J547</f>
        <v>0.000255567041403239</v>
      </c>
      <c r="K549" s="21" t="n">
        <f aca="false">K$5*4_Normalizacion!K547</f>
        <v>3.90133374367575E-005</v>
      </c>
      <c r="L549" s="21" t="n">
        <f aca="false">L$5*4_Normalizacion!L547</f>
        <v>0.00116120708358754</v>
      </c>
      <c r="M549" s="21" t="n">
        <f aca="false">M$5*4_Normalizacion!M547</f>
        <v>0.000826234875930515</v>
      </c>
      <c r="N549" s="21" t="n">
        <f aca="false">N$5*4_Normalizacion!N547</f>
        <v>0.00607918426103344</v>
      </c>
      <c r="O549" s="21" t="n">
        <f aca="false">O$5*4_Normalizacion!O547</f>
        <v>0.00200587264654955</v>
      </c>
      <c r="P549" s="21" t="n">
        <f aca="false">P$5*4_Normalizacion!P547</f>
        <v>0.00271682439873943</v>
      </c>
      <c r="Q549" s="21" t="n">
        <f aca="false">Q$5*4_Normalizacion!Q547</f>
        <v>0.00285926571798898</v>
      </c>
    </row>
    <row r="550" customFormat="false" ht="15" hidden="false" customHeight="false" outlineLevel="0" collapsed="false">
      <c r="A550" s="15" t="n">
        <f aca="false">4_Normalizacion!A548</f>
        <v>543</v>
      </c>
      <c r="B550" s="16" t="n">
        <f aca="false">4_Normalizacion!B548</f>
        <v>54.475</v>
      </c>
      <c r="C550" s="21" t="n">
        <f aca="false">C$5*4_Normalizacion!C548</f>
        <v>0.00126894604045884</v>
      </c>
      <c r="D550" s="21" t="n">
        <f aca="false">D$5*4_Normalizacion!D548</f>
        <v>0.00020543122737585</v>
      </c>
      <c r="E550" s="21" t="n">
        <f aca="false">E$5*4_Normalizacion!E548</f>
        <v>0.000464234763412067</v>
      </c>
      <c r="F550" s="21" t="n">
        <f aca="false">F$5*4_Normalizacion!F548</f>
        <v>0.000807018697041519</v>
      </c>
      <c r="G550" s="21" t="n">
        <f aca="false">G$5*4_Normalizacion!G548</f>
        <v>0.000280339284607229</v>
      </c>
      <c r="H550" s="21" t="n">
        <f aca="false">H$5*4_Normalizacion!H548</f>
        <v>0.00169754589383076</v>
      </c>
      <c r="I550" s="21" t="n">
        <f aca="false">I$5*4_Normalizacion!I548</f>
        <v>0.00281086825420146</v>
      </c>
      <c r="J550" s="21" t="n">
        <f aca="false">J$5*4_Normalizacion!J548</f>
        <v>0.000255567041403239</v>
      </c>
      <c r="K550" s="21" t="n">
        <f aca="false">K$5*4_Normalizacion!K548</f>
        <v>3.90133374367575E-005</v>
      </c>
      <c r="L550" s="21" t="n">
        <f aca="false">L$5*4_Normalizacion!L548</f>
        <v>0.0010699550588842</v>
      </c>
      <c r="M550" s="21" t="n">
        <f aca="false">M$5*4_Normalizacion!M548</f>
        <v>0.000826234875930515</v>
      </c>
      <c r="N550" s="21" t="n">
        <f aca="false">N$5*4_Normalizacion!N548</f>
        <v>0.00607918426103344</v>
      </c>
      <c r="O550" s="21" t="n">
        <f aca="false">O$5*4_Normalizacion!O548</f>
        <v>0.00200587264654955</v>
      </c>
      <c r="P550" s="21" t="n">
        <f aca="false">P$5*4_Normalizacion!P548</f>
        <v>0.00271682439873943</v>
      </c>
      <c r="Q550" s="21" t="n">
        <f aca="false">Q$5*4_Normalizacion!Q548</f>
        <v>0.00285926571798898</v>
      </c>
    </row>
    <row r="551" customFormat="false" ht="15" hidden="false" customHeight="false" outlineLevel="0" collapsed="false">
      <c r="A551" s="15" t="n">
        <f aca="false">4_Normalizacion!A549</f>
        <v>544</v>
      </c>
      <c r="B551" s="16" t="n">
        <f aca="false">4_Normalizacion!B549</f>
        <v>54.576</v>
      </c>
      <c r="C551" s="21" t="n">
        <f aca="false">C$5*4_Normalizacion!C549</f>
        <v>0.00126894604045884</v>
      </c>
      <c r="D551" s="21" t="n">
        <f aca="false">D$5*4_Normalizacion!D549</f>
        <v>0.00020543122737585</v>
      </c>
      <c r="E551" s="21" t="n">
        <f aca="false">E$5*4_Normalizacion!E549</f>
        <v>0.000464234763412067</v>
      </c>
      <c r="F551" s="21" t="n">
        <f aca="false">F$5*4_Normalizacion!F549</f>
        <v>0.00121052804556228</v>
      </c>
      <c r="G551" s="21" t="n">
        <f aca="false">G$5*4_Normalizacion!G549</f>
        <v>0.000280339284607229</v>
      </c>
      <c r="H551" s="21" t="n">
        <f aca="false">H$5*4_Normalizacion!H549</f>
        <v>0.00169754589383076</v>
      </c>
      <c r="I551" s="21" t="n">
        <f aca="false">I$5*4_Normalizacion!I549</f>
        <v>0.00281086825420146</v>
      </c>
      <c r="J551" s="21" t="n">
        <f aca="false">J$5*4_Normalizacion!J549</f>
        <v>0.000255567041403239</v>
      </c>
      <c r="K551" s="21" t="n">
        <f aca="false">K$5*4_Normalizacion!K549</f>
        <v>3.90133374367575E-005</v>
      </c>
      <c r="L551" s="21" t="n">
        <f aca="false">L$5*4_Normalizacion!L549</f>
        <v>0.00107747583015096</v>
      </c>
      <c r="M551" s="21" t="n">
        <f aca="false">M$5*4_Normalizacion!M549</f>
        <v>0.000826234875930515</v>
      </c>
      <c r="N551" s="21" t="n">
        <f aca="false">N$5*4_Normalizacion!N549</f>
        <v>0.00455938819577508</v>
      </c>
      <c r="O551" s="21" t="n">
        <f aca="false">O$5*4_Normalizacion!O549</f>
        <v>0.00200587264654955</v>
      </c>
      <c r="P551" s="21" t="n">
        <f aca="false">P$5*4_Normalizacion!P549</f>
        <v>0.00271682439873943</v>
      </c>
      <c r="Q551" s="21" t="n">
        <f aca="false">Q$5*4_Normalizacion!Q549</f>
        <v>0.00285926571798898</v>
      </c>
    </row>
    <row r="552" customFormat="false" ht="15" hidden="false" customHeight="false" outlineLevel="0" collapsed="false">
      <c r="A552" s="15" t="n">
        <f aca="false">4_Normalizacion!A550</f>
        <v>545</v>
      </c>
      <c r="B552" s="16" t="n">
        <f aca="false">4_Normalizacion!B550</f>
        <v>54.676</v>
      </c>
      <c r="C552" s="21" t="n">
        <f aca="false">C$5*4_Normalizacion!C550</f>
        <v>0.00126894604045884</v>
      </c>
      <c r="D552" s="21" t="n">
        <f aca="false">D$5*4_Normalizacion!D550</f>
        <v>0.00020543122737585</v>
      </c>
      <c r="E552" s="21" t="n">
        <f aca="false">E$5*4_Normalizacion!E550</f>
        <v>0.000464234763412067</v>
      </c>
      <c r="F552" s="21" t="n">
        <f aca="false">F$5*4_Normalizacion!F550</f>
        <v>0.00121052804556228</v>
      </c>
      <c r="G552" s="21" t="n">
        <f aca="false">G$5*4_Normalizacion!G550</f>
        <v>0.000280339284607229</v>
      </c>
      <c r="H552" s="21" t="n">
        <f aca="false">H$5*4_Normalizacion!H550</f>
        <v>0.00169754589383076</v>
      </c>
      <c r="I552" s="21" t="n">
        <f aca="false">I$5*4_Normalizacion!I550</f>
        <v>0.00281086825420146</v>
      </c>
      <c r="J552" s="21" t="n">
        <f aca="false">J$5*4_Normalizacion!J550</f>
        <v>0.000255567041403239</v>
      </c>
      <c r="K552" s="21" t="n">
        <f aca="false">K$5*4_Normalizacion!K550</f>
        <v>3.90133374367575E-005</v>
      </c>
      <c r="L552" s="21" t="n">
        <f aca="false">L$5*4_Normalizacion!L550</f>
        <v>0.00108599937091996</v>
      </c>
      <c r="M552" s="21" t="n">
        <f aca="false">M$5*4_Normalizacion!M550</f>
        <v>0.000826234875930515</v>
      </c>
      <c r="N552" s="21" t="n">
        <f aca="false">N$5*4_Normalizacion!N550</f>
        <v>0.00455938819577508</v>
      </c>
      <c r="O552" s="21" t="n">
        <f aca="false">O$5*4_Normalizacion!O550</f>
        <v>0.00200587264654955</v>
      </c>
      <c r="P552" s="21" t="n">
        <f aca="false">P$5*4_Normalizacion!P550</f>
        <v>0.00271682439873943</v>
      </c>
      <c r="Q552" s="21" t="n">
        <f aca="false">Q$5*4_Normalizacion!Q550</f>
        <v>0.00285926571798898</v>
      </c>
    </row>
    <row r="553" customFormat="false" ht="15" hidden="false" customHeight="false" outlineLevel="0" collapsed="false">
      <c r="A553" s="15" t="n">
        <f aca="false">4_Normalizacion!A551</f>
        <v>546</v>
      </c>
      <c r="B553" s="16" t="n">
        <f aca="false">4_Normalizacion!B551</f>
        <v>54.777</v>
      </c>
      <c r="C553" s="21" t="n">
        <f aca="false">C$5*4_Normalizacion!C551</f>
        <v>0.00126894604045884</v>
      </c>
      <c r="D553" s="21" t="n">
        <f aca="false">D$5*4_Normalizacion!D551</f>
        <v>0.00020543122737585</v>
      </c>
      <c r="E553" s="21" t="n">
        <f aca="false">E$5*4_Normalizacion!E551</f>
        <v>0.000464234763412067</v>
      </c>
      <c r="F553" s="21" t="n">
        <f aca="false">F$5*4_Normalizacion!F551</f>
        <v>0.00121052804556228</v>
      </c>
      <c r="G553" s="21" t="n">
        <f aca="false">G$5*4_Normalizacion!G551</f>
        <v>0.000280339284607229</v>
      </c>
      <c r="H553" s="21" t="n">
        <f aca="false">H$5*4_Normalizacion!H551</f>
        <v>0.00169754589383076</v>
      </c>
      <c r="I553" s="21" t="n">
        <f aca="false">I$5*4_Normalizacion!I551</f>
        <v>0.00281086825420146</v>
      </c>
      <c r="J553" s="21" t="n">
        <f aca="false">J$5*4_Normalizacion!J551</f>
        <v>0.000255567041403239</v>
      </c>
      <c r="K553" s="21" t="n">
        <f aca="false">K$5*4_Normalizacion!K551</f>
        <v>3.90133374367575E-005</v>
      </c>
      <c r="L553" s="21" t="n">
        <f aca="false">L$5*4_Normalizacion!L551</f>
        <v>0.00105641767060404</v>
      </c>
      <c r="M553" s="21" t="n">
        <f aca="false">M$5*4_Normalizacion!M551</f>
        <v>0.000826234875930515</v>
      </c>
      <c r="N553" s="21" t="n">
        <f aca="false">N$5*4_Normalizacion!N551</f>
        <v>0.00455938819577508</v>
      </c>
      <c r="O553" s="21" t="n">
        <f aca="false">O$5*4_Normalizacion!O551</f>
        <v>0.00200587264654955</v>
      </c>
      <c r="P553" s="21" t="n">
        <f aca="false">P$5*4_Normalizacion!P551</f>
        <v>0.00271682439873943</v>
      </c>
      <c r="Q553" s="21" t="n">
        <f aca="false">Q$5*4_Normalizacion!Q551</f>
        <v>0.00285926571798898</v>
      </c>
    </row>
    <row r="554" customFormat="false" ht="15" hidden="false" customHeight="false" outlineLevel="0" collapsed="false">
      <c r="A554" s="15" t="n">
        <f aca="false">4_Normalizacion!A552</f>
        <v>547</v>
      </c>
      <c r="B554" s="16" t="n">
        <f aca="false">4_Normalizacion!B552</f>
        <v>54.877</v>
      </c>
      <c r="C554" s="21" t="n">
        <f aca="false">C$5*4_Normalizacion!C552</f>
        <v>0.00126894604045884</v>
      </c>
      <c r="D554" s="21" t="n">
        <f aca="false">D$5*4_Normalizacion!D552</f>
        <v>0.00020543122737585</v>
      </c>
      <c r="E554" s="21" t="n">
        <f aca="false">E$5*4_Normalizacion!E552</f>
        <v>0.000464234763412067</v>
      </c>
      <c r="F554" s="21" t="n">
        <f aca="false">F$5*4_Normalizacion!F552</f>
        <v>0.00121052804556228</v>
      </c>
      <c r="G554" s="21" t="n">
        <f aca="false">G$5*4_Normalizacion!G552</f>
        <v>0.000280339284607229</v>
      </c>
      <c r="H554" s="21" t="n">
        <f aca="false">H$5*4_Normalizacion!H552</f>
        <v>0.00169754589383076</v>
      </c>
      <c r="I554" s="21" t="n">
        <f aca="false">I$5*4_Normalizacion!I552</f>
        <v>0.00281086825420146</v>
      </c>
      <c r="J554" s="21" t="n">
        <f aca="false">J$5*4_Normalizacion!J552</f>
        <v>0.000255567041403239</v>
      </c>
      <c r="K554" s="21" t="n">
        <f aca="false">K$5*4_Normalizacion!K552</f>
        <v>3.90133374367575E-005</v>
      </c>
      <c r="L554" s="21" t="n">
        <f aca="false">L$5*4_Normalizacion!L552</f>
        <v>0.00107797721490208</v>
      </c>
      <c r="M554" s="21" t="n">
        <f aca="false">M$5*4_Normalizacion!M552</f>
        <v>0.000826234875930515</v>
      </c>
      <c r="N554" s="21" t="n">
        <f aca="false">N$5*4_Normalizacion!N552</f>
        <v>0.00455938819577508</v>
      </c>
      <c r="O554" s="21" t="n">
        <f aca="false">O$5*4_Normalizacion!O552</f>
        <v>0.00200587264654955</v>
      </c>
      <c r="P554" s="21" t="n">
        <f aca="false">P$5*4_Normalizacion!P552</f>
        <v>0.00271682439873943</v>
      </c>
      <c r="Q554" s="21" t="n">
        <f aca="false">Q$5*4_Normalizacion!Q552</f>
        <v>0.00285926571798898</v>
      </c>
    </row>
    <row r="555" customFormat="false" ht="15" hidden="false" customHeight="false" outlineLevel="0" collapsed="false">
      <c r="A555" s="15" t="n">
        <f aca="false">4_Normalizacion!A553</f>
        <v>548</v>
      </c>
      <c r="B555" s="16" t="n">
        <f aca="false">4_Normalizacion!B553</f>
        <v>54.977</v>
      </c>
      <c r="C555" s="21" t="n">
        <f aca="false">C$5*4_Normalizacion!C553</f>
        <v>0.00126894604045884</v>
      </c>
      <c r="D555" s="21" t="n">
        <f aca="false">D$5*4_Normalizacion!D553</f>
        <v>0.00020543122737585</v>
      </c>
      <c r="E555" s="21" t="n">
        <f aca="false">E$5*4_Normalizacion!E553</f>
        <v>0.000464234763412067</v>
      </c>
      <c r="F555" s="21" t="n">
        <f aca="false">F$5*4_Normalizacion!F553</f>
        <v>0.000807018697041519</v>
      </c>
      <c r="G555" s="21" t="n">
        <f aca="false">G$5*4_Normalizacion!G553</f>
        <v>0.000280339284607229</v>
      </c>
      <c r="H555" s="21" t="n">
        <f aca="false">H$5*4_Normalizacion!H553</f>
        <v>0.00169754589383076</v>
      </c>
      <c r="I555" s="21" t="n">
        <f aca="false">I$5*4_Normalizacion!I553</f>
        <v>0.00281086825420146</v>
      </c>
      <c r="J555" s="21" t="n">
        <f aca="false">J$5*4_Normalizacion!J553</f>
        <v>0.000255567041403239</v>
      </c>
      <c r="K555" s="21" t="n">
        <f aca="false">K$5*4_Normalizacion!K553</f>
        <v>3.90133374367575E-005</v>
      </c>
      <c r="L555" s="21" t="n">
        <f aca="false">L$5*4_Normalizacion!L553</f>
        <v>0.00105992736386186</v>
      </c>
      <c r="M555" s="21" t="n">
        <f aca="false">M$5*4_Normalizacion!M553</f>
        <v>0.000826234875930515</v>
      </c>
      <c r="N555" s="21" t="n">
        <f aca="false">N$5*4_Normalizacion!N553</f>
        <v>0.00455938819577508</v>
      </c>
      <c r="O555" s="21" t="n">
        <f aca="false">O$5*4_Normalizacion!O553</f>
        <v>0.00200587264654955</v>
      </c>
      <c r="P555" s="21" t="n">
        <f aca="false">P$5*4_Normalizacion!P553</f>
        <v>0.00271682439873943</v>
      </c>
      <c r="Q555" s="21" t="n">
        <f aca="false">Q$5*4_Normalizacion!Q553</f>
        <v>0.00285926571798898</v>
      </c>
    </row>
    <row r="556" customFormat="false" ht="15" hidden="false" customHeight="false" outlineLevel="0" collapsed="false">
      <c r="A556" s="15" t="n">
        <f aca="false">4_Normalizacion!A554</f>
        <v>549</v>
      </c>
      <c r="B556" s="16" t="n">
        <f aca="false">4_Normalizacion!B554</f>
        <v>55.076</v>
      </c>
      <c r="C556" s="21" t="n">
        <f aca="false">C$5*4_Normalizacion!C554</f>
        <v>0.00126894604045884</v>
      </c>
      <c r="D556" s="21" t="n">
        <f aca="false">D$5*4_Normalizacion!D554</f>
        <v>0.00020543122737585</v>
      </c>
      <c r="E556" s="21" t="n">
        <f aca="false">E$5*4_Normalizacion!E554</f>
        <v>0.000464234763412067</v>
      </c>
      <c r="F556" s="21" t="n">
        <f aca="false">F$5*4_Normalizacion!F554</f>
        <v>0.00121052804556228</v>
      </c>
      <c r="G556" s="21" t="n">
        <f aca="false">G$5*4_Normalizacion!G554</f>
        <v>0.000280339284607229</v>
      </c>
      <c r="H556" s="21" t="n">
        <f aca="false">H$5*4_Normalizacion!H554</f>
        <v>0.00169754589383076</v>
      </c>
      <c r="I556" s="21" t="n">
        <f aca="false">I$5*4_Normalizacion!I554</f>
        <v>0.00281086825420146</v>
      </c>
      <c r="J556" s="21" t="n">
        <f aca="false">J$5*4_Normalizacion!J554</f>
        <v>0.000255567041403239</v>
      </c>
      <c r="K556" s="21" t="n">
        <f aca="false">K$5*4_Normalizacion!K554</f>
        <v>3.90133374367575E-005</v>
      </c>
      <c r="L556" s="21" t="n">
        <f aca="false">L$5*4_Normalizacion!L554</f>
        <v>0.00104989966883951</v>
      </c>
      <c r="M556" s="21" t="n">
        <f aca="false">M$5*4_Normalizacion!M554</f>
        <v>0.000826234875930515</v>
      </c>
      <c r="N556" s="21" t="n">
        <f aca="false">N$5*4_Normalizacion!N554</f>
        <v>0.00455938819577508</v>
      </c>
      <c r="O556" s="21" t="n">
        <f aca="false">O$5*4_Normalizacion!O554</f>
        <v>0.00200587264654955</v>
      </c>
      <c r="P556" s="21" t="n">
        <f aca="false">P$5*4_Normalizacion!P554</f>
        <v>0.00271682439873943</v>
      </c>
      <c r="Q556" s="21" t="n">
        <f aca="false">Q$5*4_Normalizacion!Q554</f>
        <v>0.00285926571798898</v>
      </c>
    </row>
    <row r="557" customFormat="false" ht="15" hidden="false" customHeight="false" outlineLevel="0" collapsed="false">
      <c r="A557" s="15" t="n">
        <f aca="false">4_Normalizacion!A555</f>
        <v>550</v>
      </c>
      <c r="B557" s="16" t="n">
        <f aca="false">4_Normalizacion!B555</f>
        <v>55.176</v>
      </c>
      <c r="C557" s="21" t="n">
        <f aca="false">C$5*4_Normalizacion!C555</f>
        <v>0.00126894604045884</v>
      </c>
      <c r="D557" s="21" t="n">
        <f aca="false">D$5*4_Normalizacion!D555</f>
        <v>0.00020543122737585</v>
      </c>
      <c r="E557" s="21" t="n">
        <f aca="false">E$5*4_Normalizacion!E555</f>
        <v>0.000464234763412067</v>
      </c>
      <c r="F557" s="21" t="n">
        <f aca="false">F$5*4_Normalizacion!F555</f>
        <v>0.000807018697041519</v>
      </c>
      <c r="G557" s="21" t="n">
        <f aca="false">G$5*4_Normalizacion!G555</f>
        <v>0.000280339284607229</v>
      </c>
      <c r="H557" s="21" t="n">
        <f aca="false">H$5*4_Normalizacion!H555</f>
        <v>0.00169754589383076</v>
      </c>
      <c r="I557" s="21" t="n">
        <f aca="false">I$5*4_Normalizacion!I555</f>
        <v>0.00281086825420146</v>
      </c>
      <c r="J557" s="21" t="n">
        <f aca="false">J$5*4_Normalizacion!J555</f>
        <v>0.000255567041403239</v>
      </c>
      <c r="K557" s="21" t="n">
        <f aca="false">K$5*4_Normalizacion!K555</f>
        <v>3.90133374367575E-005</v>
      </c>
      <c r="L557" s="21" t="n">
        <f aca="false">L$5*4_Normalizacion!L555</f>
        <v>0.00104438443657722</v>
      </c>
      <c r="M557" s="21" t="n">
        <f aca="false">M$5*4_Normalizacion!M555</f>
        <v>0.000826234875930515</v>
      </c>
      <c r="N557" s="21" t="n">
        <f aca="false">N$5*4_Normalizacion!N555</f>
        <v>0.00455938819577508</v>
      </c>
      <c r="O557" s="21" t="n">
        <f aca="false">O$5*4_Normalizacion!O555</f>
        <v>0.00200587264654955</v>
      </c>
      <c r="P557" s="21" t="n">
        <f aca="false">P$5*4_Normalizacion!P555</f>
        <v>0.00271682439873943</v>
      </c>
      <c r="Q557" s="21" t="n">
        <f aca="false">Q$5*4_Normalizacion!Q555</f>
        <v>0.00285926571798898</v>
      </c>
    </row>
    <row r="558" customFormat="false" ht="15" hidden="false" customHeight="false" outlineLevel="0" collapsed="false">
      <c r="A558" s="15" t="n">
        <f aca="false">4_Normalizacion!A556</f>
        <v>551</v>
      </c>
      <c r="B558" s="16" t="n">
        <f aca="false">4_Normalizacion!B556</f>
        <v>55.275</v>
      </c>
      <c r="C558" s="21" t="n">
        <f aca="false">C$5*4_Normalizacion!C556</f>
        <v>0.00126894604045884</v>
      </c>
      <c r="D558" s="21" t="n">
        <f aca="false">D$5*4_Normalizacion!D556</f>
        <v>0.00020543122737585</v>
      </c>
      <c r="E558" s="21" t="n">
        <f aca="false">E$5*4_Normalizacion!E556</f>
        <v>0.000464234763412067</v>
      </c>
      <c r="F558" s="21" t="n">
        <f aca="false">F$5*4_Normalizacion!F556</f>
        <v>0.000807018697041519</v>
      </c>
      <c r="G558" s="21" t="n">
        <f aca="false">G$5*4_Normalizacion!G556</f>
        <v>0.000280339284607229</v>
      </c>
      <c r="H558" s="21" t="n">
        <f aca="false">H$5*4_Normalizacion!H556</f>
        <v>0.00169754589383076</v>
      </c>
      <c r="I558" s="21" t="n">
        <f aca="false">I$5*4_Normalizacion!I556</f>
        <v>0.00281086825420146</v>
      </c>
      <c r="J558" s="21" t="n">
        <f aca="false">J$5*4_Normalizacion!J556</f>
        <v>0.000255567041403239</v>
      </c>
      <c r="K558" s="21" t="n">
        <f aca="false">K$5*4_Normalizacion!K556</f>
        <v>3.90133374367575E-005</v>
      </c>
      <c r="L558" s="21" t="n">
        <f aca="false">L$5*4_Normalizacion!L556</f>
        <v>0.00103084704829706</v>
      </c>
      <c r="M558" s="21" t="n">
        <f aca="false">M$5*4_Normalizacion!M556</f>
        <v>0.000826234875930515</v>
      </c>
      <c r="N558" s="21" t="n">
        <f aca="false">N$5*4_Normalizacion!N556</f>
        <v>0.00455938819577508</v>
      </c>
      <c r="O558" s="21" t="n">
        <f aca="false">O$5*4_Normalizacion!O556</f>
        <v>0.00200587264654955</v>
      </c>
      <c r="P558" s="21" t="n">
        <f aca="false">P$5*4_Normalizacion!P556</f>
        <v>0.00271682439873943</v>
      </c>
      <c r="Q558" s="21" t="n">
        <f aca="false">Q$5*4_Normalizacion!Q556</f>
        <v>0.00285926571798898</v>
      </c>
    </row>
    <row r="559" customFormat="false" ht="15" hidden="false" customHeight="false" outlineLevel="0" collapsed="false">
      <c r="A559" s="15" t="n">
        <f aca="false">4_Normalizacion!A557</f>
        <v>552</v>
      </c>
      <c r="B559" s="16" t="n">
        <f aca="false">4_Normalizacion!B557</f>
        <v>55.374</v>
      </c>
      <c r="C559" s="21" t="n">
        <f aca="false">C$5*4_Normalizacion!C557</f>
        <v>0.00126894604045884</v>
      </c>
      <c r="D559" s="21" t="n">
        <f aca="false">D$5*4_Normalizacion!D557</f>
        <v>0.00020543122737585</v>
      </c>
      <c r="E559" s="21" t="n">
        <f aca="false">E$5*4_Normalizacion!E557</f>
        <v>0.000928469526824133</v>
      </c>
      <c r="F559" s="21" t="n">
        <f aca="false">F$5*4_Normalizacion!F557</f>
        <v>0.000807018697041519</v>
      </c>
      <c r="G559" s="21" t="n">
        <f aca="false">G$5*4_Normalizacion!G557</f>
        <v>0.000280339284607229</v>
      </c>
      <c r="H559" s="21" t="n">
        <f aca="false">H$5*4_Normalizacion!H557</f>
        <v>0.00169754589383076</v>
      </c>
      <c r="I559" s="21" t="n">
        <f aca="false">I$5*4_Normalizacion!I557</f>
        <v>0.00281086825420146</v>
      </c>
      <c r="J559" s="21" t="n">
        <f aca="false">J$5*4_Normalizacion!J557</f>
        <v>0.000255567041403239</v>
      </c>
      <c r="K559" s="21" t="n">
        <f aca="false">K$5*4_Normalizacion!K557</f>
        <v>3.90133374367575E-005</v>
      </c>
      <c r="L559" s="21" t="n">
        <f aca="false">L$5*4_Normalizacion!L557</f>
        <v>0.00105040105359063</v>
      </c>
      <c r="M559" s="21" t="n">
        <f aca="false">M$5*4_Normalizacion!M557</f>
        <v>0.000826234875930515</v>
      </c>
      <c r="N559" s="21" t="n">
        <f aca="false">N$5*4_Normalizacion!N557</f>
        <v>0.00455938819577508</v>
      </c>
      <c r="O559" s="21" t="n">
        <f aca="false">O$5*4_Normalizacion!O557</f>
        <v>0.00200587264654955</v>
      </c>
      <c r="P559" s="21" t="n">
        <f aca="false">P$5*4_Normalizacion!P557</f>
        <v>0.00271682439873943</v>
      </c>
      <c r="Q559" s="21" t="n">
        <f aca="false">Q$5*4_Normalizacion!Q557</f>
        <v>0.00285926571798898</v>
      </c>
    </row>
    <row r="560" customFormat="false" ht="15" hidden="false" customHeight="false" outlineLevel="0" collapsed="false">
      <c r="A560" s="15" t="n">
        <f aca="false">4_Normalizacion!A558</f>
        <v>553</v>
      </c>
      <c r="B560" s="16" t="n">
        <f aca="false">4_Normalizacion!B558</f>
        <v>55.474</v>
      </c>
      <c r="C560" s="21" t="n">
        <f aca="false">C$5*4_Normalizacion!C558</f>
        <v>0.00169192805394512</v>
      </c>
      <c r="D560" s="21" t="n">
        <f aca="false">D$5*4_Normalizacion!D558</f>
        <v>0.00020543122737585</v>
      </c>
      <c r="E560" s="21" t="n">
        <f aca="false">E$5*4_Normalizacion!E558</f>
        <v>0.000928469526824133</v>
      </c>
      <c r="F560" s="21" t="n">
        <f aca="false">F$5*4_Normalizacion!F558</f>
        <v>0.00121052804556228</v>
      </c>
      <c r="G560" s="21" t="n">
        <f aca="false">G$5*4_Normalizacion!G558</f>
        <v>0.000280339284607229</v>
      </c>
      <c r="H560" s="21" t="n">
        <f aca="false">H$5*4_Normalizacion!H558</f>
        <v>0.00169754589383076</v>
      </c>
      <c r="I560" s="21" t="n">
        <f aca="false">I$5*4_Normalizacion!I558</f>
        <v>0.00281086825420146</v>
      </c>
      <c r="J560" s="21" t="n">
        <f aca="false">J$5*4_Normalizacion!J558</f>
        <v>0.000255567041403239</v>
      </c>
      <c r="K560" s="21" t="n">
        <f aca="false">K$5*4_Normalizacion!K558</f>
        <v>3.90133374367575E-005</v>
      </c>
      <c r="L560" s="21" t="n">
        <f aca="false">L$5*4_Normalizacion!L558</f>
        <v>0.00103385535680376</v>
      </c>
      <c r="M560" s="21" t="n">
        <f aca="false">M$5*4_Normalizacion!M558</f>
        <v>0.000826234875930515</v>
      </c>
      <c r="N560" s="21" t="n">
        <f aca="false">N$5*4_Normalizacion!N558</f>
        <v>0.00455938819577508</v>
      </c>
      <c r="O560" s="21" t="n">
        <f aca="false">O$5*4_Normalizacion!O558</f>
        <v>0.00200587264654955</v>
      </c>
      <c r="P560" s="21" t="n">
        <f aca="false">P$5*4_Normalizacion!P558</f>
        <v>0.00271682439873943</v>
      </c>
      <c r="Q560" s="21" t="n">
        <f aca="false">Q$5*4_Normalizacion!Q558</f>
        <v>0.00285926571798898</v>
      </c>
    </row>
    <row r="561" customFormat="false" ht="15" hidden="false" customHeight="false" outlineLevel="0" collapsed="false">
      <c r="A561" s="15" t="n">
        <f aca="false">4_Normalizacion!A559</f>
        <v>554</v>
      </c>
      <c r="B561" s="16" t="n">
        <f aca="false">4_Normalizacion!B559</f>
        <v>55.573</v>
      </c>
      <c r="C561" s="21" t="n">
        <f aca="false">C$5*4_Normalizacion!C559</f>
        <v>0.00169192805394512</v>
      </c>
      <c r="D561" s="21" t="n">
        <f aca="false">D$5*4_Normalizacion!D559</f>
        <v>0.00020543122737585</v>
      </c>
      <c r="E561" s="21" t="n">
        <f aca="false">E$5*4_Normalizacion!E559</f>
        <v>0.000928469526824133</v>
      </c>
      <c r="F561" s="21" t="n">
        <f aca="false">F$5*4_Normalizacion!F559</f>
        <v>0.00121052804556228</v>
      </c>
      <c r="G561" s="21" t="n">
        <f aca="false">G$5*4_Normalizacion!G559</f>
        <v>0.000280339284607229</v>
      </c>
      <c r="H561" s="21" t="n">
        <f aca="false">H$5*4_Normalizacion!H559</f>
        <v>0.00169754589383076</v>
      </c>
      <c r="I561" s="21" t="n">
        <f aca="false">I$5*4_Normalizacion!I559</f>
        <v>0.00281086825420146</v>
      </c>
      <c r="J561" s="21" t="n">
        <f aca="false">J$5*4_Normalizacion!J559</f>
        <v>0.000255567041403239</v>
      </c>
      <c r="K561" s="21" t="n">
        <f aca="false">K$5*4_Normalizacion!K559</f>
        <v>3.90133374367575E-005</v>
      </c>
      <c r="L561" s="21" t="n">
        <f aca="false">L$5*4_Normalizacion!L559</f>
        <v>0.00103134843304818</v>
      </c>
      <c r="M561" s="21" t="n">
        <f aca="false">M$5*4_Normalizacion!M559</f>
        <v>0.000826234875930515</v>
      </c>
      <c r="N561" s="21" t="n">
        <f aca="false">N$5*4_Normalizacion!N559</f>
        <v>0.00607918426103344</v>
      </c>
      <c r="O561" s="21" t="n">
        <f aca="false">O$5*4_Normalizacion!O559</f>
        <v>0.00200587264654955</v>
      </c>
      <c r="P561" s="21" t="n">
        <f aca="false">P$5*4_Normalizacion!P559</f>
        <v>0.00271682439873943</v>
      </c>
      <c r="Q561" s="21" t="n">
        <f aca="false">Q$5*4_Normalizacion!Q559</f>
        <v>0.00285926571798898</v>
      </c>
    </row>
    <row r="562" customFormat="false" ht="15" hidden="false" customHeight="false" outlineLevel="0" collapsed="false">
      <c r="A562" s="15" t="n">
        <f aca="false">4_Normalizacion!A560</f>
        <v>555</v>
      </c>
      <c r="B562" s="16" t="n">
        <f aca="false">4_Normalizacion!B560</f>
        <v>55.672</v>
      </c>
      <c r="C562" s="21" t="n">
        <f aca="false">C$5*4_Normalizacion!C560</f>
        <v>0.00169192805394512</v>
      </c>
      <c r="D562" s="21" t="n">
        <f aca="false">D$5*4_Normalizacion!D560</f>
        <v>0.00020543122737585</v>
      </c>
      <c r="E562" s="21" t="n">
        <f aca="false">E$5*4_Normalizacion!E560</f>
        <v>0.000928469526824133</v>
      </c>
      <c r="F562" s="21" t="n">
        <f aca="false">F$5*4_Normalizacion!F560</f>
        <v>0.00121052804556228</v>
      </c>
      <c r="G562" s="21" t="n">
        <f aca="false">G$5*4_Normalizacion!G560</f>
        <v>0.000280339284607229</v>
      </c>
      <c r="H562" s="21" t="n">
        <f aca="false">H$5*4_Normalizacion!H560</f>
        <v>0.00169754589383076</v>
      </c>
      <c r="I562" s="21" t="n">
        <f aca="false">I$5*4_Normalizacion!I560</f>
        <v>0.00281086825420146</v>
      </c>
      <c r="J562" s="21" t="n">
        <f aca="false">J$5*4_Normalizacion!J560</f>
        <v>0.000255567041403239</v>
      </c>
      <c r="K562" s="21" t="n">
        <f aca="false">K$5*4_Normalizacion!K560</f>
        <v>3.90133374367575E-005</v>
      </c>
      <c r="L562" s="21" t="n">
        <f aca="false">L$5*4_Normalizacion!L560</f>
        <v>0.001107558915218</v>
      </c>
      <c r="M562" s="21" t="n">
        <f aca="false">M$5*4_Normalizacion!M560</f>
        <v>0.000826234875930515</v>
      </c>
      <c r="N562" s="21" t="n">
        <f aca="false">N$5*4_Normalizacion!N560</f>
        <v>0.00607918426103344</v>
      </c>
      <c r="O562" s="21" t="n">
        <f aca="false">O$5*4_Normalizacion!O560</f>
        <v>0.00200587264654955</v>
      </c>
      <c r="P562" s="21" t="n">
        <f aca="false">P$5*4_Normalizacion!P560</f>
        <v>0.00271682439873943</v>
      </c>
      <c r="Q562" s="21" t="n">
        <f aca="false">Q$5*4_Normalizacion!Q560</f>
        <v>0.00285926571798898</v>
      </c>
    </row>
    <row r="563" customFormat="false" ht="15" hidden="false" customHeight="false" outlineLevel="0" collapsed="false">
      <c r="A563" s="15" t="n">
        <f aca="false">4_Normalizacion!A561</f>
        <v>556</v>
      </c>
      <c r="B563" s="16" t="n">
        <f aca="false">4_Normalizacion!B561</f>
        <v>55.771</v>
      </c>
      <c r="C563" s="21" t="n">
        <f aca="false">C$5*4_Normalizacion!C561</f>
        <v>0.00169192805394512</v>
      </c>
      <c r="D563" s="21" t="n">
        <f aca="false">D$5*4_Normalizacion!D561</f>
        <v>0.00020543122737585</v>
      </c>
      <c r="E563" s="21" t="n">
        <f aca="false">E$5*4_Normalizacion!E561</f>
        <v>0.000928469526824133</v>
      </c>
      <c r="F563" s="21" t="n">
        <f aca="false">F$5*4_Normalizacion!F561</f>
        <v>0.00121052804556228</v>
      </c>
      <c r="G563" s="21" t="n">
        <f aca="false">G$5*4_Normalizacion!G561</f>
        <v>0.000280339284607229</v>
      </c>
      <c r="H563" s="21" t="n">
        <f aca="false">H$5*4_Normalizacion!H561</f>
        <v>0.00169754589383076</v>
      </c>
      <c r="I563" s="21" t="n">
        <f aca="false">I$5*4_Normalizacion!I561</f>
        <v>0.00281086825420146</v>
      </c>
      <c r="J563" s="21" t="n">
        <f aca="false">J$5*4_Normalizacion!J561</f>
        <v>0.000255567041403239</v>
      </c>
      <c r="K563" s="21" t="n">
        <f aca="false">K$5*4_Normalizacion!K561</f>
        <v>3.90133374367575E-005</v>
      </c>
      <c r="L563" s="21" t="n">
        <f aca="false">L$5*4_Normalizacion!L561</f>
        <v>0.00118226524313447</v>
      </c>
      <c r="M563" s="21" t="n">
        <f aca="false">M$5*4_Normalizacion!M561</f>
        <v>0.000826234875930515</v>
      </c>
      <c r="N563" s="21" t="n">
        <f aca="false">N$5*4_Normalizacion!N561</f>
        <v>0.00607918426103344</v>
      </c>
      <c r="O563" s="21" t="n">
        <f aca="false">O$5*4_Normalizacion!O561</f>
        <v>0.00200587264654955</v>
      </c>
      <c r="P563" s="21" t="n">
        <f aca="false">P$5*4_Normalizacion!P561</f>
        <v>0.00271682439873943</v>
      </c>
      <c r="Q563" s="21" t="n">
        <f aca="false">Q$5*4_Normalizacion!Q561</f>
        <v>0.00285926571798898</v>
      </c>
    </row>
    <row r="564" customFormat="false" ht="15" hidden="false" customHeight="false" outlineLevel="0" collapsed="false">
      <c r="A564" s="15" t="n">
        <f aca="false">4_Normalizacion!A562</f>
        <v>557</v>
      </c>
      <c r="B564" s="16" t="n">
        <f aca="false">4_Normalizacion!B562</f>
        <v>55.869</v>
      </c>
      <c r="C564" s="21" t="n">
        <f aca="false">C$5*4_Normalizacion!C562</f>
        <v>0.00169192805394512</v>
      </c>
      <c r="D564" s="21" t="n">
        <f aca="false">D$5*4_Normalizacion!D562</f>
        <v>0.00020543122737585</v>
      </c>
      <c r="E564" s="21" t="n">
        <f aca="false">E$5*4_Normalizacion!E562</f>
        <v>0.0013927042902362</v>
      </c>
      <c r="F564" s="21" t="n">
        <f aca="false">F$5*4_Normalizacion!F562</f>
        <v>0.00161403739408304</v>
      </c>
      <c r="G564" s="21" t="n">
        <f aca="false">G$5*4_Normalizacion!G562</f>
        <v>0.000280339284607229</v>
      </c>
      <c r="H564" s="21" t="n">
        <f aca="false">H$5*4_Normalizacion!H562</f>
        <v>0.00169754589383076</v>
      </c>
      <c r="I564" s="21" t="n">
        <f aca="false">I$5*4_Normalizacion!I562</f>
        <v>0.00281086825420146</v>
      </c>
      <c r="J564" s="21" t="n">
        <f aca="false">J$5*4_Normalizacion!J562</f>
        <v>0.000255567041403239</v>
      </c>
      <c r="K564" s="21" t="n">
        <f aca="false">K$5*4_Normalizacion!K562</f>
        <v>3.90133374367575E-005</v>
      </c>
      <c r="L564" s="21" t="n">
        <f aca="false">L$5*4_Normalizacion!L562</f>
        <v>0.00108800490992443</v>
      </c>
      <c r="M564" s="21" t="n">
        <f aca="false">M$5*4_Normalizacion!M562</f>
        <v>0.000826234875930515</v>
      </c>
      <c r="N564" s="21" t="n">
        <f aca="false">N$5*4_Normalizacion!N562</f>
        <v>0.00607918426103344</v>
      </c>
      <c r="O564" s="21" t="n">
        <f aca="false">O$5*4_Normalizacion!O562</f>
        <v>0.00200587264654955</v>
      </c>
      <c r="P564" s="21" t="n">
        <f aca="false">P$5*4_Normalizacion!P562</f>
        <v>0.00271682439873943</v>
      </c>
      <c r="Q564" s="21" t="n">
        <f aca="false">Q$5*4_Normalizacion!Q562</f>
        <v>0.00285926571798898</v>
      </c>
    </row>
    <row r="565" customFormat="false" ht="15" hidden="false" customHeight="false" outlineLevel="0" collapsed="false">
      <c r="A565" s="15" t="n">
        <f aca="false">4_Normalizacion!A563</f>
        <v>558</v>
      </c>
      <c r="B565" s="16" t="n">
        <f aca="false">4_Normalizacion!B563</f>
        <v>55.968</v>
      </c>
      <c r="C565" s="21" t="n">
        <f aca="false">C$5*4_Normalizacion!C563</f>
        <v>0.00169192805394512</v>
      </c>
      <c r="D565" s="21" t="n">
        <f aca="false">D$5*4_Normalizacion!D563</f>
        <v>0.00020543122737585</v>
      </c>
      <c r="E565" s="21" t="n">
        <f aca="false">E$5*4_Normalizacion!E563</f>
        <v>0.0013927042902362</v>
      </c>
      <c r="F565" s="21" t="n">
        <f aca="false">F$5*4_Normalizacion!F563</f>
        <v>0.00121052804556228</v>
      </c>
      <c r="G565" s="21" t="n">
        <f aca="false">G$5*4_Normalizacion!G563</f>
        <v>0.000280339284607229</v>
      </c>
      <c r="H565" s="21" t="n">
        <f aca="false">H$5*4_Normalizacion!H563</f>
        <v>0.00169754589383076</v>
      </c>
      <c r="I565" s="21" t="n">
        <f aca="false">I$5*4_Normalizacion!I563</f>
        <v>0.00281086825420146</v>
      </c>
      <c r="J565" s="21" t="n">
        <f aca="false">J$5*4_Normalizacion!J563</f>
        <v>0.000255567041403239</v>
      </c>
      <c r="K565" s="21" t="n">
        <f aca="false">K$5*4_Normalizacion!K563</f>
        <v>3.90133374367575E-005</v>
      </c>
      <c r="L565" s="21" t="n">
        <f aca="false">L$5*4_Normalizacion!L563</f>
        <v>0.00106794951987974</v>
      </c>
      <c r="M565" s="21" t="n">
        <f aca="false">M$5*4_Normalizacion!M563</f>
        <v>0.000826234875930515</v>
      </c>
      <c r="N565" s="21" t="n">
        <f aca="false">N$5*4_Normalizacion!N563</f>
        <v>0.00607918426103344</v>
      </c>
      <c r="O565" s="21" t="n">
        <f aca="false">O$5*4_Normalizacion!O563</f>
        <v>0.00200587264654955</v>
      </c>
      <c r="P565" s="21" t="n">
        <f aca="false">P$5*4_Normalizacion!P563</f>
        <v>0.00271682439873943</v>
      </c>
      <c r="Q565" s="21" t="n">
        <f aca="false">Q$5*4_Normalizacion!Q563</f>
        <v>0.00285926571798898</v>
      </c>
    </row>
    <row r="566" customFormat="false" ht="15" hidden="false" customHeight="false" outlineLevel="0" collapsed="false">
      <c r="A566" s="15" t="n">
        <f aca="false">4_Normalizacion!A564</f>
        <v>559</v>
      </c>
      <c r="B566" s="16" t="n">
        <f aca="false">4_Normalizacion!B564</f>
        <v>56.066</v>
      </c>
      <c r="C566" s="21" t="n">
        <f aca="false">C$5*4_Normalizacion!C564</f>
        <v>0.00169192805394512</v>
      </c>
      <c r="D566" s="21" t="n">
        <f aca="false">D$5*4_Normalizacion!D564</f>
        <v>0.00020543122737585</v>
      </c>
      <c r="E566" s="21" t="n">
        <f aca="false">E$5*4_Normalizacion!E564</f>
        <v>0.00185693905364827</v>
      </c>
      <c r="F566" s="21" t="n">
        <f aca="false">F$5*4_Normalizacion!F564</f>
        <v>0.00121052804556228</v>
      </c>
      <c r="G566" s="21" t="n">
        <f aca="false">G$5*4_Normalizacion!G564</f>
        <v>0.000280339284607229</v>
      </c>
      <c r="H566" s="21" t="n">
        <f aca="false">H$5*4_Normalizacion!H564</f>
        <v>0.00169754589383076</v>
      </c>
      <c r="I566" s="21" t="n">
        <f aca="false">I$5*4_Normalizacion!I564</f>
        <v>0.00281086825420146</v>
      </c>
      <c r="J566" s="21" t="n">
        <f aca="false">J$5*4_Normalizacion!J564</f>
        <v>0.000255567041403239</v>
      </c>
      <c r="K566" s="21" t="n">
        <f aca="false">K$5*4_Normalizacion!K564</f>
        <v>3.90133374367575E-005</v>
      </c>
      <c r="L566" s="21" t="n">
        <f aca="false">L$5*4_Normalizacion!L564</f>
        <v>0.00112059491874705</v>
      </c>
      <c r="M566" s="21" t="n">
        <f aca="false">M$5*4_Normalizacion!M564</f>
        <v>0.000826234875930515</v>
      </c>
      <c r="N566" s="21" t="n">
        <f aca="false">N$5*4_Normalizacion!N564</f>
        <v>0.00607918426103344</v>
      </c>
      <c r="O566" s="21" t="n">
        <f aca="false">O$5*4_Normalizacion!O564</f>
        <v>0.00200587264654955</v>
      </c>
      <c r="P566" s="21" t="n">
        <f aca="false">P$5*4_Normalizacion!P564</f>
        <v>0.00271682439873943</v>
      </c>
      <c r="Q566" s="21" t="n">
        <f aca="false">Q$5*4_Normalizacion!Q564</f>
        <v>0.00285926571798898</v>
      </c>
    </row>
    <row r="567" customFormat="false" ht="15" hidden="false" customHeight="false" outlineLevel="0" collapsed="false">
      <c r="A567" s="15" t="n">
        <f aca="false">4_Normalizacion!A565</f>
        <v>560</v>
      </c>
      <c r="B567" s="16" t="n">
        <f aca="false">4_Normalizacion!B565</f>
        <v>56.165</v>
      </c>
      <c r="C567" s="21" t="n">
        <f aca="false">C$5*4_Normalizacion!C565</f>
        <v>0.00169192805394512</v>
      </c>
      <c r="D567" s="21" t="n">
        <f aca="false">D$5*4_Normalizacion!D565</f>
        <v>0.00020543122737585</v>
      </c>
      <c r="E567" s="21" t="n">
        <f aca="false">E$5*4_Normalizacion!E565</f>
        <v>0.00185693905364827</v>
      </c>
      <c r="F567" s="21" t="n">
        <f aca="false">F$5*4_Normalizacion!F565</f>
        <v>0.00161403739408304</v>
      </c>
      <c r="G567" s="21" t="n">
        <f aca="false">G$5*4_Normalizacion!G565</f>
        <v>0.000280339284607229</v>
      </c>
      <c r="H567" s="21" t="n">
        <f aca="false">H$5*4_Normalizacion!H565</f>
        <v>0.00169754589383076</v>
      </c>
      <c r="I567" s="21" t="n">
        <f aca="false">I$5*4_Normalizacion!I565</f>
        <v>0.00281086825420146</v>
      </c>
      <c r="J567" s="21" t="n">
        <f aca="false">J$5*4_Normalizacion!J565</f>
        <v>0.000255567041403239</v>
      </c>
      <c r="K567" s="21" t="n">
        <f aca="false">K$5*4_Normalizacion!K565</f>
        <v>3.90133374367575E-005</v>
      </c>
      <c r="L567" s="21" t="n">
        <f aca="false">L$5*4_Normalizacion!L565</f>
        <v>0.00116170846833866</v>
      </c>
      <c r="M567" s="21" t="n">
        <f aca="false">M$5*4_Normalizacion!M565</f>
        <v>0.000826234875930515</v>
      </c>
      <c r="N567" s="21" t="n">
        <f aca="false">N$5*4_Normalizacion!N565</f>
        <v>0.00607918426103344</v>
      </c>
      <c r="O567" s="21" t="n">
        <f aca="false">O$5*4_Normalizacion!O565</f>
        <v>0.00200587264654955</v>
      </c>
      <c r="P567" s="21" t="n">
        <f aca="false">P$5*4_Normalizacion!P565</f>
        <v>0.00271682439873943</v>
      </c>
      <c r="Q567" s="21" t="n">
        <f aca="false">Q$5*4_Normalizacion!Q565</f>
        <v>0.00285926571798898</v>
      </c>
    </row>
    <row r="568" customFormat="false" ht="15" hidden="false" customHeight="false" outlineLevel="0" collapsed="false">
      <c r="A568" s="15" t="n">
        <f aca="false">4_Normalizacion!A566</f>
        <v>561</v>
      </c>
      <c r="B568" s="16" t="n">
        <f aca="false">4_Normalizacion!B566</f>
        <v>56.264</v>
      </c>
      <c r="C568" s="21" t="n">
        <f aca="false">C$5*4_Normalizacion!C566</f>
        <v>0.00169192805394512</v>
      </c>
      <c r="D568" s="21" t="n">
        <f aca="false">D$5*4_Normalizacion!D566</f>
        <v>0.00020543122737585</v>
      </c>
      <c r="E568" s="21" t="n">
        <f aca="false">E$5*4_Normalizacion!E566</f>
        <v>0.00185693905364827</v>
      </c>
      <c r="F568" s="21" t="n">
        <f aca="false">F$5*4_Normalizacion!F566</f>
        <v>0.00121052804556228</v>
      </c>
      <c r="G568" s="21" t="n">
        <f aca="false">G$5*4_Normalizacion!G566</f>
        <v>0.000280339284607229</v>
      </c>
      <c r="H568" s="21" t="n">
        <f aca="false">H$5*4_Normalizacion!H566</f>
        <v>0.00169754589383076</v>
      </c>
      <c r="I568" s="21" t="n">
        <f aca="false">I$5*4_Normalizacion!I566</f>
        <v>0.00281086825420146</v>
      </c>
      <c r="J568" s="21" t="n">
        <f aca="false">J$5*4_Normalizacion!J566</f>
        <v>0.000255567041403239</v>
      </c>
      <c r="K568" s="21" t="n">
        <f aca="false">K$5*4_Normalizacion!K566</f>
        <v>3.90133374367575E-005</v>
      </c>
      <c r="L568" s="21" t="n">
        <f aca="false">L$5*4_Normalizacion!L566</f>
        <v>0.00117173616336101</v>
      </c>
      <c r="M568" s="21" t="n">
        <f aca="false">M$5*4_Normalizacion!M566</f>
        <v>0.000826234875930515</v>
      </c>
      <c r="N568" s="21" t="n">
        <f aca="false">N$5*4_Normalizacion!N566</f>
        <v>0.00607918426103344</v>
      </c>
      <c r="O568" s="21" t="n">
        <f aca="false">O$5*4_Normalizacion!O566</f>
        <v>0.00200587264654955</v>
      </c>
      <c r="P568" s="21" t="n">
        <f aca="false">P$5*4_Normalizacion!P566</f>
        <v>0.00271682439873943</v>
      </c>
      <c r="Q568" s="21" t="n">
        <f aca="false">Q$5*4_Normalizacion!Q566</f>
        <v>0.00285926571798898</v>
      </c>
    </row>
    <row r="569" customFormat="false" ht="15" hidden="false" customHeight="false" outlineLevel="0" collapsed="false">
      <c r="A569" s="15" t="n">
        <f aca="false">4_Normalizacion!A567</f>
        <v>562</v>
      </c>
      <c r="B569" s="16" t="n">
        <f aca="false">4_Normalizacion!B567</f>
        <v>56.363</v>
      </c>
      <c r="C569" s="21" t="n">
        <f aca="false">C$5*4_Normalizacion!C567</f>
        <v>0.00169192805394512</v>
      </c>
      <c r="D569" s="21" t="n">
        <f aca="false">D$5*4_Normalizacion!D567</f>
        <v>0.00020543122737585</v>
      </c>
      <c r="E569" s="21" t="n">
        <f aca="false">E$5*4_Normalizacion!E567</f>
        <v>0.00185693905364827</v>
      </c>
      <c r="F569" s="21" t="n">
        <f aca="false">F$5*4_Normalizacion!F567</f>
        <v>0.00121052804556228</v>
      </c>
      <c r="G569" s="21" t="n">
        <f aca="false">G$5*4_Normalizacion!G567</f>
        <v>0.000280339284607229</v>
      </c>
      <c r="H569" s="21" t="n">
        <f aca="false">H$5*4_Normalizacion!H567</f>
        <v>0.00169754589383076</v>
      </c>
      <c r="I569" s="21" t="n">
        <f aca="false">I$5*4_Normalizacion!I567</f>
        <v>0.00562173650840292</v>
      </c>
      <c r="J569" s="21" t="n">
        <f aca="false">J$5*4_Normalizacion!J567</f>
        <v>0.000255567041403239</v>
      </c>
      <c r="K569" s="21" t="n">
        <f aca="false">K$5*4_Normalizacion!K567</f>
        <v>3.90133374367575E-005</v>
      </c>
      <c r="L569" s="21" t="n">
        <f aca="false">L$5*4_Normalizacion!L567</f>
        <v>0.00119429847716128</v>
      </c>
      <c r="M569" s="21" t="n">
        <f aca="false">M$5*4_Normalizacion!M567</f>
        <v>0.000826234875930515</v>
      </c>
      <c r="N569" s="21" t="n">
        <f aca="false">N$5*4_Normalizacion!N567</f>
        <v>0.00607918426103344</v>
      </c>
      <c r="O569" s="21" t="n">
        <f aca="false">O$5*4_Normalizacion!O567</f>
        <v>0.00200587264654955</v>
      </c>
      <c r="P569" s="21" t="n">
        <f aca="false">P$5*4_Normalizacion!P567</f>
        <v>0.00271682439873943</v>
      </c>
      <c r="Q569" s="21" t="n">
        <f aca="false">Q$5*4_Normalizacion!Q567</f>
        <v>0.00285926571798898</v>
      </c>
    </row>
    <row r="570" customFormat="false" ht="15" hidden="false" customHeight="false" outlineLevel="0" collapsed="false">
      <c r="A570" s="15" t="n">
        <f aca="false">4_Normalizacion!A568</f>
        <v>563</v>
      </c>
      <c r="B570" s="16" t="n">
        <f aca="false">4_Normalizacion!B568</f>
        <v>56.462</v>
      </c>
      <c r="C570" s="21" t="n">
        <f aca="false">C$5*4_Normalizacion!C568</f>
        <v>0.00169192805394512</v>
      </c>
      <c r="D570" s="21" t="n">
        <f aca="false">D$5*4_Normalizacion!D568</f>
        <v>0.00020543122737585</v>
      </c>
      <c r="E570" s="21" t="n">
        <f aca="false">E$5*4_Normalizacion!E568</f>
        <v>0.00185693905364827</v>
      </c>
      <c r="F570" s="21" t="n">
        <f aca="false">F$5*4_Normalizacion!F568</f>
        <v>0.00121052804556228</v>
      </c>
      <c r="G570" s="21" t="n">
        <f aca="false">G$5*4_Normalizacion!G568</f>
        <v>0.000280339284607229</v>
      </c>
      <c r="H570" s="21" t="n">
        <f aca="false">H$5*4_Normalizacion!H568</f>
        <v>0.00169754589383076</v>
      </c>
      <c r="I570" s="21" t="n">
        <f aca="false">I$5*4_Normalizacion!I568</f>
        <v>0.00562173650840292</v>
      </c>
      <c r="J570" s="21" t="n">
        <f aca="false">J$5*4_Normalizacion!J568</f>
        <v>0.000255567041403239</v>
      </c>
      <c r="K570" s="21" t="n">
        <f aca="false">K$5*4_Normalizacion!K568</f>
        <v>3.90133374367575E-005</v>
      </c>
      <c r="L570" s="21" t="n">
        <f aca="false">L$5*4_Normalizacion!L568</f>
        <v>0.00120984140444592</v>
      </c>
      <c r="M570" s="21" t="n">
        <f aca="false">M$5*4_Normalizacion!M568</f>
        <v>0.000826234875930515</v>
      </c>
      <c r="N570" s="21" t="n">
        <f aca="false">N$5*4_Normalizacion!N568</f>
        <v>0.00607918426103344</v>
      </c>
      <c r="O570" s="21" t="n">
        <f aca="false">O$5*4_Normalizacion!O568</f>
        <v>0.00200587264654955</v>
      </c>
      <c r="P570" s="21" t="n">
        <f aca="false">P$5*4_Normalizacion!P568</f>
        <v>0.00271682439873943</v>
      </c>
      <c r="Q570" s="21" t="n">
        <f aca="false">Q$5*4_Normalizacion!Q568</f>
        <v>0.00285926571798898</v>
      </c>
    </row>
    <row r="571" customFormat="false" ht="15" hidden="false" customHeight="false" outlineLevel="0" collapsed="false">
      <c r="A571" s="15" t="n">
        <f aca="false">4_Normalizacion!A569</f>
        <v>564</v>
      </c>
      <c r="B571" s="16" t="n">
        <f aca="false">4_Normalizacion!B569</f>
        <v>56.561</v>
      </c>
      <c r="C571" s="21" t="n">
        <f aca="false">C$5*4_Normalizacion!C569</f>
        <v>0.00169192805394512</v>
      </c>
      <c r="D571" s="21" t="n">
        <f aca="false">D$5*4_Normalizacion!D569</f>
        <v>0.00020543122737585</v>
      </c>
      <c r="E571" s="21" t="n">
        <f aca="false">E$5*4_Normalizacion!E569</f>
        <v>0.00185693905364827</v>
      </c>
      <c r="F571" s="21" t="n">
        <f aca="false">F$5*4_Normalizacion!F569</f>
        <v>0.00161403739408304</v>
      </c>
      <c r="G571" s="21" t="n">
        <f aca="false">G$5*4_Normalizacion!G569</f>
        <v>0.000280339284607229</v>
      </c>
      <c r="H571" s="21" t="n">
        <f aca="false">H$5*4_Normalizacion!H569</f>
        <v>0.00169754589383076</v>
      </c>
      <c r="I571" s="21" t="n">
        <f aca="false">I$5*4_Normalizacion!I569</f>
        <v>0.00562173650840292</v>
      </c>
      <c r="J571" s="21" t="n">
        <f aca="false">J$5*4_Normalizacion!J569</f>
        <v>0.000255567041403239</v>
      </c>
      <c r="K571" s="21" t="n">
        <f aca="false">K$5*4_Normalizacion!K569</f>
        <v>3.90133374367575E-005</v>
      </c>
      <c r="L571" s="21" t="n">
        <f aca="false">L$5*4_Normalizacion!L569</f>
        <v>0.00123240371824619</v>
      </c>
      <c r="M571" s="21" t="n">
        <f aca="false">M$5*4_Normalizacion!M569</f>
        <v>0.000826234875930515</v>
      </c>
      <c r="N571" s="21" t="n">
        <f aca="false">N$5*4_Normalizacion!N569</f>
        <v>0.00607918426103344</v>
      </c>
      <c r="O571" s="21" t="n">
        <f aca="false">O$5*4_Normalizacion!O569</f>
        <v>0.00200587264654955</v>
      </c>
      <c r="P571" s="21" t="n">
        <f aca="false">P$5*4_Normalizacion!P569</f>
        <v>0.00271682439873943</v>
      </c>
      <c r="Q571" s="21" t="n">
        <f aca="false">Q$5*4_Normalizacion!Q569</f>
        <v>0.00285926571798898</v>
      </c>
    </row>
    <row r="572" customFormat="false" ht="15" hidden="false" customHeight="false" outlineLevel="0" collapsed="false">
      <c r="A572" s="15" t="n">
        <f aca="false">4_Normalizacion!A570</f>
        <v>565</v>
      </c>
      <c r="B572" s="16" t="n">
        <f aca="false">4_Normalizacion!B570</f>
        <v>56.66</v>
      </c>
      <c r="C572" s="21" t="n">
        <f aca="false">C$5*4_Normalizacion!C570</f>
        <v>0.00169192805394512</v>
      </c>
      <c r="D572" s="21" t="n">
        <f aca="false">D$5*4_Normalizacion!D570</f>
        <v>0.00020543122737585</v>
      </c>
      <c r="E572" s="21" t="n">
        <f aca="false">E$5*4_Normalizacion!E570</f>
        <v>0.00185693905364827</v>
      </c>
      <c r="F572" s="21" t="n">
        <f aca="false">F$5*4_Normalizacion!F570</f>
        <v>0.00121052804556228</v>
      </c>
      <c r="G572" s="21" t="n">
        <f aca="false">G$5*4_Normalizacion!G570</f>
        <v>0.000280339284607229</v>
      </c>
      <c r="H572" s="21" t="n">
        <f aca="false">H$5*4_Normalizacion!H570</f>
        <v>0.00169754589383076</v>
      </c>
      <c r="I572" s="21" t="n">
        <f aca="false">I$5*4_Normalizacion!I570</f>
        <v>0.00562173650840292</v>
      </c>
      <c r="J572" s="21" t="n">
        <f aca="false">J$5*4_Normalizacion!J570</f>
        <v>0.000255567041403239</v>
      </c>
      <c r="K572" s="21" t="n">
        <f aca="false">K$5*4_Normalizacion!K570</f>
        <v>3.90133374367575E-005</v>
      </c>
      <c r="L572" s="21" t="n">
        <f aca="false">L$5*4_Normalizacion!L570</f>
        <v>0.00122137325372161</v>
      </c>
      <c r="M572" s="21" t="n">
        <f aca="false">M$5*4_Normalizacion!M570</f>
        <v>0.000826234875930515</v>
      </c>
      <c r="N572" s="21" t="n">
        <f aca="false">N$5*4_Normalizacion!N570</f>
        <v>0.00607918426103344</v>
      </c>
      <c r="O572" s="21" t="n">
        <f aca="false">O$5*4_Normalizacion!O570</f>
        <v>0.00200587264654955</v>
      </c>
      <c r="P572" s="21" t="n">
        <f aca="false">P$5*4_Normalizacion!P570</f>
        <v>0.00271682439873943</v>
      </c>
      <c r="Q572" s="21" t="n">
        <f aca="false">Q$5*4_Normalizacion!Q570</f>
        <v>0.00285926571798898</v>
      </c>
    </row>
    <row r="573" customFormat="false" ht="15" hidden="false" customHeight="false" outlineLevel="0" collapsed="false">
      <c r="A573" s="15" t="n">
        <f aca="false">4_Normalizacion!A571</f>
        <v>566</v>
      </c>
      <c r="B573" s="16" t="n">
        <f aca="false">4_Normalizacion!B571</f>
        <v>56.759</v>
      </c>
      <c r="C573" s="21" t="n">
        <f aca="false">C$5*4_Normalizacion!C571</f>
        <v>0.00169192805394512</v>
      </c>
      <c r="D573" s="21" t="n">
        <f aca="false">D$5*4_Normalizacion!D571</f>
        <v>0.00020543122737585</v>
      </c>
      <c r="E573" s="21" t="n">
        <f aca="false">E$5*4_Normalizacion!E571</f>
        <v>0.00185693905364827</v>
      </c>
      <c r="F573" s="21" t="n">
        <f aca="false">F$5*4_Normalizacion!F571</f>
        <v>0.00121052804556228</v>
      </c>
      <c r="G573" s="21" t="n">
        <f aca="false">G$5*4_Normalizacion!G571</f>
        <v>0.000280339284607229</v>
      </c>
      <c r="H573" s="21" t="n">
        <f aca="false">H$5*4_Normalizacion!H571</f>
        <v>0.00169754589383076</v>
      </c>
      <c r="I573" s="21" t="n">
        <f aca="false">I$5*4_Normalizacion!I571</f>
        <v>0.00562173650840292</v>
      </c>
      <c r="J573" s="21" t="n">
        <f aca="false">J$5*4_Normalizacion!J571</f>
        <v>0.000255567041403239</v>
      </c>
      <c r="K573" s="21" t="n">
        <f aca="false">K$5*4_Normalizacion!K571</f>
        <v>3.90133374367575E-005</v>
      </c>
      <c r="L573" s="21" t="n">
        <f aca="false">L$5*4_Normalizacion!L571</f>
        <v>0.00123390787249954</v>
      </c>
      <c r="M573" s="21" t="n">
        <f aca="false">M$5*4_Normalizacion!M571</f>
        <v>0.000826234875930515</v>
      </c>
      <c r="N573" s="21" t="n">
        <f aca="false">N$5*4_Normalizacion!N571</f>
        <v>0.00607918426103344</v>
      </c>
      <c r="O573" s="21" t="n">
        <f aca="false">O$5*4_Normalizacion!O571</f>
        <v>0.00200587264654955</v>
      </c>
      <c r="P573" s="21" t="n">
        <f aca="false">P$5*4_Normalizacion!P571</f>
        <v>0.00271682439873943</v>
      </c>
      <c r="Q573" s="21" t="n">
        <f aca="false">Q$5*4_Normalizacion!Q571</f>
        <v>0.00285926571798898</v>
      </c>
    </row>
    <row r="574" customFormat="false" ht="15" hidden="false" customHeight="false" outlineLevel="0" collapsed="false">
      <c r="A574" s="15" t="n">
        <f aca="false">4_Normalizacion!A572</f>
        <v>567</v>
      </c>
      <c r="B574" s="16" t="n">
        <f aca="false">4_Normalizacion!B572</f>
        <v>56.858</v>
      </c>
      <c r="C574" s="21" t="n">
        <f aca="false">C$5*4_Normalizacion!C572</f>
        <v>0.00169192805394512</v>
      </c>
      <c r="D574" s="21" t="n">
        <f aca="false">D$5*4_Normalizacion!D572</f>
        <v>0.00020543122737585</v>
      </c>
      <c r="E574" s="21" t="n">
        <f aca="false">E$5*4_Normalizacion!E572</f>
        <v>0.00185693905364827</v>
      </c>
      <c r="F574" s="21" t="n">
        <f aca="false">F$5*4_Normalizacion!F572</f>
        <v>0.00161403739408304</v>
      </c>
      <c r="G574" s="21" t="n">
        <f aca="false">G$5*4_Normalizacion!G572</f>
        <v>0.000280339284607229</v>
      </c>
      <c r="H574" s="21" t="n">
        <f aca="false">H$5*4_Normalizacion!H572</f>
        <v>0.00169754589383076</v>
      </c>
      <c r="I574" s="21" t="n">
        <f aca="false">I$5*4_Normalizacion!I572</f>
        <v>0.00843260476260438</v>
      </c>
      <c r="J574" s="21" t="n">
        <f aca="false">J$5*4_Normalizacion!J572</f>
        <v>0.000255567041403239</v>
      </c>
      <c r="K574" s="21" t="n">
        <f aca="false">K$5*4_Normalizacion!K572</f>
        <v>3.90133374367575E-005</v>
      </c>
      <c r="L574" s="21" t="n">
        <f aca="false">L$5*4_Normalizacion!L572</f>
        <v>0.00126248680331323</v>
      </c>
      <c r="M574" s="21" t="n">
        <f aca="false">M$5*4_Normalizacion!M572</f>
        <v>0.000826234875930515</v>
      </c>
      <c r="N574" s="21" t="n">
        <f aca="false">N$5*4_Normalizacion!N572</f>
        <v>0.00607918426103344</v>
      </c>
      <c r="O574" s="21" t="n">
        <f aca="false">O$5*4_Normalizacion!O572</f>
        <v>0.00200587264654955</v>
      </c>
      <c r="P574" s="21" t="n">
        <f aca="false">P$5*4_Normalizacion!P572</f>
        <v>0.00271682439873943</v>
      </c>
      <c r="Q574" s="21" t="n">
        <f aca="false">Q$5*4_Normalizacion!Q572</f>
        <v>0.00285926571798898</v>
      </c>
    </row>
    <row r="575" customFormat="false" ht="15" hidden="false" customHeight="false" outlineLevel="0" collapsed="false">
      <c r="A575" s="15" t="n">
        <f aca="false">4_Normalizacion!A573</f>
        <v>568</v>
      </c>
      <c r="B575" s="16" t="n">
        <f aca="false">4_Normalizacion!B573</f>
        <v>56.957</v>
      </c>
      <c r="C575" s="21" t="n">
        <f aca="false">C$5*4_Normalizacion!C573</f>
        <v>0.00169192805394512</v>
      </c>
      <c r="D575" s="21" t="n">
        <f aca="false">D$5*4_Normalizacion!D573</f>
        <v>0.00020543122737585</v>
      </c>
      <c r="E575" s="21" t="n">
        <f aca="false">E$5*4_Normalizacion!E573</f>
        <v>0.0013927042902362</v>
      </c>
      <c r="F575" s="21" t="n">
        <f aca="false">F$5*4_Normalizacion!F573</f>
        <v>0.00121052804556228</v>
      </c>
      <c r="G575" s="21" t="n">
        <f aca="false">G$5*4_Normalizacion!G573</f>
        <v>0.000280339284607229</v>
      </c>
      <c r="H575" s="21" t="n">
        <f aca="false">H$5*4_Normalizacion!H573</f>
        <v>0.00169754589383076</v>
      </c>
      <c r="I575" s="21" t="n">
        <f aca="false">I$5*4_Normalizacion!I573</f>
        <v>0.00843260476260438</v>
      </c>
      <c r="J575" s="21" t="n">
        <f aca="false">J$5*4_Normalizacion!J573</f>
        <v>0.000255567041403239</v>
      </c>
      <c r="K575" s="21" t="n">
        <f aca="false">K$5*4_Normalizacion!K573</f>
        <v>3.90133374367575E-005</v>
      </c>
      <c r="L575" s="21" t="n">
        <f aca="false">L$5*4_Normalizacion!L573</f>
        <v>0.00127251449833557</v>
      </c>
      <c r="M575" s="21" t="n">
        <f aca="false">M$5*4_Normalizacion!M573</f>
        <v>0.000826234875930515</v>
      </c>
      <c r="N575" s="21" t="n">
        <f aca="false">N$5*4_Normalizacion!N573</f>
        <v>0.00607918426103344</v>
      </c>
      <c r="O575" s="21" t="n">
        <f aca="false">O$5*4_Normalizacion!O573</f>
        <v>0.00200587264654955</v>
      </c>
      <c r="P575" s="21" t="n">
        <f aca="false">P$5*4_Normalizacion!P573</f>
        <v>0.00271682439873943</v>
      </c>
      <c r="Q575" s="21" t="n">
        <f aca="false">Q$5*4_Normalizacion!Q573</f>
        <v>0.00285926571798898</v>
      </c>
    </row>
    <row r="576" customFormat="false" ht="15" hidden="false" customHeight="false" outlineLevel="0" collapsed="false">
      <c r="A576" s="15" t="n">
        <f aca="false">4_Normalizacion!A574</f>
        <v>569</v>
      </c>
      <c r="B576" s="16" t="n">
        <f aca="false">4_Normalizacion!B574</f>
        <v>57.055</v>
      </c>
      <c r="C576" s="21" t="n">
        <f aca="false">C$5*4_Normalizacion!C574</f>
        <v>0.00169192805394512</v>
      </c>
      <c r="D576" s="21" t="n">
        <f aca="false">D$5*4_Normalizacion!D574</f>
        <v>0.00020543122737585</v>
      </c>
      <c r="E576" s="21" t="n">
        <f aca="false">E$5*4_Normalizacion!E574</f>
        <v>0.00185693905364827</v>
      </c>
      <c r="F576" s="21" t="n">
        <f aca="false">F$5*4_Normalizacion!F574</f>
        <v>0.00121052804556228</v>
      </c>
      <c r="G576" s="21" t="n">
        <f aca="false">G$5*4_Normalizacion!G574</f>
        <v>0.000280339284607229</v>
      </c>
      <c r="H576" s="21" t="n">
        <f aca="false">H$5*4_Normalizacion!H574</f>
        <v>0.00169754589383076</v>
      </c>
      <c r="I576" s="21" t="n">
        <f aca="false">I$5*4_Normalizacion!I574</f>
        <v>0.00843260476260438</v>
      </c>
      <c r="J576" s="21" t="n">
        <f aca="false">J$5*4_Normalizacion!J574</f>
        <v>0.000255567041403239</v>
      </c>
      <c r="K576" s="21" t="n">
        <f aca="false">K$5*4_Normalizacion!K574</f>
        <v>3.90133374367575E-005</v>
      </c>
      <c r="L576" s="21" t="n">
        <f aca="false">L$5*4_Normalizacion!L574</f>
        <v>0.00115819877508084</v>
      </c>
      <c r="M576" s="21" t="n">
        <f aca="false">M$5*4_Normalizacion!M574</f>
        <v>0.000826234875930515</v>
      </c>
      <c r="N576" s="21" t="n">
        <f aca="false">N$5*4_Normalizacion!N574</f>
        <v>0.00607918426103344</v>
      </c>
      <c r="O576" s="21" t="n">
        <f aca="false">O$5*4_Normalizacion!O574</f>
        <v>0.00200587264654955</v>
      </c>
      <c r="P576" s="21" t="n">
        <f aca="false">P$5*4_Normalizacion!P574</f>
        <v>0.00271682439873943</v>
      </c>
      <c r="Q576" s="21" t="n">
        <f aca="false">Q$5*4_Normalizacion!Q574</f>
        <v>0.00285926571798898</v>
      </c>
    </row>
    <row r="577" customFormat="false" ht="15" hidden="false" customHeight="false" outlineLevel="0" collapsed="false">
      <c r="A577" s="15" t="n">
        <f aca="false">4_Normalizacion!A575</f>
        <v>570</v>
      </c>
      <c r="B577" s="16" t="n">
        <f aca="false">4_Normalizacion!B575</f>
        <v>57.154</v>
      </c>
      <c r="C577" s="21" t="n">
        <f aca="false">C$5*4_Normalizacion!C575</f>
        <v>0.00169192805394512</v>
      </c>
      <c r="D577" s="21" t="n">
        <f aca="false">D$5*4_Normalizacion!D575</f>
        <v>0.00020543122737585</v>
      </c>
      <c r="E577" s="21" t="n">
        <f aca="false">E$5*4_Normalizacion!E575</f>
        <v>0.0013927042902362</v>
      </c>
      <c r="F577" s="21" t="n">
        <f aca="false">F$5*4_Normalizacion!F575</f>
        <v>0.00121052804556228</v>
      </c>
      <c r="G577" s="21" t="n">
        <f aca="false">G$5*4_Normalizacion!G575</f>
        <v>0.000280339284607229</v>
      </c>
      <c r="H577" s="21" t="n">
        <f aca="false">H$5*4_Normalizacion!H575</f>
        <v>0.00169754589383076</v>
      </c>
      <c r="I577" s="21" t="n">
        <f aca="false">I$5*4_Normalizacion!I575</f>
        <v>0.00843260476260438</v>
      </c>
      <c r="J577" s="21" t="n">
        <f aca="false">J$5*4_Normalizacion!J575</f>
        <v>0.000255567041403239</v>
      </c>
      <c r="K577" s="21" t="n">
        <f aca="false">K$5*4_Normalizacion!K575</f>
        <v>3.90133374367575E-005</v>
      </c>
      <c r="L577" s="21" t="n">
        <f aca="false">L$5*4_Normalizacion!L575</f>
        <v>0.00100427365648785</v>
      </c>
      <c r="M577" s="21" t="n">
        <f aca="false">M$5*4_Normalizacion!M575</f>
        <v>0.000826234875930515</v>
      </c>
      <c r="N577" s="21" t="n">
        <f aca="false">N$5*4_Normalizacion!N575</f>
        <v>0.00607918426103344</v>
      </c>
      <c r="O577" s="21" t="n">
        <f aca="false">O$5*4_Normalizacion!O575</f>
        <v>0.00200587264654955</v>
      </c>
      <c r="P577" s="21" t="n">
        <f aca="false">P$5*4_Normalizacion!P575</f>
        <v>0.00271682439873943</v>
      </c>
      <c r="Q577" s="21" t="n">
        <f aca="false">Q$5*4_Normalizacion!Q575</f>
        <v>0.00285926571798898</v>
      </c>
    </row>
    <row r="578" customFormat="false" ht="15" hidden="false" customHeight="false" outlineLevel="0" collapsed="false">
      <c r="A578" s="15" t="n">
        <f aca="false">4_Normalizacion!A576</f>
        <v>571</v>
      </c>
      <c r="B578" s="16" t="n">
        <f aca="false">4_Normalizacion!B576</f>
        <v>57.253</v>
      </c>
      <c r="C578" s="21" t="n">
        <f aca="false">C$5*4_Normalizacion!C576</f>
        <v>0.00169192805394512</v>
      </c>
      <c r="D578" s="21" t="n">
        <f aca="false">D$5*4_Normalizacion!D576</f>
        <v>0.00020543122737585</v>
      </c>
      <c r="E578" s="21" t="n">
        <f aca="false">E$5*4_Normalizacion!E576</f>
        <v>0.0013927042902362</v>
      </c>
      <c r="F578" s="21" t="n">
        <f aca="false">F$5*4_Normalizacion!F576</f>
        <v>0.00121052804556228</v>
      </c>
      <c r="G578" s="21" t="n">
        <f aca="false">G$5*4_Normalizacion!G576</f>
        <v>0.000280339284607229</v>
      </c>
      <c r="H578" s="21" t="n">
        <f aca="false">H$5*4_Normalizacion!H576</f>
        <v>0.00169754589383076</v>
      </c>
      <c r="I578" s="21" t="n">
        <f aca="false">I$5*4_Normalizacion!I576</f>
        <v>0.00562173650840292</v>
      </c>
      <c r="J578" s="21" t="n">
        <f aca="false">J$5*4_Normalizacion!J576</f>
        <v>0.000255567041403239</v>
      </c>
      <c r="K578" s="21" t="n">
        <f aca="false">K$5*4_Normalizacion!K576</f>
        <v>3.90133374367575E-005</v>
      </c>
      <c r="L578" s="21" t="n">
        <f aca="false">L$5*4_Normalizacion!L576</f>
        <v>0.000886949624726409</v>
      </c>
      <c r="M578" s="21" t="n">
        <f aca="false">M$5*4_Normalizacion!M576</f>
        <v>0.000812395441758679</v>
      </c>
      <c r="N578" s="21" t="n">
        <f aca="false">N$5*4_Normalizacion!N576</f>
        <v>0.00607918426103344</v>
      </c>
      <c r="O578" s="21" t="n">
        <f aca="false">O$5*4_Normalizacion!O576</f>
        <v>0.00200587264654955</v>
      </c>
      <c r="P578" s="21" t="n">
        <f aca="false">P$5*4_Normalizacion!P576</f>
        <v>0.00271682439873943</v>
      </c>
      <c r="Q578" s="21" t="n">
        <f aca="false">Q$5*4_Normalizacion!Q576</f>
        <v>0.00285926571798898</v>
      </c>
    </row>
    <row r="579" customFormat="false" ht="15" hidden="false" customHeight="false" outlineLevel="0" collapsed="false">
      <c r="A579" s="15" t="n">
        <f aca="false">4_Normalizacion!A577</f>
        <v>572</v>
      </c>
      <c r="B579" s="16" t="n">
        <f aca="false">4_Normalizacion!B577</f>
        <v>57.352</v>
      </c>
      <c r="C579" s="21" t="n">
        <f aca="false">C$5*4_Normalizacion!C577</f>
        <v>0.00169192805394512</v>
      </c>
      <c r="D579" s="21" t="n">
        <f aca="false">D$5*4_Normalizacion!D577</f>
        <v>0.00020543122737585</v>
      </c>
      <c r="E579" s="21" t="n">
        <f aca="false">E$5*4_Normalizacion!E577</f>
        <v>0.00185693905364827</v>
      </c>
      <c r="F579" s="21" t="n">
        <f aca="false">F$5*4_Normalizacion!F577</f>
        <v>0.000807018697041519</v>
      </c>
      <c r="G579" s="21" t="n">
        <f aca="false">G$5*4_Normalizacion!G577</f>
        <v>0.000280339284607229</v>
      </c>
      <c r="H579" s="21" t="n">
        <f aca="false">H$5*4_Normalizacion!H577</f>
        <v>0.00169754589383076</v>
      </c>
      <c r="I579" s="21" t="n">
        <f aca="false">I$5*4_Normalizacion!I577</f>
        <v>0.00281086825420146</v>
      </c>
      <c r="J579" s="21" t="n">
        <f aca="false">J$5*4_Normalizacion!J577</f>
        <v>0.000255567041403239</v>
      </c>
      <c r="K579" s="21" t="n">
        <f aca="false">K$5*4_Normalizacion!K577</f>
        <v>3.90133374367575E-005</v>
      </c>
      <c r="L579" s="21" t="n">
        <f aca="false">L$5*4_Normalizacion!L577</f>
        <v>0.000914525786037858</v>
      </c>
      <c r="M579" s="21" t="n">
        <f aca="false">M$5*4_Normalizacion!M577</f>
        <v>0.000782650986225181</v>
      </c>
      <c r="N579" s="21" t="n">
        <f aca="false">N$5*4_Normalizacion!N577</f>
        <v>0.00607918426103344</v>
      </c>
      <c r="O579" s="21" t="n">
        <f aca="false">O$5*4_Normalizacion!O577</f>
        <v>0.00200587264654955</v>
      </c>
      <c r="P579" s="21" t="n">
        <f aca="false">P$5*4_Normalizacion!P577</f>
        <v>0.00271682439873943</v>
      </c>
      <c r="Q579" s="21" t="n">
        <f aca="false">Q$5*4_Normalizacion!Q577</f>
        <v>0.00285926571798898</v>
      </c>
    </row>
    <row r="580" customFormat="false" ht="15" hidden="false" customHeight="false" outlineLevel="0" collapsed="false">
      <c r="A580" s="15" t="n">
        <f aca="false">4_Normalizacion!A578</f>
        <v>573</v>
      </c>
      <c r="B580" s="16" t="n">
        <f aca="false">4_Normalizacion!B578</f>
        <v>57.451</v>
      </c>
      <c r="C580" s="21" t="n">
        <f aca="false">C$5*4_Normalizacion!C578</f>
        <v>0.00126894604045884</v>
      </c>
      <c r="D580" s="21" t="n">
        <f aca="false">D$5*4_Normalizacion!D578</f>
        <v>0.00020543122737585</v>
      </c>
      <c r="E580" s="21" t="n">
        <f aca="false">E$5*4_Normalizacion!E578</f>
        <v>0.00185693905364827</v>
      </c>
      <c r="F580" s="21" t="n">
        <f aca="false">F$5*4_Normalizacion!F578</f>
        <v>0.000807018697041519</v>
      </c>
      <c r="G580" s="21" t="n">
        <f aca="false">G$5*4_Normalizacion!G578</f>
        <v>0.000280339284607229</v>
      </c>
      <c r="H580" s="21" t="n">
        <f aca="false">H$5*4_Normalizacion!H578</f>
        <v>0.00169754589383076</v>
      </c>
      <c r="I580" s="21" t="n">
        <f aca="false">I$5*4_Normalizacion!I578</f>
        <v>0.00281086825420146</v>
      </c>
      <c r="J580" s="21" t="n">
        <f aca="false">J$5*4_Normalizacion!J578</f>
        <v>0.000255567041403239</v>
      </c>
      <c r="K580" s="21" t="n">
        <f aca="false">K$5*4_Normalizacion!K578</f>
        <v>3.90133374367575E-005</v>
      </c>
      <c r="L580" s="21" t="n">
        <f aca="false">L$5*4_Normalizacion!L578</f>
        <v>0.00102483043128365</v>
      </c>
      <c r="M580" s="21" t="n">
        <f aca="false">M$5*4_Normalizacion!M578</f>
        <v>0.000753319648129647</v>
      </c>
      <c r="N580" s="21" t="n">
        <f aca="false">N$5*4_Normalizacion!N578</f>
        <v>0.00607918426103344</v>
      </c>
      <c r="O580" s="21" t="n">
        <f aca="false">O$5*4_Normalizacion!O578</f>
        <v>0.00200587264654955</v>
      </c>
      <c r="P580" s="21" t="n">
        <f aca="false">P$5*4_Normalizacion!P578</f>
        <v>0.00271682439873943</v>
      </c>
      <c r="Q580" s="21" t="n">
        <f aca="false">Q$5*4_Normalizacion!Q578</f>
        <v>0.00285926571798898</v>
      </c>
    </row>
    <row r="581" customFormat="false" ht="15" hidden="false" customHeight="false" outlineLevel="0" collapsed="false">
      <c r="A581" s="15" t="n">
        <f aca="false">4_Normalizacion!A579</f>
        <v>574</v>
      </c>
      <c r="B581" s="16" t="n">
        <f aca="false">4_Normalizacion!B579</f>
        <v>57.55</v>
      </c>
      <c r="C581" s="21" t="n">
        <f aca="false">C$5*4_Normalizacion!C579</f>
        <v>0.00126894604045884</v>
      </c>
      <c r="D581" s="21" t="n">
        <f aca="false">D$5*4_Normalizacion!D579</f>
        <v>0.00020543122737585</v>
      </c>
      <c r="E581" s="21" t="n">
        <f aca="false">E$5*4_Normalizacion!E579</f>
        <v>0.000928469526824133</v>
      </c>
      <c r="F581" s="21" t="n">
        <f aca="false">F$5*4_Normalizacion!F579</f>
        <v>0.00121052804556228</v>
      </c>
      <c r="G581" s="21" t="n">
        <f aca="false">G$5*4_Normalizacion!G579</f>
        <v>0.000280339284607229</v>
      </c>
      <c r="H581" s="21" t="n">
        <f aca="false">H$5*4_Normalizacion!H579</f>
        <v>0.00169754589383076</v>
      </c>
      <c r="I581" s="21" t="n">
        <f aca="false">I$5*4_Normalizacion!I579</f>
        <v>0.00281086825420146</v>
      </c>
      <c r="J581" s="21" t="n">
        <f aca="false">J$5*4_Normalizacion!J579</f>
        <v>0.000255567041403239</v>
      </c>
      <c r="K581" s="21" t="n">
        <f aca="false">K$5*4_Normalizacion!K579</f>
        <v>3.90133374367575E-005</v>
      </c>
      <c r="L581" s="21" t="n">
        <f aca="false">L$5*4_Normalizacion!L579</f>
        <v>0.00109803260494677</v>
      </c>
      <c r="M581" s="21" t="n">
        <f aca="false">M$5*4_Normalizacion!M579</f>
        <v>0.000733490011107315</v>
      </c>
      <c r="N581" s="21" t="n">
        <f aca="false">N$5*4_Normalizacion!N579</f>
        <v>0.0075989803262918</v>
      </c>
      <c r="O581" s="21" t="n">
        <f aca="false">O$5*4_Normalizacion!O579</f>
        <v>0.00200587264654955</v>
      </c>
      <c r="P581" s="21" t="n">
        <f aca="false">P$5*4_Normalizacion!P579</f>
        <v>0.00271682439873943</v>
      </c>
      <c r="Q581" s="21" t="n">
        <f aca="false">Q$5*4_Normalizacion!Q579</f>
        <v>0.00285926571798898</v>
      </c>
    </row>
    <row r="582" customFormat="false" ht="15" hidden="false" customHeight="false" outlineLevel="0" collapsed="false">
      <c r="A582" s="15" t="n">
        <f aca="false">4_Normalizacion!A580</f>
        <v>575</v>
      </c>
      <c r="B582" s="16" t="n">
        <f aca="false">4_Normalizacion!B580</f>
        <v>57.648</v>
      </c>
      <c r="C582" s="21" t="n">
        <f aca="false">C$5*4_Normalizacion!C580</f>
        <v>0.00126894604045884</v>
      </c>
      <c r="D582" s="21" t="n">
        <f aca="false">D$5*4_Normalizacion!D580</f>
        <v>0.00020543122737585</v>
      </c>
      <c r="E582" s="21" t="n">
        <f aca="false">E$5*4_Normalizacion!E580</f>
        <v>0.000928469526824133</v>
      </c>
      <c r="F582" s="21" t="n">
        <f aca="false">F$5*4_Normalizacion!F580</f>
        <v>0.000807018697041519</v>
      </c>
      <c r="G582" s="21" t="n">
        <f aca="false">G$5*4_Normalizacion!G580</f>
        <v>0.000280339284607229</v>
      </c>
      <c r="H582" s="21" t="n">
        <f aca="false">H$5*4_Normalizacion!H580</f>
        <v>0.00169754589383076</v>
      </c>
      <c r="I582" s="21" t="n">
        <f aca="false">I$5*4_Normalizacion!I580</f>
        <v>0.00281086825420146</v>
      </c>
      <c r="J582" s="21" t="n">
        <f aca="false">J$5*4_Normalizacion!J580</f>
        <v>0.000255567041403239</v>
      </c>
      <c r="K582" s="21" t="n">
        <f aca="false">K$5*4_Normalizacion!K580</f>
        <v>3.90133374367575E-005</v>
      </c>
      <c r="L582" s="21" t="n">
        <f aca="false">L$5*4_Normalizacion!L580</f>
        <v>0.00110906306947135</v>
      </c>
      <c r="M582" s="21" t="n">
        <f aca="false">M$5*4_Normalizacion!M580</f>
        <v>0.00072915227800868</v>
      </c>
      <c r="N582" s="21" t="n">
        <f aca="false">N$5*4_Normalizacion!N580</f>
        <v>0.0075989803262918</v>
      </c>
      <c r="O582" s="21" t="n">
        <f aca="false">O$5*4_Normalizacion!O580</f>
        <v>0.00200587264654955</v>
      </c>
      <c r="P582" s="21" t="n">
        <f aca="false">P$5*4_Normalizacion!P580</f>
        <v>0.00271682439873943</v>
      </c>
      <c r="Q582" s="21" t="n">
        <f aca="false">Q$5*4_Normalizacion!Q580</f>
        <v>0.00285926571798898</v>
      </c>
    </row>
    <row r="583" customFormat="false" ht="15" hidden="false" customHeight="false" outlineLevel="0" collapsed="false">
      <c r="A583" s="15" t="n">
        <f aca="false">4_Normalizacion!A581</f>
        <v>576</v>
      </c>
      <c r="B583" s="16" t="n">
        <f aca="false">4_Normalizacion!B581</f>
        <v>57.746</v>
      </c>
      <c r="C583" s="21" t="n">
        <f aca="false">C$5*4_Normalizacion!C581</f>
        <v>0.00126894604045884</v>
      </c>
      <c r="D583" s="21" t="n">
        <f aca="false">D$5*4_Normalizacion!D581</f>
        <v>0.00020543122737585</v>
      </c>
      <c r="E583" s="21" t="n">
        <f aca="false">E$5*4_Normalizacion!E581</f>
        <v>0.000464234763412067</v>
      </c>
      <c r="F583" s="21" t="n">
        <f aca="false">F$5*4_Normalizacion!F581</f>
        <v>0.000807018697041519</v>
      </c>
      <c r="G583" s="21" t="n">
        <f aca="false">G$5*4_Normalizacion!G581</f>
        <v>0.000280339284607229</v>
      </c>
      <c r="H583" s="21" t="n">
        <f aca="false">H$5*4_Normalizacion!H581</f>
        <v>0.00169754589383076</v>
      </c>
      <c r="I583" s="21" t="n">
        <f aca="false">I$5*4_Normalizacion!I581</f>
        <v>0.00281086825420146</v>
      </c>
      <c r="J583" s="21" t="n">
        <f aca="false">J$5*4_Normalizacion!J581</f>
        <v>0.000255567041403239</v>
      </c>
      <c r="K583" s="21" t="n">
        <f aca="false">K$5*4_Normalizacion!K581</f>
        <v>3.90133374367575E-005</v>
      </c>
      <c r="L583" s="21" t="n">
        <f aca="false">L$5*4_Normalizacion!L581</f>
        <v>0.00114014892404062</v>
      </c>
      <c r="M583" s="21" t="n">
        <f aca="false">M$5*4_Normalizacion!M581</f>
        <v>0.000718617783340566</v>
      </c>
      <c r="N583" s="21" t="n">
        <f aca="false">N$5*4_Normalizacion!N581</f>
        <v>0.0075989803262918</v>
      </c>
      <c r="O583" s="21" t="n">
        <f aca="false">O$5*4_Normalizacion!O581</f>
        <v>0.00200587264654955</v>
      </c>
      <c r="P583" s="21" t="n">
        <f aca="false">P$5*4_Normalizacion!P581</f>
        <v>0.00271682439873943</v>
      </c>
      <c r="Q583" s="21" t="n">
        <f aca="false">Q$5*4_Normalizacion!Q581</f>
        <v>0.00285926571798898</v>
      </c>
    </row>
    <row r="584" customFormat="false" ht="15" hidden="false" customHeight="false" outlineLevel="0" collapsed="false">
      <c r="A584" s="15" t="n">
        <f aca="false">4_Normalizacion!A582</f>
        <v>577</v>
      </c>
      <c r="B584" s="16" t="n">
        <f aca="false">4_Normalizacion!B582</f>
        <v>57.845</v>
      </c>
      <c r="C584" s="21" t="n">
        <f aca="false">C$5*4_Normalizacion!C582</f>
        <v>0.00126894604045884</v>
      </c>
      <c r="D584" s="21" t="n">
        <f aca="false">D$5*4_Normalizacion!D582</f>
        <v>0.00020543122737585</v>
      </c>
      <c r="E584" s="21" t="n">
        <f aca="false">E$5*4_Normalizacion!E582</f>
        <v>0.000464234763412067</v>
      </c>
      <c r="F584" s="21" t="n">
        <f aca="false">F$5*4_Normalizacion!F582</f>
        <v>0.00121052804556228</v>
      </c>
      <c r="G584" s="21" t="n">
        <f aca="false">G$5*4_Normalizacion!G582</f>
        <v>0.000280339284607229</v>
      </c>
      <c r="H584" s="21" t="n">
        <f aca="false">H$5*4_Normalizacion!H582</f>
        <v>0.00169754589383076</v>
      </c>
      <c r="I584" s="21" t="n">
        <f aca="false">I$5*4_Normalizacion!I582</f>
        <v>0.00281086825420146</v>
      </c>
      <c r="J584" s="21" t="n">
        <f aca="false">J$5*4_Normalizacion!J582</f>
        <v>0.000255567041403239</v>
      </c>
      <c r="K584" s="21" t="n">
        <f aca="false">K$5*4_Normalizacion!K582</f>
        <v>3.90133374367575E-005</v>
      </c>
      <c r="L584" s="21" t="n">
        <f aca="false">L$5*4_Normalizacion!L582</f>
        <v>0.00122037048421938</v>
      </c>
      <c r="M584" s="21" t="n">
        <f aca="false">M$5*4_Normalizacion!M582</f>
        <v>0.000723781751315132</v>
      </c>
      <c r="N584" s="21" t="n">
        <f aca="false">N$5*4_Normalizacion!N582</f>
        <v>0.0075989803262918</v>
      </c>
      <c r="O584" s="21" t="n">
        <f aca="false">O$5*4_Normalizacion!O582</f>
        <v>0.00200587264654955</v>
      </c>
      <c r="P584" s="21" t="n">
        <f aca="false">P$5*4_Normalizacion!P582</f>
        <v>0.00271682439873943</v>
      </c>
      <c r="Q584" s="21" t="n">
        <f aca="false">Q$5*4_Normalizacion!Q582</f>
        <v>0.00285926571798898</v>
      </c>
    </row>
    <row r="585" customFormat="false" ht="15" hidden="false" customHeight="false" outlineLevel="0" collapsed="false">
      <c r="A585" s="15" t="n">
        <f aca="false">4_Normalizacion!A583</f>
        <v>578</v>
      </c>
      <c r="B585" s="16" t="n">
        <f aca="false">4_Normalizacion!B583</f>
        <v>57.943</v>
      </c>
      <c r="C585" s="21" t="n">
        <f aca="false">C$5*4_Normalizacion!C583</f>
        <v>0.00126894604045884</v>
      </c>
      <c r="D585" s="21" t="n">
        <f aca="false">D$5*4_Normalizacion!D583</f>
        <v>0.00020543122737585</v>
      </c>
      <c r="E585" s="21" t="n">
        <f aca="false">E$5*4_Normalizacion!E583</f>
        <v>0.000464234763412067</v>
      </c>
      <c r="F585" s="21" t="n">
        <f aca="false">F$5*4_Normalizacion!F583</f>
        <v>0.00121052804556228</v>
      </c>
      <c r="G585" s="21" t="n">
        <f aca="false">G$5*4_Normalizacion!G583</f>
        <v>0.000280339284607229</v>
      </c>
      <c r="H585" s="21" t="n">
        <f aca="false">H$5*4_Normalizacion!H583</f>
        <v>0.00169754589383076</v>
      </c>
      <c r="I585" s="21" t="n">
        <f aca="false">I$5*4_Normalizacion!I583</f>
        <v>0.00281086825420146</v>
      </c>
      <c r="J585" s="21" t="n">
        <f aca="false">J$5*4_Normalizacion!J583</f>
        <v>0.000255567041403239</v>
      </c>
      <c r="K585" s="21" t="n">
        <f aca="false">K$5*4_Normalizacion!K583</f>
        <v>3.90133374367575E-005</v>
      </c>
      <c r="L585" s="21" t="n">
        <f aca="false">L$5*4_Normalizacion!L583</f>
        <v>0.00118176385838335</v>
      </c>
      <c r="M585" s="21" t="n">
        <f aca="false">M$5*4_Normalizacion!M583</f>
        <v>0.000709942317143295</v>
      </c>
      <c r="N585" s="21" t="n">
        <f aca="false">N$5*4_Normalizacion!N583</f>
        <v>0.0075989803262918</v>
      </c>
      <c r="O585" s="21" t="n">
        <f aca="false">O$5*4_Normalizacion!O583</f>
        <v>0.00200587264654955</v>
      </c>
      <c r="P585" s="21" t="n">
        <f aca="false">P$5*4_Normalizacion!P583</f>
        <v>0.00271682439873943</v>
      </c>
      <c r="Q585" s="21" t="n">
        <f aca="false">Q$5*4_Normalizacion!Q583</f>
        <v>0.00571853143597797</v>
      </c>
    </row>
    <row r="586" customFormat="false" ht="15" hidden="false" customHeight="false" outlineLevel="0" collapsed="false">
      <c r="A586" s="15" t="n">
        <f aca="false">4_Normalizacion!A584</f>
        <v>579</v>
      </c>
      <c r="B586" s="16" t="n">
        <f aca="false">4_Normalizacion!B584</f>
        <v>58.042</v>
      </c>
      <c r="C586" s="21" t="n">
        <f aca="false">C$5*4_Normalizacion!C584</f>
        <v>0.00126894604045884</v>
      </c>
      <c r="D586" s="21" t="n">
        <f aca="false">D$5*4_Normalizacion!D584</f>
        <v>0.00020543122737585</v>
      </c>
      <c r="E586" s="21" t="n">
        <f aca="false">E$5*4_Normalizacion!E584</f>
        <v>0.000464234763412067</v>
      </c>
      <c r="F586" s="21" t="n">
        <f aca="false">F$5*4_Normalizacion!F584</f>
        <v>0.000807018697041519</v>
      </c>
      <c r="G586" s="21" t="n">
        <f aca="false">G$5*4_Normalizacion!G584</f>
        <v>0.000280339284607229</v>
      </c>
      <c r="H586" s="21" t="n">
        <f aca="false">H$5*4_Normalizacion!H584</f>
        <v>0.00169754589383076</v>
      </c>
      <c r="I586" s="21" t="n">
        <f aca="false">I$5*4_Normalizacion!I584</f>
        <v>0.00281086825420146</v>
      </c>
      <c r="J586" s="21" t="n">
        <f aca="false">J$5*4_Normalizacion!J584</f>
        <v>0.000255567041403239</v>
      </c>
      <c r="K586" s="21" t="n">
        <f aca="false">K$5*4_Normalizacion!K584</f>
        <v>3.90133374367575E-005</v>
      </c>
      <c r="L586" s="21" t="n">
        <f aca="false">L$5*4_Normalizacion!L584</f>
        <v>0.00125446464729535</v>
      </c>
      <c r="M586" s="21" t="n">
        <f aca="false">M$5*4_Normalizacion!M584</f>
        <v>0.000712214463052104</v>
      </c>
      <c r="N586" s="21" t="n">
        <f aca="false">N$5*4_Normalizacion!N584</f>
        <v>0.0075989803262918</v>
      </c>
      <c r="O586" s="21" t="n">
        <f aca="false">O$5*4_Normalizacion!O584</f>
        <v>0.00200587264654955</v>
      </c>
      <c r="P586" s="21" t="n">
        <f aca="false">P$5*4_Normalizacion!P584</f>
        <v>0.00271682439873943</v>
      </c>
      <c r="Q586" s="21" t="n">
        <f aca="false">Q$5*4_Normalizacion!Q584</f>
        <v>0.00285926571798898</v>
      </c>
    </row>
    <row r="587" customFormat="false" ht="15" hidden="false" customHeight="false" outlineLevel="0" collapsed="false">
      <c r="A587" s="15" t="n">
        <f aca="false">4_Normalizacion!A585</f>
        <v>580</v>
      </c>
      <c r="B587" s="16" t="n">
        <f aca="false">4_Normalizacion!B585</f>
        <v>58.141</v>
      </c>
      <c r="C587" s="21" t="n">
        <f aca="false">C$5*4_Normalizacion!C585</f>
        <v>0.00126894604045884</v>
      </c>
      <c r="D587" s="21" t="n">
        <f aca="false">D$5*4_Normalizacion!D585</f>
        <v>0.00020543122737585</v>
      </c>
      <c r="E587" s="21" t="n">
        <f aca="false">E$5*4_Normalizacion!E585</f>
        <v>0.000464234763412067</v>
      </c>
      <c r="F587" s="21" t="n">
        <f aca="false">F$5*4_Normalizacion!F585</f>
        <v>0.000807018697041519</v>
      </c>
      <c r="G587" s="21" t="n">
        <f aca="false">G$5*4_Normalizacion!G585</f>
        <v>0.000280339284607229</v>
      </c>
      <c r="H587" s="21" t="n">
        <f aca="false">H$5*4_Normalizacion!H585</f>
        <v>0.00169754589383076</v>
      </c>
      <c r="I587" s="21" t="n">
        <f aca="false">I$5*4_Normalizacion!I585</f>
        <v>0.00281086825420146</v>
      </c>
      <c r="J587" s="21" t="n">
        <f aca="false">J$5*4_Normalizacion!J585</f>
        <v>0.000255567041403239</v>
      </c>
      <c r="K587" s="21" t="n">
        <f aca="false">K$5*4_Normalizacion!K585</f>
        <v>3.90133374367575E-005</v>
      </c>
      <c r="L587" s="21" t="n">
        <f aca="false">L$5*4_Normalizacion!L585</f>
        <v>0.0013402014397364</v>
      </c>
      <c r="M587" s="21" t="n">
        <f aca="false">M$5*4_Normalizacion!M585</f>
        <v>0.000701266850946025</v>
      </c>
      <c r="N587" s="21" t="n">
        <f aca="false">N$5*4_Normalizacion!N585</f>
        <v>0.0075989803262918</v>
      </c>
      <c r="O587" s="21" t="n">
        <f aca="false">O$5*4_Normalizacion!O585</f>
        <v>0.00200587264654955</v>
      </c>
      <c r="P587" s="21" t="n">
        <f aca="false">P$5*4_Normalizacion!P585</f>
        <v>0.00271682439873943</v>
      </c>
      <c r="Q587" s="21" t="n">
        <f aca="false">Q$5*4_Normalizacion!Q585</f>
        <v>0.00285926571798898</v>
      </c>
    </row>
    <row r="588" customFormat="false" ht="15" hidden="false" customHeight="false" outlineLevel="0" collapsed="false">
      <c r="A588" s="15" t="n">
        <f aca="false">4_Normalizacion!A586</f>
        <v>581</v>
      </c>
      <c r="B588" s="16" t="n">
        <f aca="false">4_Normalizacion!B586</f>
        <v>58.24</v>
      </c>
      <c r="C588" s="21" t="n">
        <f aca="false">C$5*4_Normalizacion!C586</f>
        <v>0.00126894604045884</v>
      </c>
      <c r="D588" s="21" t="n">
        <f aca="false">D$5*4_Normalizacion!D586</f>
        <v>0.00020543122737585</v>
      </c>
      <c r="E588" s="21" t="n">
        <f aca="false">E$5*4_Normalizacion!E586</f>
        <v>0.000464234763412067</v>
      </c>
      <c r="F588" s="21" t="n">
        <f aca="false">F$5*4_Normalizacion!F586</f>
        <v>0.00121052804556228</v>
      </c>
      <c r="G588" s="21" t="n">
        <f aca="false">G$5*4_Normalizacion!G586</f>
        <v>0.000280339284607229</v>
      </c>
      <c r="H588" s="21" t="n">
        <f aca="false">H$5*4_Normalizacion!H586</f>
        <v>0.00169754589383076</v>
      </c>
      <c r="I588" s="21" t="n">
        <f aca="false">I$5*4_Normalizacion!I586</f>
        <v>0.00281086825420146</v>
      </c>
      <c r="J588" s="21" t="n">
        <f aca="false">J$5*4_Normalizacion!J586</f>
        <v>0.000255567041403239</v>
      </c>
      <c r="K588" s="21" t="n">
        <f aca="false">K$5*4_Normalizacion!K586</f>
        <v>3.90133374367575E-005</v>
      </c>
      <c r="L588" s="21" t="n">
        <f aca="false">L$5*4_Normalizacion!L586</f>
        <v>0.0012268884859839</v>
      </c>
      <c r="M588" s="21" t="n">
        <f aca="false">M$5*4_Normalizacion!M586</f>
        <v>0.000701060292227042</v>
      </c>
      <c r="N588" s="21" t="n">
        <f aca="false">N$5*4_Normalizacion!N586</f>
        <v>0.0075989803262918</v>
      </c>
      <c r="O588" s="21" t="n">
        <f aca="false">O$5*4_Normalizacion!O586</f>
        <v>0.00200587264654955</v>
      </c>
      <c r="P588" s="21" t="n">
        <f aca="false">P$5*4_Normalizacion!P586</f>
        <v>0.00271682439873943</v>
      </c>
      <c r="Q588" s="21" t="n">
        <f aca="false">Q$5*4_Normalizacion!Q586</f>
        <v>0.00285926571798898</v>
      </c>
    </row>
    <row r="589" customFormat="false" ht="15" hidden="false" customHeight="false" outlineLevel="0" collapsed="false">
      <c r="A589" s="15" t="n">
        <f aca="false">4_Normalizacion!A587</f>
        <v>582</v>
      </c>
      <c r="B589" s="16" t="n">
        <f aca="false">4_Normalizacion!B587</f>
        <v>58.339</v>
      </c>
      <c r="C589" s="21" t="n">
        <f aca="false">C$5*4_Normalizacion!C587</f>
        <v>0.00126894604045884</v>
      </c>
      <c r="D589" s="21" t="n">
        <f aca="false">D$5*4_Normalizacion!D587</f>
        <v>0.00020543122737585</v>
      </c>
      <c r="E589" s="21" t="n">
        <f aca="false">E$5*4_Normalizacion!E587</f>
        <v>0.000464234763412067</v>
      </c>
      <c r="F589" s="21" t="n">
        <f aca="false">F$5*4_Normalizacion!F587</f>
        <v>0.000807018697041519</v>
      </c>
      <c r="G589" s="21" t="n">
        <f aca="false">G$5*4_Normalizacion!G587</f>
        <v>0.000280339284607229</v>
      </c>
      <c r="H589" s="21" t="n">
        <f aca="false">H$5*4_Normalizacion!H587</f>
        <v>0.00169754589383076</v>
      </c>
      <c r="I589" s="21" t="n">
        <f aca="false">I$5*4_Normalizacion!I587</f>
        <v>0.00562173650840292</v>
      </c>
      <c r="J589" s="21" t="n">
        <f aca="false">J$5*4_Normalizacion!J587</f>
        <v>0.000255567041403239</v>
      </c>
      <c r="K589" s="21" t="n">
        <f aca="false">K$5*4_Normalizacion!K587</f>
        <v>3.90133374367575E-005</v>
      </c>
      <c r="L589" s="21" t="n">
        <f aca="false">L$5*4_Normalizacion!L587</f>
        <v>0.00125947849480652</v>
      </c>
      <c r="M589" s="21" t="n">
        <f aca="false">M$5*4_Normalizacion!M587</f>
        <v>0.000674207658759301</v>
      </c>
      <c r="N589" s="21" t="n">
        <f aca="false">N$5*4_Normalizacion!N587</f>
        <v>0.0075989803262918</v>
      </c>
      <c r="O589" s="21" t="n">
        <f aca="false">O$5*4_Normalizacion!O587</f>
        <v>0.00200587264654955</v>
      </c>
      <c r="P589" s="21" t="n">
        <f aca="false">P$5*4_Normalizacion!P587</f>
        <v>0.00271682439873943</v>
      </c>
      <c r="Q589" s="21" t="n">
        <f aca="false">Q$5*4_Normalizacion!Q587</f>
        <v>0.00571853143597797</v>
      </c>
    </row>
    <row r="590" customFormat="false" ht="15" hidden="false" customHeight="false" outlineLevel="0" collapsed="false">
      <c r="A590" s="15" t="n">
        <f aca="false">4_Normalizacion!A588</f>
        <v>583</v>
      </c>
      <c r="B590" s="16" t="n">
        <f aca="false">4_Normalizacion!B588</f>
        <v>58.439</v>
      </c>
      <c r="C590" s="21" t="n">
        <f aca="false">C$5*4_Normalizacion!C588</f>
        <v>0.00126894604045884</v>
      </c>
      <c r="D590" s="21" t="n">
        <f aca="false">D$5*4_Normalizacion!D588</f>
        <v>0.00020543122737585</v>
      </c>
      <c r="E590" s="21" t="n">
        <f aca="false">E$5*4_Normalizacion!E588</f>
        <v>0.000464234763412067</v>
      </c>
      <c r="F590" s="21" t="n">
        <f aca="false">F$5*4_Normalizacion!F588</f>
        <v>0.00121052804556228</v>
      </c>
      <c r="G590" s="21" t="n">
        <f aca="false">G$5*4_Normalizacion!G588</f>
        <v>0.000210254463455421</v>
      </c>
      <c r="H590" s="21" t="n">
        <f aca="false">H$5*4_Normalizacion!H588</f>
        <v>0.00169754589383076</v>
      </c>
      <c r="I590" s="21" t="n">
        <f aca="false">I$5*4_Normalizacion!I588</f>
        <v>0.00281086825420146</v>
      </c>
      <c r="J590" s="21" t="n">
        <f aca="false">J$5*4_Normalizacion!J588</f>
        <v>0.000255567041403239</v>
      </c>
      <c r="K590" s="21" t="n">
        <f aca="false">K$5*4_Normalizacion!K588</f>
        <v>3.90133374367575E-005</v>
      </c>
      <c r="L590" s="21" t="n">
        <f aca="false">L$5*4_Normalizacion!L588</f>
        <v>0.00132064743444283</v>
      </c>
      <c r="M590" s="21" t="n">
        <f aca="false">M$5*4_Normalizacion!M588</f>
        <v>0.00068515527086538</v>
      </c>
      <c r="N590" s="21" t="n">
        <f aca="false">N$5*4_Normalizacion!N588</f>
        <v>0.0075989803262918</v>
      </c>
      <c r="O590" s="21" t="n">
        <f aca="false">O$5*4_Normalizacion!O588</f>
        <v>0.00200587264654955</v>
      </c>
      <c r="P590" s="21" t="n">
        <f aca="false">P$5*4_Normalizacion!P588</f>
        <v>0.00271682439873943</v>
      </c>
      <c r="Q590" s="21" t="n">
        <f aca="false">Q$5*4_Normalizacion!Q588</f>
        <v>0.00285926571798898</v>
      </c>
    </row>
    <row r="591" customFormat="false" ht="15" hidden="false" customHeight="false" outlineLevel="0" collapsed="false">
      <c r="A591" s="15" t="n">
        <f aca="false">4_Normalizacion!A589</f>
        <v>584</v>
      </c>
      <c r="B591" s="16" t="n">
        <f aca="false">4_Normalizacion!B589</f>
        <v>58.538</v>
      </c>
      <c r="C591" s="21" t="n">
        <f aca="false">C$5*4_Normalizacion!C589</f>
        <v>0.00126894604045884</v>
      </c>
      <c r="D591" s="21" t="n">
        <f aca="false">D$5*4_Normalizacion!D589</f>
        <v>0.00020543122737585</v>
      </c>
      <c r="E591" s="21" t="n">
        <f aca="false">E$5*4_Normalizacion!E589</f>
        <v>0.000464234763412067</v>
      </c>
      <c r="F591" s="21" t="n">
        <f aca="false">F$5*4_Normalizacion!F589</f>
        <v>0.000807018697041519</v>
      </c>
      <c r="G591" s="21" t="n">
        <f aca="false">G$5*4_Normalizacion!G589</f>
        <v>0.000210254463455421</v>
      </c>
      <c r="H591" s="21" t="n">
        <f aca="false">H$5*4_Normalizacion!H589</f>
        <v>0.00169754589383076</v>
      </c>
      <c r="I591" s="21" t="n">
        <f aca="false">I$5*4_Normalizacion!I589</f>
        <v>0.00281086825420146</v>
      </c>
      <c r="J591" s="21" t="n">
        <f aca="false">J$5*4_Normalizacion!J589</f>
        <v>0.000255567041403239</v>
      </c>
      <c r="K591" s="21" t="n">
        <f aca="false">K$5*4_Normalizacion!K589</f>
        <v>3.90133374367575E-005</v>
      </c>
      <c r="L591" s="21" t="n">
        <f aca="false">L$5*4_Normalizacion!L589</f>
        <v>0.00131011835466937</v>
      </c>
      <c r="M591" s="21" t="n">
        <f aca="false">M$5*4_Normalizacion!M589</f>
        <v>0.000688047092931137</v>
      </c>
      <c r="N591" s="21" t="n">
        <f aca="false">N$5*4_Normalizacion!N589</f>
        <v>0.0075989803262918</v>
      </c>
      <c r="O591" s="21" t="n">
        <f aca="false">O$5*4_Normalizacion!O589</f>
        <v>0.00200587264654955</v>
      </c>
      <c r="P591" s="21" t="n">
        <f aca="false">P$5*4_Normalizacion!P589</f>
        <v>0.00271682439873943</v>
      </c>
      <c r="Q591" s="21" t="n">
        <f aca="false">Q$5*4_Normalizacion!Q589</f>
        <v>0.00571853143597797</v>
      </c>
    </row>
    <row r="592" customFormat="false" ht="15" hidden="false" customHeight="false" outlineLevel="0" collapsed="false">
      <c r="A592" s="15" t="n">
        <f aca="false">4_Normalizacion!A590</f>
        <v>585</v>
      </c>
      <c r="B592" s="16" t="n">
        <f aca="false">4_Normalizacion!B590</f>
        <v>58.637</v>
      </c>
      <c r="C592" s="21" t="n">
        <f aca="false">C$5*4_Normalizacion!C590</f>
        <v>0.00126894604045884</v>
      </c>
      <c r="D592" s="21" t="n">
        <f aca="false">D$5*4_Normalizacion!D590</f>
        <v>0.00020543122737585</v>
      </c>
      <c r="E592" s="21" t="n">
        <f aca="false">E$5*4_Normalizacion!E590</f>
        <v>0.000464234763412067</v>
      </c>
      <c r="F592" s="21" t="n">
        <f aca="false">F$5*4_Normalizacion!F590</f>
        <v>0.00121052804556228</v>
      </c>
      <c r="G592" s="21" t="n">
        <f aca="false">G$5*4_Normalizacion!G590</f>
        <v>0.000210254463455421</v>
      </c>
      <c r="H592" s="21" t="n">
        <f aca="false">H$5*4_Normalizacion!H590</f>
        <v>0.00169754589383076</v>
      </c>
      <c r="I592" s="21" t="n">
        <f aca="false">I$5*4_Normalizacion!I590</f>
        <v>0.00281086825420146</v>
      </c>
      <c r="J592" s="21" t="n">
        <f aca="false">J$5*4_Normalizacion!J590</f>
        <v>0.000255567041403239</v>
      </c>
      <c r="K592" s="21" t="n">
        <f aca="false">K$5*4_Normalizacion!K590</f>
        <v>3.90133374367575E-005</v>
      </c>
      <c r="L592" s="21" t="n">
        <f aca="false">L$5*4_Normalizacion!L590</f>
        <v>0.00131312666317607</v>
      </c>
      <c r="M592" s="21" t="n">
        <f aca="false">M$5*4_Normalizacion!M590</f>
        <v>0.000689493003964015</v>
      </c>
      <c r="N592" s="21" t="n">
        <f aca="false">N$5*4_Normalizacion!N590</f>
        <v>0.0075989803262918</v>
      </c>
      <c r="O592" s="21" t="n">
        <f aca="false">O$5*4_Normalizacion!O590</f>
        <v>0.00200587264654955</v>
      </c>
      <c r="P592" s="21" t="n">
        <f aca="false">P$5*4_Normalizacion!P590</f>
        <v>0.00271682439873943</v>
      </c>
      <c r="Q592" s="21" t="n">
        <f aca="false">Q$5*4_Normalizacion!Q590</f>
        <v>0.00571853143597797</v>
      </c>
    </row>
    <row r="593" customFormat="false" ht="15" hidden="false" customHeight="false" outlineLevel="0" collapsed="false">
      <c r="A593" s="15" t="n">
        <f aca="false">4_Normalizacion!A591</f>
        <v>586</v>
      </c>
      <c r="B593" s="16" t="n">
        <f aca="false">4_Normalizacion!B591</f>
        <v>58.737</v>
      </c>
      <c r="C593" s="21" t="n">
        <f aca="false">C$5*4_Normalizacion!C591</f>
        <v>0.00126894604045884</v>
      </c>
      <c r="D593" s="21" t="n">
        <f aca="false">D$5*4_Normalizacion!D591</f>
        <v>0.00020543122737585</v>
      </c>
      <c r="E593" s="21" t="n">
        <f aca="false">E$5*4_Normalizacion!E591</f>
        <v>0.000464234763412067</v>
      </c>
      <c r="F593" s="21" t="n">
        <f aca="false">F$5*4_Normalizacion!F591</f>
        <v>0.000807018697041519</v>
      </c>
      <c r="G593" s="21" t="n">
        <f aca="false">G$5*4_Normalizacion!G591</f>
        <v>0.000210254463455421</v>
      </c>
      <c r="H593" s="21" t="n">
        <f aca="false">H$5*4_Normalizacion!H591</f>
        <v>0.00169754589383076</v>
      </c>
      <c r="I593" s="21" t="n">
        <f aca="false">I$5*4_Normalizacion!I591</f>
        <v>0.00281086825420146</v>
      </c>
      <c r="J593" s="21" t="n">
        <f aca="false">J$5*4_Normalizacion!J591</f>
        <v>0.000255567041403239</v>
      </c>
      <c r="K593" s="21" t="n">
        <f aca="false">K$5*4_Normalizacion!K591</f>
        <v>3.90133374367575E-005</v>
      </c>
      <c r="L593" s="21" t="n">
        <f aca="false">L$5*4_Normalizacion!L591</f>
        <v>0.00139635653186153</v>
      </c>
      <c r="M593" s="21" t="n">
        <f aca="false">M$5*4_Normalizacion!M591</f>
        <v>0.000683915918551484</v>
      </c>
      <c r="N593" s="21" t="n">
        <f aca="false">N$5*4_Normalizacion!N591</f>
        <v>0.0075989803262918</v>
      </c>
      <c r="O593" s="21" t="n">
        <f aca="false">O$5*4_Normalizacion!O591</f>
        <v>0.00200587264654955</v>
      </c>
      <c r="P593" s="21" t="n">
        <f aca="false">P$5*4_Normalizacion!P591</f>
        <v>0.00271682439873943</v>
      </c>
      <c r="Q593" s="21" t="n">
        <f aca="false">Q$5*4_Normalizacion!Q591</f>
        <v>0.00571853143597797</v>
      </c>
    </row>
    <row r="594" customFormat="false" ht="15" hidden="false" customHeight="false" outlineLevel="0" collapsed="false">
      <c r="A594" s="15" t="n">
        <f aca="false">4_Normalizacion!A592</f>
        <v>587</v>
      </c>
      <c r="B594" s="16" t="n">
        <f aca="false">4_Normalizacion!B592</f>
        <v>58.836</v>
      </c>
      <c r="C594" s="21" t="n">
        <f aca="false">C$5*4_Normalizacion!C592</f>
        <v>0.00126894604045884</v>
      </c>
      <c r="D594" s="21" t="n">
        <f aca="false">D$5*4_Normalizacion!D592</f>
        <v>0.00020543122737585</v>
      </c>
      <c r="E594" s="21" t="n">
        <f aca="false">E$5*4_Normalizacion!E592</f>
        <v>0.000928469526824133</v>
      </c>
      <c r="F594" s="21" t="n">
        <f aca="false">F$5*4_Normalizacion!F592</f>
        <v>0.000807018697041519</v>
      </c>
      <c r="G594" s="21" t="n">
        <f aca="false">G$5*4_Normalizacion!G592</f>
        <v>0.000210254463455421</v>
      </c>
      <c r="H594" s="21" t="n">
        <f aca="false">H$5*4_Normalizacion!H592</f>
        <v>0.00169754589383076</v>
      </c>
      <c r="I594" s="21" t="n">
        <f aca="false">I$5*4_Normalizacion!I592</f>
        <v>0.00562173650840292</v>
      </c>
      <c r="J594" s="21" t="n">
        <f aca="false">J$5*4_Normalizacion!J592</f>
        <v>0.000255567041403239</v>
      </c>
      <c r="K594" s="21" t="n">
        <f aca="false">K$5*4_Normalizacion!K592</f>
        <v>3.90133374367575E-005</v>
      </c>
      <c r="L594" s="21" t="n">
        <f aca="false">L$5*4_Normalizacion!L592</f>
        <v>0.001325661281954</v>
      </c>
      <c r="M594" s="21" t="n">
        <f aca="false">M$5*4_Normalizacion!M592</f>
        <v>0.000622981096451609</v>
      </c>
      <c r="N594" s="21" t="n">
        <f aca="false">N$5*4_Normalizacion!N592</f>
        <v>0.0075989803262918</v>
      </c>
      <c r="O594" s="21" t="n">
        <f aca="false">O$5*4_Normalizacion!O592</f>
        <v>0.00200587264654955</v>
      </c>
      <c r="P594" s="21" t="n">
        <f aca="false">P$5*4_Normalizacion!P592</f>
        <v>0.00271682439873943</v>
      </c>
      <c r="Q594" s="21" t="n">
        <f aca="false">Q$5*4_Normalizacion!Q592</f>
        <v>0.00571853143597797</v>
      </c>
    </row>
    <row r="595" customFormat="false" ht="15" hidden="false" customHeight="false" outlineLevel="0" collapsed="false">
      <c r="A595" s="15" t="n">
        <f aca="false">4_Normalizacion!A593</f>
        <v>588</v>
      </c>
      <c r="B595" s="16" t="n">
        <f aca="false">4_Normalizacion!B593</f>
        <v>58.935</v>
      </c>
      <c r="C595" s="21" t="n">
        <f aca="false">C$5*4_Normalizacion!C593</f>
        <v>0.00126894604045884</v>
      </c>
      <c r="D595" s="21" t="n">
        <f aca="false">D$5*4_Normalizacion!D593</f>
        <v>0.00020543122737585</v>
      </c>
      <c r="E595" s="21" t="n">
        <f aca="false">E$5*4_Normalizacion!E593</f>
        <v>0.000928469526824133</v>
      </c>
      <c r="F595" s="21" t="n">
        <f aca="false">F$5*4_Normalizacion!F593</f>
        <v>0.00040350934852076</v>
      </c>
      <c r="G595" s="21" t="n">
        <f aca="false">G$5*4_Normalizacion!G593</f>
        <v>0.000210254463455421</v>
      </c>
      <c r="H595" s="21" t="n">
        <f aca="false">H$5*4_Normalizacion!H593</f>
        <v>0.00169754589383076</v>
      </c>
      <c r="I595" s="21" t="n">
        <f aca="false">I$5*4_Normalizacion!I593</f>
        <v>0.00562173650840292</v>
      </c>
      <c r="J595" s="21" t="n">
        <f aca="false">J$5*4_Normalizacion!J593</f>
        <v>0.000255567041403239</v>
      </c>
      <c r="K595" s="21" t="n">
        <f aca="false">K$5*4_Normalizacion!K593</f>
        <v>3.90133374367575E-005</v>
      </c>
      <c r="L595" s="21" t="n">
        <f aca="false">L$5*4_Normalizacion!L593</f>
        <v>0.00150064456009392</v>
      </c>
      <c r="M595" s="21" t="n">
        <f aca="false">M$5*4_Normalizacion!M593</f>
        <v>0.000657269843802725</v>
      </c>
      <c r="N595" s="21" t="n">
        <f aca="false">N$5*4_Normalizacion!N593</f>
        <v>0.0075989803262918</v>
      </c>
      <c r="O595" s="21" t="n">
        <f aca="false">O$5*4_Normalizacion!O593</f>
        <v>0.00200587264654955</v>
      </c>
      <c r="P595" s="21" t="n">
        <f aca="false">P$5*4_Normalizacion!P593</f>
        <v>0.00271682439873943</v>
      </c>
      <c r="Q595" s="21" t="n">
        <f aca="false">Q$5*4_Normalizacion!Q593</f>
        <v>0.00571853143597797</v>
      </c>
    </row>
    <row r="596" customFormat="false" ht="15" hidden="false" customHeight="false" outlineLevel="0" collapsed="false">
      <c r="A596" s="15" t="n">
        <f aca="false">4_Normalizacion!A594</f>
        <v>589</v>
      </c>
      <c r="B596" s="16" t="n">
        <f aca="false">4_Normalizacion!B594</f>
        <v>59.034</v>
      </c>
      <c r="C596" s="21" t="n">
        <f aca="false">C$5*4_Normalizacion!C594</f>
        <v>0.00126894604045884</v>
      </c>
      <c r="D596" s="21" t="n">
        <f aca="false">D$5*4_Normalizacion!D594</f>
        <v>0.00020543122737585</v>
      </c>
      <c r="E596" s="21" t="n">
        <f aca="false">E$5*4_Normalizacion!E594</f>
        <v>0.000928469526824133</v>
      </c>
      <c r="F596" s="21" t="n">
        <f aca="false">F$5*4_Normalizacion!F594</f>
        <v>0.000807018697041519</v>
      </c>
      <c r="G596" s="21" t="n">
        <f aca="false">G$5*4_Normalizacion!G594</f>
        <v>0.000210254463455421</v>
      </c>
      <c r="H596" s="21" t="n">
        <f aca="false">H$5*4_Normalizacion!H594</f>
        <v>0.00169754589383076</v>
      </c>
      <c r="I596" s="21" t="n">
        <f aca="false">I$5*4_Normalizacion!I594</f>
        <v>0.00281086825420146</v>
      </c>
      <c r="J596" s="21" t="n">
        <f aca="false">J$5*4_Normalizacion!J594</f>
        <v>0.000255567041403239</v>
      </c>
      <c r="K596" s="21" t="n">
        <f aca="false">K$5*4_Normalizacion!K594</f>
        <v>3.90133374367575E-005</v>
      </c>
      <c r="L596" s="21" t="n">
        <f aca="false">L$5*4_Normalizacion!L594</f>
        <v>0.00173378846936344</v>
      </c>
      <c r="M596" s="21" t="n">
        <f aca="false">M$5*4_Normalizacion!M594</f>
        <v>0.000692591384748755</v>
      </c>
      <c r="N596" s="21" t="n">
        <f aca="false">N$5*4_Normalizacion!N594</f>
        <v>0.0075989803262918</v>
      </c>
      <c r="O596" s="21" t="n">
        <f aca="false">O$5*4_Normalizacion!O594</f>
        <v>0.00200587264654955</v>
      </c>
      <c r="P596" s="21" t="n">
        <f aca="false">P$5*4_Normalizacion!P594</f>
        <v>0.00271682439873943</v>
      </c>
      <c r="Q596" s="21" t="n">
        <f aca="false">Q$5*4_Normalizacion!Q594</f>
        <v>0.00857779715396695</v>
      </c>
    </row>
    <row r="597" customFormat="false" ht="15" hidden="false" customHeight="false" outlineLevel="0" collapsed="false">
      <c r="A597" s="15" t="n">
        <f aca="false">4_Normalizacion!A595</f>
        <v>590</v>
      </c>
      <c r="B597" s="16" t="n">
        <f aca="false">4_Normalizacion!B595</f>
        <v>59.134</v>
      </c>
      <c r="C597" s="21" t="n">
        <f aca="false">C$5*4_Normalizacion!C595</f>
        <v>0.00126894604045884</v>
      </c>
      <c r="D597" s="21" t="n">
        <f aca="false">D$5*4_Normalizacion!D595</f>
        <v>0.00020543122737585</v>
      </c>
      <c r="E597" s="21" t="n">
        <f aca="false">E$5*4_Normalizacion!E595</f>
        <v>0.0013927042902362</v>
      </c>
      <c r="F597" s="21" t="n">
        <f aca="false">F$5*4_Normalizacion!F595</f>
        <v>0.000807018697041519</v>
      </c>
      <c r="G597" s="21" t="n">
        <f aca="false">G$5*4_Normalizacion!G595</f>
        <v>0.000210254463455421</v>
      </c>
      <c r="H597" s="21" t="n">
        <f aca="false">H$5*4_Normalizacion!H595</f>
        <v>0.00169754589383076</v>
      </c>
      <c r="I597" s="21" t="n">
        <f aca="false">I$5*4_Normalizacion!I595</f>
        <v>0.00281086825420146</v>
      </c>
      <c r="J597" s="21" t="n">
        <f aca="false">J$5*4_Normalizacion!J595</f>
        <v>0.000255567041403239</v>
      </c>
      <c r="K597" s="21" t="n">
        <f aca="false">K$5*4_Normalizacion!K595</f>
        <v>3.90133374367575E-005</v>
      </c>
      <c r="L597" s="21" t="n">
        <f aca="false">L$5*4_Normalizacion!L595</f>
        <v>0.00191729528827235</v>
      </c>
      <c r="M597" s="21" t="n">
        <f aca="false">M$5*4_Normalizacion!M595</f>
        <v>0.000617197452320095</v>
      </c>
      <c r="N597" s="21" t="n">
        <f aca="false">N$5*4_Normalizacion!N595</f>
        <v>0.0075989803262918</v>
      </c>
      <c r="O597" s="21" t="n">
        <f aca="false">O$5*4_Normalizacion!O595</f>
        <v>0.00200587264654955</v>
      </c>
      <c r="P597" s="21" t="n">
        <f aca="false">P$5*4_Normalizacion!P595</f>
        <v>0.00271682439873943</v>
      </c>
      <c r="Q597" s="21" t="n">
        <f aca="false">Q$5*4_Normalizacion!Q595</f>
        <v>0.0114370628719559</v>
      </c>
    </row>
    <row r="598" customFormat="false" ht="15" hidden="false" customHeight="false" outlineLevel="0" collapsed="false">
      <c r="A598" s="15" t="n">
        <f aca="false">4_Normalizacion!A596</f>
        <v>591</v>
      </c>
      <c r="B598" s="16" t="n">
        <f aca="false">4_Normalizacion!B596</f>
        <v>59.233</v>
      </c>
      <c r="C598" s="21" t="n">
        <f aca="false">C$5*4_Normalizacion!C596</f>
        <v>0.00126894604045884</v>
      </c>
      <c r="D598" s="21" t="n">
        <f aca="false">D$5*4_Normalizacion!D596</f>
        <v>0.00016434498190068</v>
      </c>
      <c r="E598" s="21" t="n">
        <f aca="false">E$5*4_Normalizacion!E596</f>
        <v>0.0013927042902362</v>
      </c>
      <c r="F598" s="21" t="n">
        <f aca="false">F$5*4_Normalizacion!F596</f>
        <v>0.00040350934852076</v>
      </c>
      <c r="G598" s="21" t="n">
        <f aca="false">G$5*4_Normalizacion!G596</f>
        <v>0.000210254463455421</v>
      </c>
      <c r="H598" s="21" t="n">
        <f aca="false">H$5*4_Normalizacion!H596</f>
        <v>0.00169754589383076</v>
      </c>
      <c r="I598" s="21" t="n">
        <f aca="false">I$5*4_Normalizacion!I596</f>
        <v>0.00281086825420146</v>
      </c>
      <c r="J598" s="21" t="n">
        <f aca="false">J$5*4_Normalizacion!J596</f>
        <v>0.000255567041403239</v>
      </c>
      <c r="K598" s="21" t="n">
        <f aca="false">K$5*4_Normalizacion!K596</f>
        <v>3.90133374367575E-005</v>
      </c>
      <c r="L598" s="21" t="n">
        <f aca="false">L$5*4_Normalizacion!L596</f>
        <v>0.00199601269419776</v>
      </c>
      <c r="M598" s="21" t="n">
        <f aca="false">M$5*4_Normalizacion!M596</f>
        <v>0.000586420203191683</v>
      </c>
      <c r="N598" s="21" t="n">
        <f aca="false">N$5*4_Normalizacion!N596</f>
        <v>0.0075989803262918</v>
      </c>
      <c r="O598" s="21" t="n">
        <f aca="false">O$5*4_Normalizacion!O596</f>
        <v>0.00200587264654955</v>
      </c>
      <c r="P598" s="21" t="n">
        <f aca="false">P$5*4_Normalizacion!P596</f>
        <v>0.00271682439873943</v>
      </c>
      <c r="Q598" s="21" t="n">
        <f aca="false">Q$5*4_Normalizacion!Q596</f>
        <v>0.0142963285899449</v>
      </c>
    </row>
    <row r="599" customFormat="false" ht="15" hidden="false" customHeight="false" outlineLevel="0" collapsed="false">
      <c r="A599" s="15" t="n">
        <f aca="false">4_Normalizacion!A597</f>
        <v>592</v>
      </c>
      <c r="B599" s="16" t="n">
        <f aca="false">4_Normalizacion!B597</f>
        <v>59.333</v>
      </c>
      <c r="C599" s="21" t="n">
        <f aca="false">C$5*4_Normalizacion!C597</f>
        <v>0.00126894604045884</v>
      </c>
      <c r="D599" s="21" t="n">
        <f aca="false">D$5*4_Normalizacion!D597</f>
        <v>0.00020543122737585</v>
      </c>
      <c r="E599" s="21" t="n">
        <f aca="false">E$5*4_Normalizacion!E597</f>
        <v>0.000928469526824133</v>
      </c>
      <c r="F599" s="21" t="n">
        <f aca="false">F$5*4_Normalizacion!F597</f>
        <v>0.00040350934852076</v>
      </c>
      <c r="G599" s="21" t="n">
        <f aca="false">G$5*4_Normalizacion!G597</f>
        <v>0.000210254463455421</v>
      </c>
      <c r="H599" s="21" t="n">
        <f aca="false">H$5*4_Normalizacion!H597</f>
        <v>0.00169754589383076</v>
      </c>
      <c r="I599" s="21" t="n">
        <f aca="false">I$5*4_Normalizacion!I597</f>
        <v>0.00281086825420146</v>
      </c>
      <c r="J599" s="21" t="n">
        <f aca="false">J$5*4_Normalizacion!J597</f>
        <v>0.000255567041403239</v>
      </c>
      <c r="K599" s="21" t="n">
        <f aca="false">K$5*4_Normalizacion!K597</f>
        <v>3.90133374367575E-005</v>
      </c>
      <c r="L599" s="21" t="n">
        <f aca="false">L$5*4_Normalizacion!L597</f>
        <v>0.00202659716401591</v>
      </c>
      <c r="M599" s="21" t="n">
        <f aca="false">M$5*4_Normalizacion!M597</f>
        <v>0.000605630164057068</v>
      </c>
      <c r="N599" s="21" t="n">
        <f aca="false">N$5*4_Normalizacion!N597</f>
        <v>0.0075989803262918</v>
      </c>
      <c r="O599" s="21" t="n">
        <f aca="false">O$5*4_Normalizacion!O597</f>
        <v>0.0040117452930991</v>
      </c>
      <c r="P599" s="21" t="n">
        <f aca="false">P$5*4_Normalizacion!P597</f>
        <v>0.00271682439873943</v>
      </c>
      <c r="Q599" s="21" t="n">
        <f aca="false">Q$5*4_Normalizacion!Q597</f>
        <v>0.0142963285899449</v>
      </c>
    </row>
    <row r="600" customFormat="false" ht="15" hidden="false" customHeight="false" outlineLevel="0" collapsed="false">
      <c r="A600" s="15" t="n">
        <f aca="false">4_Normalizacion!A598</f>
        <v>593</v>
      </c>
      <c r="B600" s="16" t="n">
        <f aca="false">4_Normalizacion!B598</f>
        <v>59.435</v>
      </c>
      <c r="C600" s="21" t="n">
        <f aca="false">C$5*4_Normalizacion!C598</f>
        <v>0.00126894604045884</v>
      </c>
      <c r="D600" s="21" t="n">
        <f aca="false">D$5*4_Normalizacion!D598</f>
        <v>0.00020543122737585</v>
      </c>
      <c r="E600" s="21" t="n">
        <f aca="false">E$5*4_Normalizacion!E598</f>
        <v>0.000464234763412067</v>
      </c>
      <c r="F600" s="21" t="n">
        <f aca="false">F$5*4_Normalizacion!F598</f>
        <v>0.000807018697041519</v>
      </c>
      <c r="G600" s="21" t="n">
        <f aca="false">G$5*4_Normalizacion!G598</f>
        <v>0.000280339284607229</v>
      </c>
      <c r="H600" s="21" t="n">
        <f aca="false">H$5*4_Normalizacion!H598</f>
        <v>0.00169754589383076</v>
      </c>
      <c r="I600" s="21" t="n">
        <f aca="false">I$5*4_Normalizacion!I598</f>
        <v>0.00281086825420146</v>
      </c>
      <c r="J600" s="21" t="n">
        <f aca="false">J$5*4_Normalizacion!J598</f>
        <v>0.000255567041403239</v>
      </c>
      <c r="K600" s="21" t="n">
        <f aca="false">K$5*4_Normalizacion!K598</f>
        <v>3.90133374367575E-005</v>
      </c>
      <c r="L600" s="21" t="n">
        <f aca="false">L$5*4_Normalizacion!L598</f>
        <v>0.00216899043333321</v>
      </c>
      <c r="M600" s="21" t="n">
        <f aca="false">M$5*4_Normalizacion!M598</f>
        <v>0.000683502801113519</v>
      </c>
      <c r="N600" s="21" t="n">
        <f aca="false">N$5*4_Normalizacion!N598</f>
        <v>0.0075989803262918</v>
      </c>
      <c r="O600" s="21" t="n">
        <f aca="false">O$5*4_Normalizacion!O598</f>
        <v>0.00601761793964864</v>
      </c>
      <c r="P600" s="21" t="n">
        <f aca="false">P$5*4_Normalizacion!P598</f>
        <v>0.00271682439873943</v>
      </c>
      <c r="Q600" s="21" t="n">
        <f aca="false">Q$5*4_Normalizacion!Q598</f>
        <v>0.00857779715396695</v>
      </c>
    </row>
    <row r="601" customFormat="false" ht="15" hidden="false" customHeight="false" outlineLevel="0" collapsed="false">
      <c r="A601" s="15" t="n">
        <f aca="false">4_Normalizacion!A599</f>
        <v>594</v>
      </c>
      <c r="B601" s="16" t="n">
        <f aca="false">4_Normalizacion!B599</f>
        <v>59.536</v>
      </c>
      <c r="C601" s="21" t="n">
        <f aca="false">C$5*4_Normalizacion!C599</f>
        <v>0.00126894604045884</v>
      </c>
      <c r="D601" s="21" t="n">
        <f aca="false">D$5*4_Normalizacion!D599</f>
        <v>0.00020543122737585</v>
      </c>
      <c r="E601" s="21" t="n">
        <f aca="false">E$5*4_Normalizacion!E599</f>
        <v>0.000464234763412067</v>
      </c>
      <c r="F601" s="21" t="n">
        <f aca="false">F$5*4_Normalizacion!F599</f>
        <v>0.000807018697041519</v>
      </c>
      <c r="G601" s="21" t="n">
        <f aca="false">G$5*4_Normalizacion!G599</f>
        <v>0.000280339284607229</v>
      </c>
      <c r="H601" s="21" t="n">
        <f aca="false">H$5*4_Normalizacion!H599</f>
        <v>0.00169754589383076</v>
      </c>
      <c r="I601" s="21" t="n">
        <f aca="false">I$5*4_Normalizacion!I599</f>
        <v>0.00281086825420146</v>
      </c>
      <c r="J601" s="21" t="n">
        <f aca="false">J$5*4_Normalizacion!J599</f>
        <v>0.000255567041403239</v>
      </c>
      <c r="K601" s="21" t="n">
        <f aca="false">K$5*4_Normalizacion!K599</f>
        <v>3.90133374367575E-005</v>
      </c>
      <c r="L601" s="21" t="n">
        <f aca="false">L$5*4_Normalizacion!L599</f>
        <v>0.00224018706799186</v>
      </c>
      <c r="M601" s="21" t="n">
        <f aca="false">M$5*4_Normalizacion!M599</f>
        <v>0.00072605389722394</v>
      </c>
      <c r="N601" s="21" t="n">
        <f aca="false">N$5*4_Normalizacion!N599</f>
        <v>0.0075989803262918</v>
      </c>
      <c r="O601" s="21" t="n">
        <f aca="false">O$5*4_Normalizacion!O599</f>
        <v>0.00601761793964864</v>
      </c>
      <c r="P601" s="21" t="n">
        <f aca="false">P$5*4_Normalizacion!P599</f>
        <v>0.00271682439873943</v>
      </c>
      <c r="Q601" s="21" t="n">
        <f aca="false">Q$5*4_Normalizacion!Q599</f>
        <v>0.00857779715396695</v>
      </c>
    </row>
    <row r="602" customFormat="false" ht="15" hidden="false" customHeight="false" outlineLevel="0" collapsed="false">
      <c r="A602" s="15" t="n">
        <f aca="false">4_Normalizacion!A600</f>
        <v>595</v>
      </c>
      <c r="B602" s="16" t="n">
        <f aca="false">4_Normalizacion!B600</f>
        <v>59.636</v>
      </c>
      <c r="C602" s="21" t="n">
        <f aca="false">C$5*4_Normalizacion!C600</f>
        <v>0.00126894604045884</v>
      </c>
      <c r="D602" s="21" t="n">
        <f aca="false">D$5*4_Normalizacion!D600</f>
        <v>0.00020543122737585</v>
      </c>
      <c r="E602" s="21" t="n">
        <f aca="false">E$5*4_Normalizacion!E600</f>
        <v>0.000464234763412067</v>
      </c>
      <c r="F602" s="21" t="n">
        <f aca="false">F$5*4_Normalizacion!F600</f>
        <v>0.00121052804556228</v>
      </c>
      <c r="G602" s="21" t="n">
        <f aca="false">G$5*4_Normalizacion!G600</f>
        <v>0.000280339284607229</v>
      </c>
      <c r="H602" s="21" t="n">
        <f aca="false">H$5*4_Normalizacion!H600</f>
        <v>0.00169754589383076</v>
      </c>
      <c r="I602" s="21" t="n">
        <f aca="false">I$5*4_Normalizacion!I600</f>
        <v>0.00281086825420146</v>
      </c>
      <c r="J602" s="21" t="n">
        <f aca="false">J$5*4_Normalizacion!J600</f>
        <v>0.000255567041403239</v>
      </c>
      <c r="K602" s="21" t="n">
        <f aca="false">K$5*4_Normalizacion!K600</f>
        <v>3.90133374367575E-005</v>
      </c>
      <c r="L602" s="21" t="n">
        <f aca="false">L$5*4_Normalizacion!L600</f>
        <v>0.00226274938179213</v>
      </c>
      <c r="M602" s="21" t="n">
        <f aca="false">M$5*4_Normalizacion!M600</f>
        <v>0.000785542808290938</v>
      </c>
      <c r="N602" s="21" t="n">
        <f aca="false">N$5*4_Normalizacion!N600</f>
        <v>0.0075989803262918</v>
      </c>
      <c r="O602" s="21" t="n">
        <f aca="false">O$5*4_Normalizacion!O600</f>
        <v>0.00601761793964864</v>
      </c>
      <c r="P602" s="21" t="n">
        <f aca="false">P$5*4_Normalizacion!P600</f>
        <v>0.00271682439873943</v>
      </c>
      <c r="Q602" s="21" t="n">
        <f aca="false">Q$5*4_Normalizacion!Q600</f>
        <v>0.00571853143597797</v>
      </c>
    </row>
    <row r="603" customFormat="false" ht="15" hidden="false" customHeight="false" outlineLevel="0" collapsed="false">
      <c r="A603" s="15" t="n">
        <f aca="false">4_Normalizacion!A601</f>
        <v>596</v>
      </c>
      <c r="B603" s="16" t="n">
        <f aca="false">4_Normalizacion!B601</f>
        <v>59.738</v>
      </c>
      <c r="C603" s="21" t="n">
        <f aca="false">C$5*4_Normalizacion!C601</f>
        <v>0.00126894604045884</v>
      </c>
      <c r="D603" s="21" t="n">
        <f aca="false">D$5*4_Normalizacion!D601</f>
        <v>0.00020543122737585</v>
      </c>
      <c r="E603" s="21" t="n">
        <f aca="false">E$5*4_Normalizacion!E601</f>
        <v>0.000464234763412067</v>
      </c>
      <c r="F603" s="21" t="n">
        <f aca="false">F$5*4_Normalizacion!F601</f>
        <v>0.00161403739408304</v>
      </c>
      <c r="G603" s="21" t="n">
        <f aca="false">G$5*4_Normalizacion!G601</f>
        <v>0.000280339284607229</v>
      </c>
      <c r="H603" s="21" t="n">
        <f aca="false">H$5*4_Normalizacion!H601</f>
        <v>0.00169754589383076</v>
      </c>
      <c r="I603" s="21" t="n">
        <f aca="false">I$5*4_Normalizacion!I601</f>
        <v>0.00281086825420146</v>
      </c>
      <c r="J603" s="21" t="n">
        <f aca="false">J$5*4_Normalizacion!J601</f>
        <v>0.000255567041403239</v>
      </c>
      <c r="K603" s="21" t="n">
        <f aca="false">K$5*4_Normalizacion!K601</f>
        <v>3.90133374367575E-005</v>
      </c>
      <c r="L603" s="21" t="n">
        <f aca="false">L$5*4_Normalizacion!L601</f>
        <v>0.00229132831260582</v>
      </c>
      <c r="M603" s="21" t="n">
        <f aca="false">M$5*4_Normalizacion!M601</f>
        <v>0.000824788964897637</v>
      </c>
      <c r="N603" s="21" t="n">
        <f aca="false">N$5*4_Normalizacion!N601</f>
        <v>0.0075989803262918</v>
      </c>
      <c r="O603" s="21" t="n">
        <f aca="false">O$5*4_Normalizacion!O601</f>
        <v>0.00802349058619819</v>
      </c>
      <c r="P603" s="21" t="n">
        <f aca="false">P$5*4_Normalizacion!P601</f>
        <v>0.00271682439873943</v>
      </c>
      <c r="Q603" s="21" t="n">
        <f aca="false">Q$5*4_Normalizacion!Q601</f>
        <v>0.00571853143597797</v>
      </c>
    </row>
    <row r="604" customFormat="false" ht="15" hidden="false" customHeight="false" outlineLevel="0" collapsed="false">
      <c r="A604" s="15" t="n">
        <f aca="false">4_Normalizacion!A602</f>
        <v>597</v>
      </c>
      <c r="B604" s="16" t="n">
        <f aca="false">4_Normalizacion!B602</f>
        <v>59.839</v>
      </c>
      <c r="C604" s="21" t="n">
        <f aca="false">C$5*4_Normalizacion!C602</f>
        <v>0.00126894604045884</v>
      </c>
      <c r="D604" s="21" t="n">
        <f aca="false">D$5*4_Normalizacion!D602</f>
        <v>0.00020543122737585</v>
      </c>
      <c r="E604" s="21" t="n">
        <f aca="false">E$5*4_Normalizacion!E602</f>
        <v>0.000464234763412067</v>
      </c>
      <c r="F604" s="21" t="n">
        <f aca="false">F$5*4_Normalizacion!F602</f>
        <v>0.00161403739408304</v>
      </c>
      <c r="G604" s="21" t="n">
        <f aca="false">G$5*4_Normalizacion!G602</f>
        <v>0.000280339284607229</v>
      </c>
      <c r="H604" s="21" t="n">
        <f aca="false">H$5*4_Normalizacion!H602</f>
        <v>0.00169754589383076</v>
      </c>
      <c r="I604" s="21" t="n">
        <f aca="false">I$5*4_Normalizacion!I602</f>
        <v>0.00281086825420146</v>
      </c>
      <c r="J604" s="21" t="n">
        <f aca="false">J$5*4_Normalizacion!J602</f>
        <v>0.000255567041403239</v>
      </c>
      <c r="K604" s="21" t="n">
        <f aca="false">K$5*4_Normalizacion!K602</f>
        <v>3.90133374367575E-005</v>
      </c>
      <c r="L604" s="21" t="n">
        <f aca="false">L$5*4_Normalizacion!L602</f>
        <v>0.00233294324694855</v>
      </c>
      <c r="M604" s="21" t="n">
        <f aca="false">M$5*4_Normalizacion!M602</f>
        <v>0.000883451641088704</v>
      </c>
      <c r="N604" s="21" t="n">
        <f aca="false">N$5*4_Normalizacion!N602</f>
        <v>0.0075989803262918</v>
      </c>
      <c r="O604" s="21" t="n">
        <f aca="false">O$5*4_Normalizacion!O602</f>
        <v>0.00802349058619819</v>
      </c>
      <c r="P604" s="21" t="n">
        <f aca="false">P$5*4_Normalizacion!P602</f>
        <v>0.00271682439873943</v>
      </c>
      <c r="Q604" s="21" t="n">
        <f aca="false">Q$5*4_Normalizacion!Q602</f>
        <v>0.00571853143597797</v>
      </c>
    </row>
    <row r="605" customFormat="false" ht="15" hidden="false" customHeight="false" outlineLevel="0" collapsed="false">
      <c r="A605" s="15" t="n">
        <f aca="false">4_Normalizacion!A603</f>
        <v>598</v>
      </c>
      <c r="B605" s="16" t="n">
        <f aca="false">4_Normalizacion!B603</f>
        <v>59.94</v>
      </c>
      <c r="C605" s="21" t="n">
        <f aca="false">C$5*4_Normalizacion!C603</f>
        <v>0.00126894604045884</v>
      </c>
      <c r="D605" s="21" t="n">
        <f aca="false">D$5*4_Normalizacion!D603</f>
        <v>0.00020543122737585</v>
      </c>
      <c r="E605" s="21" t="n">
        <f aca="false">E$5*4_Normalizacion!E603</f>
        <v>0.000464234763412067</v>
      </c>
      <c r="F605" s="21" t="n">
        <f aca="false">F$5*4_Normalizacion!F603</f>
        <v>0.00161403739408304</v>
      </c>
      <c r="G605" s="21" t="n">
        <f aca="false">G$5*4_Normalizacion!G603</f>
        <v>0.000280339284607229</v>
      </c>
      <c r="H605" s="21" t="n">
        <f aca="false">H$5*4_Normalizacion!H603</f>
        <v>0.00169754589383076</v>
      </c>
      <c r="I605" s="21" t="n">
        <f aca="false">I$5*4_Normalizacion!I603</f>
        <v>0.00281086825420146</v>
      </c>
      <c r="J605" s="21" t="n">
        <f aca="false">J$5*4_Normalizacion!J603</f>
        <v>0.000255567041403239</v>
      </c>
      <c r="K605" s="21" t="n">
        <f aca="false">K$5*4_Normalizacion!K603</f>
        <v>3.90133374367575E-005</v>
      </c>
      <c r="L605" s="21" t="n">
        <f aca="false">L$5*4_Normalizacion!L603</f>
        <v>0.00236503187102005</v>
      </c>
      <c r="M605" s="21" t="n">
        <f aca="false">M$5*4_Normalizacion!M603</f>
        <v>0.000930753587735726</v>
      </c>
      <c r="N605" s="21" t="n">
        <f aca="false">N$5*4_Normalizacion!N603</f>
        <v>0.0075989803262918</v>
      </c>
      <c r="O605" s="21" t="n">
        <f aca="false">O$5*4_Normalizacion!O603</f>
        <v>0.00802349058619819</v>
      </c>
      <c r="P605" s="21" t="n">
        <f aca="false">P$5*4_Normalizacion!P603</f>
        <v>0.00271682439873943</v>
      </c>
      <c r="Q605" s="21" t="n">
        <f aca="false">Q$5*4_Normalizacion!Q603</f>
        <v>0.00285926571798898</v>
      </c>
    </row>
    <row r="606" customFormat="false" ht="15" hidden="false" customHeight="false" outlineLevel="0" collapsed="false">
      <c r="A606" s="15" t="n">
        <f aca="false">4_Normalizacion!A604</f>
        <v>599</v>
      </c>
      <c r="B606" s="16" t="n">
        <f aca="false">4_Normalizacion!B604</f>
        <v>60.041</v>
      </c>
      <c r="C606" s="21" t="n">
        <f aca="false">C$5*4_Normalizacion!C604</f>
        <v>0.00126894604045884</v>
      </c>
      <c r="D606" s="21" t="n">
        <f aca="false">D$5*4_Normalizacion!D604</f>
        <v>0.00020543122737585</v>
      </c>
      <c r="E606" s="21" t="n">
        <f aca="false">E$5*4_Normalizacion!E604</f>
        <v>0.000928469526824133</v>
      </c>
      <c r="F606" s="21" t="n">
        <f aca="false">F$5*4_Normalizacion!F604</f>
        <v>0.00121052804556228</v>
      </c>
      <c r="G606" s="21" t="n">
        <f aca="false">G$5*4_Normalizacion!G604</f>
        <v>0.000280339284607229</v>
      </c>
      <c r="H606" s="21" t="n">
        <f aca="false">H$5*4_Normalizacion!H604</f>
        <v>0.00169754589383076</v>
      </c>
      <c r="I606" s="21" t="n">
        <f aca="false">I$5*4_Normalizacion!I604</f>
        <v>0.00281086825420146</v>
      </c>
      <c r="J606" s="21" t="n">
        <f aca="false">J$5*4_Normalizacion!J604</f>
        <v>0.000255567041403239</v>
      </c>
      <c r="K606" s="21" t="n">
        <f aca="false">K$5*4_Normalizacion!K604</f>
        <v>3.90133374367575E-005</v>
      </c>
      <c r="L606" s="21" t="n">
        <f aca="false">L$5*4_Normalizacion!L604</f>
        <v>0.00239912603409603</v>
      </c>
      <c r="M606" s="21" t="n">
        <f aca="false">M$5*4_Normalizacion!M604</f>
        <v>0.000972065331532252</v>
      </c>
      <c r="N606" s="21" t="n">
        <f aca="false">N$5*4_Normalizacion!N604</f>
        <v>0.0075989803262918</v>
      </c>
      <c r="O606" s="21" t="n">
        <f aca="false">O$5*4_Normalizacion!O604</f>
        <v>0.00802349058619819</v>
      </c>
      <c r="P606" s="21" t="n">
        <f aca="false">P$5*4_Normalizacion!P604</f>
        <v>0.00271682439873943</v>
      </c>
      <c r="Q606" s="21" t="n">
        <f aca="false">Q$5*4_Normalizacion!Q604</f>
        <v>0.00285926571798898</v>
      </c>
    </row>
    <row r="607" customFormat="false" ht="15" hidden="false" customHeight="false" outlineLevel="0" collapsed="false">
      <c r="A607" s="15" t="n">
        <f aca="false">4_Normalizacion!A605</f>
        <v>600</v>
      </c>
      <c r="B607" s="16" t="n">
        <f aca="false">4_Normalizacion!B605</f>
        <v>60.141</v>
      </c>
      <c r="C607" s="21" t="n">
        <f aca="false">C$5*4_Normalizacion!C605</f>
        <v>0.00126894604045884</v>
      </c>
      <c r="D607" s="21" t="n">
        <f aca="false">D$5*4_Normalizacion!D605</f>
        <v>0.00020543122737585</v>
      </c>
      <c r="E607" s="21" t="n">
        <f aca="false">E$5*4_Normalizacion!E605</f>
        <v>0.0013927042902362</v>
      </c>
      <c r="F607" s="21" t="n">
        <f aca="false">F$5*4_Normalizacion!F605</f>
        <v>0.000807018697041519</v>
      </c>
      <c r="G607" s="21" t="n">
        <f aca="false">G$5*4_Normalizacion!G605</f>
        <v>0.000280339284607229</v>
      </c>
      <c r="H607" s="21" t="n">
        <f aca="false">H$5*4_Normalizacion!H605</f>
        <v>0.00169754589383076</v>
      </c>
      <c r="I607" s="21" t="n">
        <f aca="false">I$5*4_Normalizacion!I605</f>
        <v>0.00281086825420146</v>
      </c>
      <c r="J607" s="21" t="n">
        <f aca="false">J$5*4_Normalizacion!J605</f>
        <v>0.000255567041403239</v>
      </c>
      <c r="K607" s="21" t="n">
        <f aca="false">K$5*4_Normalizacion!K605</f>
        <v>3.90133374367575E-005</v>
      </c>
      <c r="L607" s="21" t="n">
        <f aca="false">L$5*4_Normalizacion!L605</f>
        <v>0.00242920911916306</v>
      </c>
      <c r="M607" s="21" t="n">
        <f aca="false">M$5*4_Normalizacion!M605</f>
        <v>0.00100511472656947</v>
      </c>
      <c r="N607" s="21" t="n">
        <f aca="false">N$5*4_Normalizacion!N605</f>
        <v>0.0075989803262918</v>
      </c>
      <c r="O607" s="21" t="n">
        <f aca="false">O$5*4_Normalizacion!O605</f>
        <v>0.00802349058619819</v>
      </c>
      <c r="P607" s="21" t="n">
        <f aca="false">P$5*4_Normalizacion!P605</f>
        <v>0.00271682439873943</v>
      </c>
      <c r="Q607" s="21" t="n">
        <f aca="false">Q$5*4_Normalizacion!Q605</f>
        <v>0.00285926571798898</v>
      </c>
    </row>
    <row r="608" customFormat="false" ht="15" hidden="false" customHeight="false" outlineLevel="0" collapsed="false">
      <c r="A608" s="15" t="n">
        <f aca="false">4_Normalizacion!A606</f>
        <v>601</v>
      </c>
      <c r="B608" s="16" t="n">
        <f aca="false">4_Normalizacion!B606</f>
        <v>60.241</v>
      </c>
      <c r="C608" s="21" t="n">
        <f aca="false">C$5*4_Normalizacion!C606</f>
        <v>0.00126894604045884</v>
      </c>
      <c r="D608" s="21" t="n">
        <f aca="false">D$5*4_Normalizacion!D606</f>
        <v>0.00020543122737585</v>
      </c>
      <c r="E608" s="21" t="n">
        <f aca="false">E$5*4_Normalizacion!E606</f>
        <v>0.0013927042902362</v>
      </c>
      <c r="F608" s="21" t="n">
        <f aca="false">F$5*4_Normalizacion!F606</f>
        <v>0.000807018697041519</v>
      </c>
      <c r="G608" s="21" t="n">
        <f aca="false">G$5*4_Normalizacion!G606</f>
        <v>0.000280339284607229</v>
      </c>
      <c r="H608" s="21" t="n">
        <f aca="false">H$5*4_Normalizacion!H606</f>
        <v>0.00169754589383076</v>
      </c>
      <c r="I608" s="21" t="n">
        <f aca="false">I$5*4_Normalizacion!I606</f>
        <v>0.00281086825420146</v>
      </c>
      <c r="J608" s="21" t="n">
        <f aca="false">J$5*4_Normalizacion!J606</f>
        <v>0.000255567041403239</v>
      </c>
      <c r="K608" s="21" t="n">
        <f aca="false">K$5*4_Normalizacion!K606</f>
        <v>3.90133374367575E-005</v>
      </c>
      <c r="L608" s="21" t="n">
        <f aca="false">L$5*4_Normalizacion!L606</f>
        <v>0.00244525343119881</v>
      </c>
      <c r="M608" s="21" t="n">
        <f aca="false">M$5*4_Normalizacion!M606</f>
        <v>0.00101048525326302</v>
      </c>
      <c r="N608" s="21" t="n">
        <f aca="false">N$5*4_Normalizacion!N606</f>
        <v>0.0075989803262918</v>
      </c>
      <c r="O608" s="21" t="n">
        <f aca="false">O$5*4_Normalizacion!O606</f>
        <v>0.00802349058619819</v>
      </c>
      <c r="P608" s="21" t="n">
        <f aca="false">P$5*4_Normalizacion!P606</f>
        <v>0.00271682439873943</v>
      </c>
      <c r="Q608" s="21" t="n">
        <f aca="false">Q$5*4_Normalizacion!Q606</f>
        <v>0.00285926571798898</v>
      </c>
    </row>
    <row r="609" customFormat="false" ht="15" hidden="false" customHeight="false" outlineLevel="0" collapsed="false">
      <c r="A609" s="15" t="n">
        <f aca="false">4_Normalizacion!A607</f>
        <v>602</v>
      </c>
      <c r="B609" s="16" t="n">
        <f aca="false">4_Normalizacion!B607</f>
        <v>60.341</v>
      </c>
      <c r="C609" s="21" t="n">
        <f aca="false">C$5*4_Normalizacion!C607</f>
        <v>0.00126894604045884</v>
      </c>
      <c r="D609" s="21" t="n">
        <f aca="false">D$5*4_Normalizacion!D607</f>
        <v>0.00020543122737585</v>
      </c>
      <c r="E609" s="21" t="n">
        <f aca="false">E$5*4_Normalizacion!E607</f>
        <v>0.00185693905364827</v>
      </c>
      <c r="F609" s="21" t="n">
        <f aca="false">F$5*4_Normalizacion!F607</f>
        <v>0.00040350934852076</v>
      </c>
      <c r="G609" s="21" t="n">
        <f aca="false">G$5*4_Normalizacion!G607</f>
        <v>0.000280339284607229</v>
      </c>
      <c r="H609" s="21" t="n">
        <f aca="false">H$5*4_Normalizacion!H607</f>
        <v>0.00169754589383076</v>
      </c>
      <c r="I609" s="21" t="n">
        <f aca="false">I$5*4_Normalizacion!I607</f>
        <v>0.00281086825420146</v>
      </c>
      <c r="J609" s="21" t="n">
        <f aca="false">J$5*4_Normalizacion!J607</f>
        <v>0.000255567041403239</v>
      </c>
      <c r="K609" s="21" t="n">
        <f aca="false">K$5*4_Normalizacion!K607</f>
        <v>3.90133374367575E-005</v>
      </c>
      <c r="L609" s="21" t="n">
        <f aca="false">L$5*4_Normalizacion!L607</f>
        <v>0.00246079635848345</v>
      </c>
      <c r="M609" s="21" t="n">
        <f aca="false">M$5*4_Normalizacion!M607</f>
        <v>0.000997678612686097</v>
      </c>
      <c r="N609" s="21" t="n">
        <f aca="false">N$5*4_Normalizacion!N607</f>
        <v>0.0075989803262918</v>
      </c>
      <c r="O609" s="21" t="n">
        <f aca="false">O$5*4_Normalizacion!O607</f>
        <v>0.00802349058619819</v>
      </c>
      <c r="P609" s="21" t="n">
        <f aca="false">P$5*4_Normalizacion!P607</f>
        <v>0.00271682439873943</v>
      </c>
      <c r="Q609" s="21" t="n">
        <f aca="false">Q$5*4_Normalizacion!Q607</f>
        <v>0.00285926571798898</v>
      </c>
    </row>
    <row r="610" customFormat="false" ht="15" hidden="false" customHeight="false" outlineLevel="0" collapsed="false">
      <c r="A610" s="15" t="n">
        <f aca="false">4_Normalizacion!A608</f>
        <v>603</v>
      </c>
      <c r="B610" s="16" t="n">
        <f aca="false">4_Normalizacion!B608</f>
        <v>60.441</v>
      </c>
      <c r="C610" s="21" t="n">
        <f aca="false">C$5*4_Normalizacion!C608</f>
        <v>0.00126894604045884</v>
      </c>
      <c r="D610" s="21" t="n">
        <f aca="false">D$5*4_Normalizacion!D608</f>
        <v>0.00020543122737585</v>
      </c>
      <c r="E610" s="21" t="n">
        <f aca="false">E$5*4_Normalizacion!E608</f>
        <v>0.00232117381706033</v>
      </c>
      <c r="F610" s="21" t="n">
        <f aca="false">F$5*4_Normalizacion!F608</f>
        <v>0.000807018697041519</v>
      </c>
      <c r="G610" s="21" t="n">
        <f aca="false">G$5*4_Normalizacion!G608</f>
        <v>0.000280339284607229</v>
      </c>
      <c r="H610" s="21" t="n">
        <f aca="false">H$5*4_Normalizacion!H608</f>
        <v>0.00169754589383076</v>
      </c>
      <c r="I610" s="21" t="n">
        <f aca="false">I$5*4_Normalizacion!I608</f>
        <v>0.00843260476260438</v>
      </c>
      <c r="J610" s="21" t="n">
        <f aca="false">J$5*4_Normalizacion!J608</f>
        <v>0.000255567041403239</v>
      </c>
      <c r="K610" s="21" t="n">
        <f aca="false">K$5*4_Normalizacion!K608</f>
        <v>3.90133374367575E-005</v>
      </c>
      <c r="L610" s="21" t="n">
        <f aca="false">L$5*4_Normalizacion!L608</f>
        <v>0.00245327558721669</v>
      </c>
      <c r="M610" s="21" t="n">
        <f aca="false">M$5*4_Normalizacion!M608</f>
        <v>0.000956779986327537</v>
      </c>
      <c r="N610" s="21" t="n">
        <f aca="false">N$5*4_Normalizacion!N608</f>
        <v>0.0075989803262918</v>
      </c>
      <c r="O610" s="21" t="n">
        <f aca="false">O$5*4_Normalizacion!O608</f>
        <v>0.00601761793964864</v>
      </c>
      <c r="P610" s="21" t="n">
        <f aca="false">P$5*4_Normalizacion!P608</f>
        <v>0.00271682439873943</v>
      </c>
      <c r="Q610" s="21" t="n">
        <f aca="false">Q$5*4_Normalizacion!Q608</f>
        <v>0.00285926571798898</v>
      </c>
    </row>
    <row r="611" customFormat="false" ht="15" hidden="false" customHeight="false" outlineLevel="0" collapsed="false">
      <c r="A611" s="15" t="n">
        <f aca="false">4_Normalizacion!A609</f>
        <v>604</v>
      </c>
      <c r="B611" s="16" t="n">
        <f aca="false">4_Normalizacion!B609</f>
        <v>60.541</v>
      </c>
      <c r="C611" s="21" t="n">
        <f aca="false">C$5*4_Normalizacion!C609</f>
        <v>0.00126894604045884</v>
      </c>
      <c r="D611" s="21" t="n">
        <f aca="false">D$5*4_Normalizacion!D609</f>
        <v>0.00016434498190068</v>
      </c>
      <c r="E611" s="21" t="n">
        <f aca="false">E$5*4_Normalizacion!E609</f>
        <v>0.00232117381706033</v>
      </c>
      <c r="F611" s="21" t="n">
        <f aca="false">F$5*4_Normalizacion!F609</f>
        <v>0.000807018697041519</v>
      </c>
      <c r="G611" s="21" t="n">
        <f aca="false">G$5*4_Normalizacion!G609</f>
        <v>0.000280339284607229</v>
      </c>
      <c r="H611" s="21" t="n">
        <f aca="false">H$5*4_Normalizacion!H609</f>
        <v>0.00169754589383076</v>
      </c>
      <c r="I611" s="21" t="n">
        <f aca="false">I$5*4_Normalizacion!I609</f>
        <v>0.00843260476260438</v>
      </c>
      <c r="J611" s="21" t="n">
        <f aca="false">J$5*4_Normalizacion!J609</f>
        <v>0.000255567041403239</v>
      </c>
      <c r="K611" s="21" t="n">
        <f aca="false">K$5*4_Normalizacion!K609</f>
        <v>3.90133374367575E-005</v>
      </c>
      <c r="L611" s="21" t="n">
        <f aca="false">L$5*4_Normalizacion!L609</f>
        <v>0.00237054710328234</v>
      </c>
      <c r="M611" s="21" t="n">
        <f aca="false">M$5*4_Normalizacion!M609</f>
        <v>0.000924969943604212</v>
      </c>
      <c r="N611" s="21" t="n">
        <f aca="false">N$5*4_Normalizacion!N609</f>
        <v>0.0075989803262918</v>
      </c>
      <c r="O611" s="21" t="n">
        <f aca="false">O$5*4_Normalizacion!O609</f>
        <v>0.00601761793964864</v>
      </c>
      <c r="P611" s="21" t="n">
        <f aca="false">P$5*4_Normalizacion!P609</f>
        <v>0.00271682439873943</v>
      </c>
      <c r="Q611" s="21" t="n">
        <f aca="false">Q$5*4_Normalizacion!Q609</f>
        <v>0.00285926571798898</v>
      </c>
    </row>
    <row r="612" customFormat="false" ht="15" hidden="false" customHeight="false" outlineLevel="0" collapsed="false">
      <c r="A612" s="15" t="n">
        <f aca="false">4_Normalizacion!A610</f>
        <v>605</v>
      </c>
      <c r="B612" s="16" t="n">
        <f aca="false">4_Normalizacion!B610</f>
        <v>60.641</v>
      </c>
      <c r="C612" s="21" t="n">
        <f aca="false">C$5*4_Normalizacion!C610</f>
        <v>0.00126894604045884</v>
      </c>
      <c r="D612" s="21" t="n">
        <f aca="false">D$5*4_Normalizacion!D610</f>
        <v>0.00016434498190068</v>
      </c>
      <c r="E612" s="21" t="n">
        <f aca="false">E$5*4_Normalizacion!E610</f>
        <v>0.00185693905364827</v>
      </c>
      <c r="F612" s="21" t="n">
        <f aca="false">F$5*4_Normalizacion!F610</f>
        <v>0.00040350934852076</v>
      </c>
      <c r="G612" s="21" t="n">
        <f aca="false">G$5*4_Normalizacion!G610</f>
        <v>0.000280339284607229</v>
      </c>
      <c r="H612" s="21" t="n">
        <f aca="false">H$5*4_Normalizacion!H610</f>
        <v>0.00169754589383076</v>
      </c>
      <c r="I612" s="21" t="n">
        <f aca="false">I$5*4_Normalizacion!I610</f>
        <v>0.00843260476260438</v>
      </c>
      <c r="J612" s="21" t="n">
        <f aca="false">J$5*4_Normalizacion!J610</f>
        <v>0.000255567041403239</v>
      </c>
      <c r="K612" s="21" t="n">
        <f aca="false">K$5*4_Normalizacion!K610</f>
        <v>3.90133374367575E-005</v>
      </c>
      <c r="L612" s="21" t="n">
        <f aca="false">L$5*4_Normalizacion!L610</f>
        <v>0.00202108193175362</v>
      </c>
      <c r="M612" s="21" t="n">
        <f aca="false">M$5*4_Normalizacion!M610</f>
        <v>0.000806818356346148</v>
      </c>
      <c r="N612" s="21" t="n">
        <f aca="false">N$5*4_Normalizacion!N610</f>
        <v>0.0075989803262918</v>
      </c>
      <c r="O612" s="21" t="n">
        <f aca="false">O$5*4_Normalizacion!O610</f>
        <v>0.0040117452930991</v>
      </c>
      <c r="P612" s="21" t="n">
        <f aca="false">P$5*4_Normalizacion!P610</f>
        <v>0.00271682439873943</v>
      </c>
      <c r="Q612" s="21" t="n">
        <f aca="false">Q$5*4_Normalizacion!Q610</f>
        <v>0.0142963285899449</v>
      </c>
    </row>
    <row r="613" customFormat="false" ht="15" hidden="false" customHeight="false" outlineLevel="0" collapsed="false">
      <c r="A613" s="15" t="n">
        <f aca="false">4_Normalizacion!A611</f>
        <v>606</v>
      </c>
      <c r="B613" s="16" t="n">
        <f aca="false">4_Normalizacion!B611</f>
        <v>60.741</v>
      </c>
      <c r="C613" s="21" t="n">
        <f aca="false">C$5*4_Normalizacion!C611</f>
        <v>0.00126894604045884</v>
      </c>
      <c r="D613" s="21" t="n">
        <f aca="false">D$5*4_Normalizacion!D611</f>
        <v>0.00016434498190068</v>
      </c>
      <c r="E613" s="21" t="n">
        <f aca="false">E$5*4_Normalizacion!E611</f>
        <v>0.00185693905364827</v>
      </c>
      <c r="F613" s="21" t="n">
        <f aca="false">F$5*4_Normalizacion!F611</f>
        <v>0.00040350934852076</v>
      </c>
      <c r="G613" s="21" t="n">
        <f aca="false">G$5*4_Normalizacion!G611</f>
        <v>0.000210254463455421</v>
      </c>
      <c r="H613" s="21" t="n">
        <f aca="false">H$5*4_Normalizacion!H611</f>
        <v>0.00169754589383076</v>
      </c>
      <c r="I613" s="21" t="n">
        <f aca="false">I$5*4_Normalizacion!I611</f>
        <v>0.00843260476260438</v>
      </c>
      <c r="J613" s="21" t="n">
        <f aca="false">J$5*4_Normalizacion!J611</f>
        <v>0.000255567041403239</v>
      </c>
      <c r="K613" s="21" t="n">
        <f aca="false">K$5*4_Normalizacion!K611</f>
        <v>3.90133374367575E-005</v>
      </c>
      <c r="L613" s="21" t="n">
        <f aca="false">L$5*4_Normalizacion!L611</f>
        <v>0.00191428697976565</v>
      </c>
      <c r="M613" s="21" t="n">
        <f aca="false">M$5*4_Normalizacion!M611</f>
        <v>0.000727499808256819</v>
      </c>
      <c r="N613" s="21" t="n">
        <f aca="false">N$5*4_Normalizacion!N611</f>
        <v>0.0075989803262918</v>
      </c>
      <c r="O613" s="21" t="n">
        <f aca="false">O$5*4_Normalizacion!O611</f>
        <v>0.00200587264654955</v>
      </c>
      <c r="P613" s="21" t="n">
        <f aca="false">P$5*4_Normalizacion!P611</f>
        <v>0.00271682439873943</v>
      </c>
      <c r="Q613" s="21" t="n">
        <f aca="false">Q$5*4_Normalizacion!Q611</f>
        <v>0.0142963285899449</v>
      </c>
    </row>
    <row r="614" customFormat="false" ht="15" hidden="false" customHeight="false" outlineLevel="0" collapsed="false">
      <c r="A614" s="15" t="n">
        <f aca="false">4_Normalizacion!A612</f>
        <v>607</v>
      </c>
      <c r="B614" s="16" t="n">
        <f aca="false">4_Normalizacion!B612</f>
        <v>60.841</v>
      </c>
      <c r="C614" s="21" t="n">
        <f aca="false">C$5*4_Normalizacion!C612</f>
        <v>0.00126894604045884</v>
      </c>
      <c r="D614" s="21" t="n">
        <f aca="false">D$5*4_Normalizacion!D612</f>
        <v>0.00016434498190068</v>
      </c>
      <c r="E614" s="21" t="n">
        <f aca="false">E$5*4_Normalizacion!E612</f>
        <v>0.00232117381706033</v>
      </c>
      <c r="F614" s="21" t="n">
        <f aca="false">F$5*4_Normalizacion!F612</f>
        <v>0.000807018697041519</v>
      </c>
      <c r="G614" s="21" t="n">
        <f aca="false">G$5*4_Normalizacion!G612</f>
        <v>0.000210254463455421</v>
      </c>
      <c r="H614" s="21" t="n">
        <f aca="false">H$5*4_Normalizacion!H612</f>
        <v>0.00169754589383076</v>
      </c>
      <c r="I614" s="21" t="n">
        <f aca="false">I$5*4_Normalizacion!I612</f>
        <v>0.0112434730168058</v>
      </c>
      <c r="J614" s="21" t="n">
        <f aca="false">J$5*4_Normalizacion!J612</f>
        <v>0.000255567041403239</v>
      </c>
      <c r="K614" s="21" t="n">
        <f aca="false">K$5*4_Normalizacion!K612</f>
        <v>3.90133374367575E-005</v>
      </c>
      <c r="L614" s="21" t="n">
        <f aca="false">L$5*4_Normalizacion!L612</f>
        <v>0.0018140100295422</v>
      </c>
      <c r="M614" s="21" t="n">
        <f aca="false">M$5*4_Normalizacion!M612</f>
        <v>0.000726260455942923</v>
      </c>
      <c r="N614" s="21" t="n">
        <f aca="false">N$5*4_Normalizacion!N612</f>
        <v>0.0075989803262918</v>
      </c>
      <c r="O614" s="21" t="n">
        <f aca="false">O$5*4_Normalizacion!O612</f>
        <v>0.00200587264654955</v>
      </c>
      <c r="P614" s="21" t="n">
        <f aca="false">P$5*4_Normalizacion!P612</f>
        <v>0.00271682439873943</v>
      </c>
      <c r="Q614" s="21" t="n">
        <f aca="false">Q$5*4_Normalizacion!Q612</f>
        <v>0.0142963285899449</v>
      </c>
    </row>
    <row r="615" customFormat="false" ht="15" hidden="false" customHeight="false" outlineLevel="0" collapsed="false">
      <c r="A615" s="15" t="n">
        <f aca="false">4_Normalizacion!A613</f>
        <v>608</v>
      </c>
      <c r="B615" s="16" t="n">
        <f aca="false">4_Normalizacion!B613</f>
        <v>60.942</v>
      </c>
      <c r="C615" s="21" t="n">
        <f aca="false">C$5*4_Normalizacion!C613</f>
        <v>0.00169192805394512</v>
      </c>
      <c r="D615" s="21" t="n">
        <f aca="false">D$5*4_Normalizacion!D613</f>
        <v>0.00016434498190068</v>
      </c>
      <c r="E615" s="21" t="n">
        <f aca="false">E$5*4_Normalizacion!E613</f>
        <v>0.00232117381706033</v>
      </c>
      <c r="F615" s="21" t="n">
        <f aca="false">F$5*4_Normalizacion!F613</f>
        <v>0.000807018697041519</v>
      </c>
      <c r="G615" s="21" t="n">
        <f aca="false">G$5*4_Normalizacion!G613</f>
        <v>0.000210254463455421</v>
      </c>
      <c r="H615" s="21" t="n">
        <f aca="false">H$5*4_Normalizacion!H613</f>
        <v>0.00169754589383076</v>
      </c>
      <c r="I615" s="21" t="n">
        <f aca="false">I$5*4_Normalizacion!I613</f>
        <v>0.00843260476260438</v>
      </c>
      <c r="J615" s="21" t="n">
        <f aca="false">J$5*4_Normalizacion!J613</f>
        <v>0.000255567041403239</v>
      </c>
      <c r="K615" s="21" t="n">
        <f aca="false">K$5*4_Normalizacion!K613</f>
        <v>3.90133374367575E-005</v>
      </c>
      <c r="L615" s="21" t="n">
        <f aca="false">L$5*4_Normalizacion!L613</f>
        <v>0.00160643674257966</v>
      </c>
      <c r="M615" s="21" t="n">
        <f aca="false">M$5*4_Normalizacion!M613</f>
        <v>0.00073390312854528</v>
      </c>
      <c r="N615" s="21" t="n">
        <f aca="false">N$5*4_Normalizacion!N613</f>
        <v>0.0075989803262918</v>
      </c>
      <c r="O615" s="21" t="n">
        <f aca="false">O$5*4_Normalizacion!O613</f>
        <v>0.00200587264654955</v>
      </c>
      <c r="P615" s="21" t="n">
        <f aca="false">P$5*4_Normalizacion!P613</f>
        <v>0.00271682439873943</v>
      </c>
      <c r="Q615" s="21" t="n">
        <f aca="false">Q$5*4_Normalizacion!Q613</f>
        <v>0.00285926571798898</v>
      </c>
    </row>
    <row r="616" customFormat="false" ht="15" hidden="false" customHeight="false" outlineLevel="0" collapsed="false">
      <c r="A616" s="15" t="n">
        <f aca="false">4_Normalizacion!A614</f>
        <v>609</v>
      </c>
      <c r="B616" s="16" t="n">
        <f aca="false">4_Normalizacion!B614</f>
        <v>61.042</v>
      </c>
      <c r="C616" s="21" t="n">
        <f aca="false">C$5*4_Normalizacion!C614</f>
        <v>0.00169192805394512</v>
      </c>
      <c r="D616" s="21" t="n">
        <f aca="false">D$5*4_Normalizacion!D614</f>
        <v>0.00016434498190068</v>
      </c>
      <c r="E616" s="21" t="n">
        <f aca="false">E$5*4_Normalizacion!E614</f>
        <v>0.00185693905364827</v>
      </c>
      <c r="F616" s="21" t="n">
        <f aca="false">F$5*4_Normalizacion!F614</f>
        <v>0.000807018697041519</v>
      </c>
      <c r="G616" s="21" t="n">
        <f aca="false">G$5*4_Normalizacion!G614</f>
        <v>0.000210254463455421</v>
      </c>
      <c r="H616" s="21" t="n">
        <f aca="false">H$5*4_Normalizacion!H614</f>
        <v>0.00169754589383076</v>
      </c>
      <c r="I616" s="21" t="n">
        <f aca="false">I$5*4_Normalizacion!I614</f>
        <v>0.00843260476260438</v>
      </c>
      <c r="J616" s="21" t="n">
        <f aca="false">J$5*4_Normalizacion!J614</f>
        <v>0.000255567041403239</v>
      </c>
      <c r="K616" s="21" t="n">
        <f aca="false">K$5*4_Normalizacion!K614</f>
        <v>3.90133374367575E-005</v>
      </c>
      <c r="L616" s="21" t="n">
        <f aca="false">L$5*4_Normalizacion!L614</f>
        <v>0.00147707947679141</v>
      </c>
      <c r="M616" s="21" t="n">
        <f aca="false">M$5*4_Normalizacion!M614</f>
        <v>0.000764267260235727</v>
      </c>
      <c r="N616" s="21" t="n">
        <f aca="false">N$5*4_Normalizacion!N614</f>
        <v>0.0075989803262918</v>
      </c>
      <c r="O616" s="21" t="n">
        <f aca="false">O$5*4_Normalizacion!O614</f>
        <v>0.00200587264654955</v>
      </c>
      <c r="P616" s="21" t="n">
        <f aca="false">P$5*4_Normalizacion!P614</f>
        <v>0.00271682439873943</v>
      </c>
      <c r="Q616" s="21" t="n">
        <f aca="false">Q$5*4_Normalizacion!Q614</f>
        <v>0.0142963285899449</v>
      </c>
    </row>
    <row r="617" customFormat="false" ht="15" hidden="false" customHeight="false" outlineLevel="0" collapsed="false">
      <c r="A617" s="15" t="n">
        <f aca="false">4_Normalizacion!A615</f>
        <v>610</v>
      </c>
      <c r="B617" s="16" t="n">
        <f aca="false">4_Normalizacion!B615</f>
        <v>61.141</v>
      </c>
      <c r="C617" s="21" t="n">
        <f aca="false">C$5*4_Normalizacion!C615</f>
        <v>0.00169192805394512</v>
      </c>
      <c r="D617" s="21" t="n">
        <f aca="false">D$5*4_Normalizacion!D615</f>
        <v>0.00016434498190068</v>
      </c>
      <c r="E617" s="21" t="n">
        <f aca="false">E$5*4_Normalizacion!E615</f>
        <v>0.00232117381706033</v>
      </c>
      <c r="F617" s="21" t="n">
        <f aca="false">F$5*4_Normalizacion!F615</f>
        <v>0.00040350934852076</v>
      </c>
      <c r="G617" s="21" t="n">
        <f aca="false">G$5*4_Normalizacion!G615</f>
        <v>0.000210254463455421</v>
      </c>
      <c r="H617" s="21" t="n">
        <f aca="false">H$5*4_Normalizacion!H615</f>
        <v>0.00169754589383076</v>
      </c>
      <c r="I617" s="21" t="n">
        <f aca="false">I$5*4_Normalizacion!I615</f>
        <v>0.00562173650840292</v>
      </c>
      <c r="J617" s="21" t="n">
        <f aca="false">J$5*4_Normalizacion!J615</f>
        <v>0.000255567041403239</v>
      </c>
      <c r="K617" s="21" t="n">
        <f aca="false">K$5*4_Normalizacion!K615</f>
        <v>3.90133374367575E-005</v>
      </c>
      <c r="L617" s="21" t="n">
        <f aca="false">L$5*4_Normalizacion!L615</f>
        <v>0.0013141294326783</v>
      </c>
      <c r="M617" s="21" t="n">
        <f aca="false">M$5*4_Normalizacion!M615</f>
        <v>0.000747329445279151</v>
      </c>
      <c r="N617" s="21" t="n">
        <f aca="false">N$5*4_Normalizacion!N615</f>
        <v>0.0075989803262918</v>
      </c>
      <c r="O617" s="21" t="n">
        <f aca="false">O$5*4_Normalizacion!O615</f>
        <v>0.00200587264654955</v>
      </c>
      <c r="P617" s="21" t="n">
        <f aca="false">P$5*4_Normalizacion!P615</f>
        <v>0.00271682439873943</v>
      </c>
      <c r="Q617" s="21" t="n">
        <f aca="false">Q$5*4_Normalizacion!Q615</f>
        <v>0.0142963285899449</v>
      </c>
    </row>
    <row r="618" customFormat="false" ht="15" hidden="false" customHeight="false" outlineLevel="0" collapsed="false">
      <c r="A618" s="15" t="n">
        <f aca="false">4_Normalizacion!A616</f>
        <v>611</v>
      </c>
      <c r="B618" s="16" t="n">
        <f aca="false">4_Normalizacion!B616</f>
        <v>61.241</v>
      </c>
      <c r="C618" s="21" t="n">
        <f aca="false">C$5*4_Normalizacion!C616</f>
        <v>0.00169192805394512</v>
      </c>
      <c r="D618" s="21" t="n">
        <f aca="false">D$5*4_Normalizacion!D616</f>
        <v>0.00016434498190068</v>
      </c>
      <c r="E618" s="21" t="n">
        <f aca="false">E$5*4_Normalizacion!E616</f>
        <v>0.00185693905364827</v>
      </c>
      <c r="F618" s="21" t="n">
        <f aca="false">F$5*4_Normalizacion!F616</f>
        <v>0.000807018697041519</v>
      </c>
      <c r="G618" s="21" t="n">
        <f aca="false">G$5*4_Normalizacion!G616</f>
        <v>0.000210254463455421</v>
      </c>
      <c r="H618" s="21" t="n">
        <f aca="false">H$5*4_Normalizacion!H616</f>
        <v>0.00169754589383076</v>
      </c>
      <c r="I618" s="21" t="n">
        <f aca="false">I$5*4_Normalizacion!I616</f>
        <v>0.00281086825420146</v>
      </c>
      <c r="J618" s="21" t="n">
        <f aca="false">J$5*4_Normalizacion!J616</f>
        <v>0.000255567041403239</v>
      </c>
      <c r="K618" s="21" t="n">
        <f aca="false">K$5*4_Normalizacion!K616</f>
        <v>3.90133374367575E-005</v>
      </c>
      <c r="L618" s="21" t="n">
        <f aca="false">L$5*4_Normalizacion!L616</f>
        <v>0.00152822072140537</v>
      </c>
      <c r="M618" s="21" t="n">
        <f aca="false">M$5*4_Normalizacion!M616</f>
        <v>0.000692178267310789</v>
      </c>
      <c r="N618" s="21" t="n">
        <f aca="false">N$5*4_Normalizacion!N616</f>
        <v>0.0075989803262918</v>
      </c>
      <c r="O618" s="21" t="n">
        <f aca="false">O$5*4_Normalizacion!O616</f>
        <v>0.00200587264654955</v>
      </c>
      <c r="P618" s="21" t="n">
        <f aca="false">P$5*4_Normalizacion!P616</f>
        <v>0.00271682439873943</v>
      </c>
      <c r="Q618" s="21" t="n">
        <f aca="false">Q$5*4_Normalizacion!Q616</f>
        <v>0.0142963285899449</v>
      </c>
    </row>
    <row r="619" customFormat="false" ht="15" hidden="false" customHeight="false" outlineLevel="0" collapsed="false">
      <c r="A619" s="15" t="n">
        <f aca="false">4_Normalizacion!A617</f>
        <v>612</v>
      </c>
      <c r="B619" s="16" t="n">
        <f aca="false">4_Normalizacion!B617</f>
        <v>61.341</v>
      </c>
      <c r="C619" s="21" t="n">
        <f aca="false">C$5*4_Normalizacion!C617</f>
        <v>0.00169192805394512</v>
      </c>
      <c r="D619" s="21" t="n">
        <f aca="false">D$5*4_Normalizacion!D617</f>
        <v>0.00016434498190068</v>
      </c>
      <c r="E619" s="21" t="n">
        <f aca="false">E$5*4_Normalizacion!E617</f>
        <v>0.00185693905364827</v>
      </c>
      <c r="F619" s="21" t="n">
        <f aca="false">F$5*4_Normalizacion!F617</f>
        <v>0.000807018697041519</v>
      </c>
      <c r="G619" s="21" t="n">
        <f aca="false">G$5*4_Normalizacion!G617</f>
        <v>0.000210254463455421</v>
      </c>
      <c r="H619" s="21" t="n">
        <f aca="false">H$5*4_Normalizacion!H617</f>
        <v>0.00169754589383076</v>
      </c>
      <c r="I619" s="21" t="n">
        <f aca="false">I$5*4_Normalizacion!I617</f>
        <v>0.00562173650840292</v>
      </c>
      <c r="J619" s="21" t="n">
        <f aca="false">J$5*4_Normalizacion!J617</f>
        <v>0.000255567041403239</v>
      </c>
      <c r="K619" s="21" t="n">
        <f aca="false">K$5*4_Normalizacion!K617</f>
        <v>3.90133374367575E-005</v>
      </c>
      <c r="L619" s="21" t="n">
        <f aca="false">L$5*4_Normalizacion!L617</f>
        <v>0.00166509875846038</v>
      </c>
      <c r="M619" s="21" t="n">
        <f aca="false">M$5*4_Normalizacion!M617</f>
        <v>0.000697961911442303</v>
      </c>
      <c r="N619" s="21" t="n">
        <f aca="false">N$5*4_Normalizacion!N617</f>
        <v>0.0075989803262918</v>
      </c>
      <c r="O619" s="21" t="n">
        <f aca="false">O$5*4_Normalizacion!O617</f>
        <v>0.00200587264654955</v>
      </c>
      <c r="P619" s="21" t="n">
        <f aca="false">P$5*4_Normalizacion!P617</f>
        <v>0.00271682439873943</v>
      </c>
      <c r="Q619" s="21" t="n">
        <f aca="false">Q$5*4_Normalizacion!Q617</f>
        <v>0.0142963285899449</v>
      </c>
    </row>
    <row r="620" customFormat="false" ht="15" hidden="false" customHeight="false" outlineLevel="0" collapsed="false">
      <c r="A620" s="15" t="n">
        <f aca="false">4_Normalizacion!A618</f>
        <v>613</v>
      </c>
      <c r="B620" s="16" t="n">
        <f aca="false">4_Normalizacion!B618</f>
        <v>61.44</v>
      </c>
      <c r="C620" s="21" t="n">
        <f aca="false">C$5*4_Normalizacion!C618</f>
        <v>0.00169192805394512</v>
      </c>
      <c r="D620" s="21" t="n">
        <f aca="false">D$5*4_Normalizacion!D618</f>
        <v>0.00016434498190068</v>
      </c>
      <c r="E620" s="21" t="n">
        <f aca="false">E$5*4_Normalizacion!E618</f>
        <v>0.00185693905364827</v>
      </c>
      <c r="F620" s="21" t="n">
        <f aca="false">F$5*4_Normalizacion!F618</f>
        <v>0.000807018697041519</v>
      </c>
      <c r="G620" s="21" t="n">
        <f aca="false">G$5*4_Normalizacion!G618</f>
        <v>0.000210254463455421</v>
      </c>
      <c r="H620" s="21" t="n">
        <f aca="false">H$5*4_Normalizacion!H618</f>
        <v>0.00169754589383076</v>
      </c>
      <c r="I620" s="21" t="n">
        <f aca="false">I$5*4_Normalizacion!I618</f>
        <v>0.00562173650840292</v>
      </c>
      <c r="J620" s="21" t="n">
        <f aca="false">J$5*4_Normalizacion!J618</f>
        <v>0.000255567041403239</v>
      </c>
      <c r="K620" s="21" t="n">
        <f aca="false">K$5*4_Normalizacion!K618</f>
        <v>3.90133374367575E-005</v>
      </c>
      <c r="L620" s="21" t="n">
        <f aca="false">L$5*4_Normalizacion!L618</f>
        <v>0.00197896561265977</v>
      </c>
      <c r="M620" s="21" t="n">
        <f aca="false">M$5*4_Normalizacion!M618</f>
        <v>0.000765713171268605</v>
      </c>
      <c r="N620" s="21" t="n">
        <f aca="false">N$5*4_Normalizacion!N618</f>
        <v>0.0075989803262918</v>
      </c>
      <c r="O620" s="21" t="n">
        <f aca="false">O$5*4_Normalizacion!O618</f>
        <v>0.0040117452930991</v>
      </c>
      <c r="P620" s="21" t="n">
        <f aca="false">P$5*4_Normalizacion!P618</f>
        <v>0.00271682439873943</v>
      </c>
      <c r="Q620" s="21" t="n">
        <f aca="false">Q$5*4_Normalizacion!Q618</f>
        <v>0.00857779715396695</v>
      </c>
    </row>
    <row r="621" customFormat="false" ht="15" hidden="false" customHeight="false" outlineLevel="0" collapsed="false">
      <c r="A621" s="15" t="n">
        <f aca="false">4_Normalizacion!A619</f>
        <v>614</v>
      </c>
      <c r="B621" s="16" t="n">
        <f aca="false">4_Normalizacion!B619</f>
        <v>61.538</v>
      </c>
      <c r="C621" s="21" t="n">
        <f aca="false">C$5*4_Normalizacion!C619</f>
        <v>0.00169192805394512</v>
      </c>
      <c r="D621" s="21" t="n">
        <f aca="false">D$5*4_Normalizacion!D619</f>
        <v>0.00016434498190068</v>
      </c>
      <c r="E621" s="21" t="n">
        <f aca="false">E$5*4_Normalizacion!E619</f>
        <v>0.00185693905364827</v>
      </c>
      <c r="F621" s="21" t="n">
        <f aca="false">F$5*4_Normalizacion!F619</f>
        <v>0.000807018697041519</v>
      </c>
      <c r="G621" s="21" t="n">
        <f aca="false">G$5*4_Normalizacion!G619</f>
        <v>0.000210254463455421</v>
      </c>
      <c r="H621" s="21" t="n">
        <f aca="false">H$5*4_Normalizacion!H619</f>
        <v>0.00169754589383076</v>
      </c>
      <c r="I621" s="21" t="n">
        <f aca="false">I$5*4_Normalizacion!I619</f>
        <v>0.00562173650840292</v>
      </c>
      <c r="J621" s="21" t="n">
        <f aca="false">J$5*4_Normalizacion!J619</f>
        <v>0.000255567041403239</v>
      </c>
      <c r="K621" s="21" t="n">
        <f aca="false">K$5*4_Normalizacion!K619</f>
        <v>3.90133374367575E-005</v>
      </c>
      <c r="L621" s="21" t="n">
        <f aca="false">L$5*4_Normalizacion!L619</f>
        <v>0.00216848904858209</v>
      </c>
      <c r="M621" s="21" t="n">
        <f aca="false">M$5*4_Normalizacion!M619</f>
        <v>0.000855566214026049</v>
      </c>
      <c r="N621" s="21" t="n">
        <f aca="false">N$5*4_Normalizacion!N619</f>
        <v>0.0075989803262918</v>
      </c>
      <c r="O621" s="21" t="n">
        <f aca="false">O$5*4_Normalizacion!O619</f>
        <v>0.00601761793964864</v>
      </c>
      <c r="P621" s="21" t="n">
        <f aca="false">P$5*4_Normalizacion!P619</f>
        <v>0.00271682439873943</v>
      </c>
      <c r="Q621" s="21" t="n">
        <f aca="false">Q$5*4_Normalizacion!Q619</f>
        <v>0.0142963285899449</v>
      </c>
    </row>
    <row r="622" customFormat="false" ht="15" hidden="false" customHeight="false" outlineLevel="0" collapsed="false">
      <c r="A622" s="15" t="n">
        <f aca="false">4_Normalizacion!A620</f>
        <v>615</v>
      </c>
      <c r="B622" s="16" t="n">
        <f aca="false">4_Normalizacion!B620</f>
        <v>61.636</v>
      </c>
      <c r="C622" s="21" t="n">
        <f aca="false">C$5*4_Normalizacion!C620</f>
        <v>0.00169192805394512</v>
      </c>
      <c r="D622" s="21" t="n">
        <f aca="false">D$5*4_Normalizacion!D620</f>
        <v>0.00016434498190068</v>
      </c>
      <c r="E622" s="21" t="n">
        <f aca="false">E$5*4_Normalizacion!E620</f>
        <v>0.00185693905364827</v>
      </c>
      <c r="F622" s="21" t="n">
        <f aca="false">F$5*4_Normalizacion!F620</f>
        <v>0.000807018697041519</v>
      </c>
      <c r="G622" s="21" t="n">
        <f aca="false">G$5*4_Normalizacion!G620</f>
        <v>0.000210254463455421</v>
      </c>
      <c r="H622" s="21" t="n">
        <f aca="false">H$5*4_Normalizacion!H620</f>
        <v>0.00169754589383076</v>
      </c>
      <c r="I622" s="21" t="n">
        <f aca="false">I$5*4_Normalizacion!I620</f>
        <v>0.00843260476260438</v>
      </c>
      <c r="J622" s="21" t="n">
        <f aca="false">J$5*4_Normalizacion!J620</f>
        <v>0.000255567041403239</v>
      </c>
      <c r="K622" s="21" t="n">
        <f aca="false">K$5*4_Normalizacion!K620</f>
        <v>3.90133374367575E-005</v>
      </c>
      <c r="L622" s="21" t="n">
        <f aca="false">L$5*4_Normalizacion!L620</f>
        <v>0.00222063306269829</v>
      </c>
      <c r="M622" s="21" t="n">
        <f aca="false">M$5*4_Normalizacion!M620</f>
        <v>0.000918773182034733</v>
      </c>
      <c r="N622" s="21" t="n">
        <f aca="false">N$5*4_Normalizacion!N620</f>
        <v>0.0075989803262918</v>
      </c>
      <c r="O622" s="21" t="n">
        <f aca="false">O$5*4_Normalizacion!O620</f>
        <v>0.00802349058619819</v>
      </c>
      <c r="P622" s="21" t="n">
        <f aca="false">P$5*4_Normalizacion!P620</f>
        <v>0.00271682439873943</v>
      </c>
      <c r="Q622" s="21" t="n">
        <f aca="false">Q$5*4_Normalizacion!Q620</f>
        <v>0.0142963285899449</v>
      </c>
    </row>
    <row r="623" customFormat="false" ht="15" hidden="false" customHeight="false" outlineLevel="0" collapsed="false">
      <c r="A623" s="15" t="n">
        <f aca="false">4_Normalizacion!A621</f>
        <v>616</v>
      </c>
      <c r="B623" s="16" t="n">
        <f aca="false">4_Normalizacion!B621</f>
        <v>61.733</v>
      </c>
      <c r="C623" s="21" t="n">
        <f aca="false">C$5*4_Normalizacion!C621</f>
        <v>0.00169192805394512</v>
      </c>
      <c r="D623" s="21" t="n">
        <f aca="false">D$5*4_Normalizacion!D621</f>
        <v>0.00016434498190068</v>
      </c>
      <c r="E623" s="21" t="n">
        <f aca="false">E$5*4_Normalizacion!E621</f>
        <v>0.00185693905364827</v>
      </c>
      <c r="F623" s="21" t="n">
        <f aca="false">F$5*4_Normalizacion!F621</f>
        <v>0.00040350934852076</v>
      </c>
      <c r="G623" s="21" t="n">
        <f aca="false">G$5*4_Normalizacion!G621</f>
        <v>0.000210254463455421</v>
      </c>
      <c r="H623" s="21" t="n">
        <f aca="false">H$5*4_Normalizacion!H621</f>
        <v>0.00169754589383076</v>
      </c>
      <c r="I623" s="21" t="n">
        <f aca="false">I$5*4_Normalizacion!I621</f>
        <v>0.00843260476260438</v>
      </c>
      <c r="J623" s="21" t="n">
        <f aca="false">J$5*4_Normalizacion!J621</f>
        <v>0.000255567041403239</v>
      </c>
      <c r="K623" s="21" t="n">
        <f aca="false">K$5*4_Normalizacion!K621</f>
        <v>3.90133374367575E-005</v>
      </c>
      <c r="L623" s="21" t="n">
        <f aca="false">L$5*4_Normalizacion!L621</f>
        <v>0.00219506244039131</v>
      </c>
      <c r="M623" s="21" t="n">
        <f aca="false">M$5*4_Normalizacion!M621</f>
        <v>0.000895018929351731</v>
      </c>
      <c r="N623" s="21" t="n">
        <f aca="false">N$5*4_Normalizacion!N621</f>
        <v>0.0075989803262918</v>
      </c>
      <c r="O623" s="21" t="n">
        <f aca="false">O$5*4_Normalizacion!O621</f>
        <v>0.00601761793964864</v>
      </c>
      <c r="P623" s="21" t="n">
        <f aca="false">P$5*4_Normalizacion!P621</f>
        <v>0.00271682439873943</v>
      </c>
      <c r="Q623" s="21" t="n">
        <f aca="false">Q$5*4_Normalizacion!Q621</f>
        <v>0.0142963285899449</v>
      </c>
    </row>
    <row r="624" customFormat="false" ht="15" hidden="false" customHeight="false" outlineLevel="0" collapsed="false">
      <c r="A624" s="15" t="n">
        <f aca="false">4_Normalizacion!A622</f>
        <v>617</v>
      </c>
      <c r="B624" s="16" t="n">
        <f aca="false">4_Normalizacion!B622</f>
        <v>61.83</v>
      </c>
      <c r="C624" s="21" t="n">
        <f aca="false">C$5*4_Normalizacion!C622</f>
        <v>0.00169192805394512</v>
      </c>
      <c r="D624" s="21" t="n">
        <f aca="false">D$5*4_Normalizacion!D622</f>
        <v>0.00016434498190068</v>
      </c>
      <c r="E624" s="21" t="n">
        <f aca="false">E$5*4_Normalizacion!E622</f>
        <v>0.00185693905364827</v>
      </c>
      <c r="F624" s="21" t="n">
        <f aca="false">F$5*4_Normalizacion!F622</f>
        <v>0.00121052804556228</v>
      </c>
      <c r="G624" s="21" t="n">
        <f aca="false">G$5*4_Normalizacion!G622</f>
        <v>0.000210254463455421</v>
      </c>
      <c r="H624" s="21" t="n">
        <f aca="false">H$5*4_Normalizacion!H622</f>
        <v>0.00169754589383076</v>
      </c>
      <c r="I624" s="21" t="n">
        <f aca="false">I$5*4_Normalizacion!I622</f>
        <v>0.00562173650840292</v>
      </c>
      <c r="J624" s="21" t="n">
        <f aca="false">J$5*4_Normalizacion!J622</f>
        <v>0.000255567041403239</v>
      </c>
      <c r="K624" s="21" t="n">
        <f aca="false">K$5*4_Normalizacion!K622</f>
        <v>3.90133374367575E-005</v>
      </c>
      <c r="L624" s="21" t="n">
        <f aca="false">L$5*4_Normalizacion!L622</f>
        <v>0.00149563071258275</v>
      </c>
      <c r="M624" s="21" t="n">
        <f aca="false">M$5*4_Normalizacion!M622</f>
        <v>0.000737414626767985</v>
      </c>
      <c r="N624" s="21" t="n">
        <f aca="false">N$5*4_Normalizacion!N622</f>
        <v>0.0075989803262918</v>
      </c>
      <c r="O624" s="21" t="n">
        <f aca="false">O$5*4_Normalizacion!O622</f>
        <v>0.00200587264654955</v>
      </c>
      <c r="P624" s="21" t="n">
        <f aca="false">P$5*4_Normalizacion!P622</f>
        <v>0.00271682439873943</v>
      </c>
      <c r="Q624" s="21" t="n">
        <f aca="false">Q$5*4_Normalizacion!Q622</f>
        <v>0.0142963285899449</v>
      </c>
    </row>
    <row r="625" customFormat="false" ht="15" hidden="false" customHeight="false" outlineLevel="0" collapsed="false">
      <c r="A625" s="15" t="n">
        <f aca="false">4_Normalizacion!A623</f>
        <v>618</v>
      </c>
      <c r="B625" s="16" t="n">
        <f aca="false">4_Normalizacion!B623</f>
        <v>61.926</v>
      </c>
      <c r="C625" s="21" t="n">
        <f aca="false">C$5*4_Normalizacion!C623</f>
        <v>0.00169192805394512</v>
      </c>
      <c r="D625" s="21" t="n">
        <f aca="false">D$5*4_Normalizacion!D623</f>
        <v>0.00016434498190068</v>
      </c>
      <c r="E625" s="21" t="n">
        <f aca="false">E$5*4_Normalizacion!E623</f>
        <v>0.00185693905364827</v>
      </c>
      <c r="F625" s="21" t="n">
        <f aca="false">F$5*4_Normalizacion!F623</f>
        <v>0.00121052804556228</v>
      </c>
      <c r="G625" s="21" t="n">
        <f aca="false">G$5*4_Normalizacion!G623</f>
        <v>0.000210254463455421</v>
      </c>
      <c r="H625" s="21" t="n">
        <f aca="false">H$5*4_Normalizacion!H623</f>
        <v>0.00169754589383076</v>
      </c>
      <c r="I625" s="21" t="n">
        <f aca="false">I$5*4_Normalizacion!I623</f>
        <v>0.00281086825420146</v>
      </c>
      <c r="J625" s="21" t="n">
        <f aca="false">J$5*4_Normalizacion!J623</f>
        <v>0.000255567041403239</v>
      </c>
      <c r="K625" s="21" t="n">
        <f aca="false">K$5*4_Normalizacion!K623</f>
        <v>3.90133374367575E-005</v>
      </c>
      <c r="L625" s="21" t="n">
        <f aca="false">L$5*4_Normalizacion!L623</f>
        <v>0.00192180775103241</v>
      </c>
      <c r="M625" s="21" t="n">
        <f aca="false">M$5*4_Normalizacion!M623</f>
        <v>0.000587659555505579</v>
      </c>
      <c r="N625" s="21" t="n">
        <f aca="false">N$5*4_Normalizacion!N623</f>
        <v>0.0075989803262918</v>
      </c>
      <c r="O625" s="21" t="n">
        <f aca="false">O$5*4_Normalizacion!O623</f>
        <v>0.00200587264654955</v>
      </c>
      <c r="P625" s="21" t="n">
        <f aca="false">P$5*4_Normalizacion!P623</f>
        <v>0.00271682439873943</v>
      </c>
      <c r="Q625" s="21" t="n">
        <f aca="false">Q$5*4_Normalizacion!Q623</f>
        <v>0.0142963285899449</v>
      </c>
    </row>
    <row r="626" customFormat="false" ht="15" hidden="false" customHeight="false" outlineLevel="0" collapsed="false">
      <c r="A626" s="15" t="n">
        <f aca="false">4_Normalizacion!A624</f>
        <v>619</v>
      </c>
      <c r="B626" s="16" t="n">
        <f aca="false">4_Normalizacion!B624</f>
        <v>62.021</v>
      </c>
      <c r="C626" s="21" t="n">
        <f aca="false">C$5*4_Normalizacion!C624</f>
        <v>0.00169192805394512</v>
      </c>
      <c r="D626" s="21" t="n">
        <f aca="false">D$5*4_Normalizacion!D624</f>
        <v>0.00016434498190068</v>
      </c>
      <c r="E626" s="21" t="n">
        <f aca="false">E$5*4_Normalizacion!E624</f>
        <v>0.00185693905364827</v>
      </c>
      <c r="F626" s="21" t="n">
        <f aca="false">F$5*4_Normalizacion!F624</f>
        <v>0.00161403739408304</v>
      </c>
      <c r="G626" s="21" t="n">
        <f aca="false">G$5*4_Normalizacion!G624</f>
        <v>0.000280339284607229</v>
      </c>
      <c r="H626" s="21" t="n">
        <f aca="false">H$5*4_Normalizacion!H624</f>
        <v>0.00169754589383076</v>
      </c>
      <c r="I626" s="21" t="n">
        <f aca="false">I$5*4_Normalizacion!I624</f>
        <v>0.00281086825420146</v>
      </c>
      <c r="J626" s="21" t="n">
        <f aca="false">J$5*4_Normalizacion!J624</f>
        <v>0.000255567041403239</v>
      </c>
      <c r="K626" s="21" t="n">
        <f aca="false">K$5*4_Normalizacion!K624</f>
        <v>3.90133374367575E-005</v>
      </c>
      <c r="L626" s="21" t="n">
        <f aca="false">L$5*4_Normalizacion!L624</f>
        <v>0.00194035898682374</v>
      </c>
      <c r="M626" s="21" t="n">
        <f aca="false">M$5*4_Normalizacion!M624</f>
        <v>0.000547587164022949</v>
      </c>
      <c r="N626" s="21" t="n">
        <f aca="false">N$5*4_Normalizacion!N624</f>
        <v>0.0075989803262918</v>
      </c>
      <c r="O626" s="21" t="n">
        <f aca="false">O$5*4_Normalizacion!O624</f>
        <v>0.00200587264654955</v>
      </c>
      <c r="P626" s="21" t="n">
        <f aca="false">P$5*4_Normalizacion!P624</f>
        <v>0.00271682439873943</v>
      </c>
      <c r="Q626" s="21" t="n">
        <f aca="false">Q$5*4_Normalizacion!Q624</f>
        <v>0.0142963285899449</v>
      </c>
    </row>
    <row r="627" customFormat="false" ht="15" hidden="false" customHeight="false" outlineLevel="0" collapsed="false">
      <c r="A627" s="15" t="n">
        <f aca="false">4_Normalizacion!A625</f>
        <v>620</v>
      </c>
      <c r="B627" s="16" t="n">
        <f aca="false">4_Normalizacion!B625</f>
        <v>62.115</v>
      </c>
      <c r="C627" s="21" t="n">
        <f aca="false">C$5*4_Normalizacion!C625</f>
        <v>0.00169192805394512</v>
      </c>
      <c r="D627" s="21" t="n">
        <f aca="false">D$5*4_Normalizacion!D625</f>
        <v>0.00016434498190068</v>
      </c>
      <c r="E627" s="21" t="n">
        <f aca="false">E$5*4_Normalizacion!E625</f>
        <v>0.00185693905364827</v>
      </c>
      <c r="F627" s="21" t="n">
        <f aca="false">F$5*4_Normalizacion!F625</f>
        <v>0.00161403739408304</v>
      </c>
      <c r="G627" s="21" t="n">
        <f aca="false">G$5*4_Normalizacion!G625</f>
        <v>0.000280339284607229</v>
      </c>
      <c r="H627" s="21" t="n">
        <f aca="false">H$5*4_Normalizacion!H625</f>
        <v>0.00169754589383076</v>
      </c>
      <c r="I627" s="21" t="n">
        <f aca="false">I$5*4_Normalizacion!I625</f>
        <v>0.00562173650840292</v>
      </c>
      <c r="J627" s="21" t="n">
        <f aca="false">J$5*4_Normalizacion!J625</f>
        <v>0.000255567041403239</v>
      </c>
      <c r="K627" s="21" t="n">
        <f aca="false">K$5*4_Normalizacion!K625</f>
        <v>3.90133374367575E-005</v>
      </c>
      <c r="L627" s="21" t="n">
        <f aca="false">L$5*4_Normalizacion!L625</f>
        <v>0.00193885483257039</v>
      </c>
      <c r="M627" s="21" t="n">
        <f aca="false">M$5*4_Normalizacion!M625</f>
        <v>0.000542629754767366</v>
      </c>
      <c r="N627" s="21" t="n">
        <f aca="false">N$5*4_Normalizacion!N625</f>
        <v>0.0075989803262918</v>
      </c>
      <c r="O627" s="21" t="n">
        <f aca="false">O$5*4_Normalizacion!O625</f>
        <v>0.00200587264654955</v>
      </c>
      <c r="P627" s="21" t="n">
        <f aca="false">P$5*4_Normalizacion!P625</f>
        <v>0.00271682439873943</v>
      </c>
      <c r="Q627" s="21" t="n">
        <f aca="false">Q$5*4_Normalizacion!Q625</f>
        <v>0.0142963285899449</v>
      </c>
    </row>
    <row r="628" customFormat="false" ht="15" hidden="false" customHeight="false" outlineLevel="0" collapsed="false">
      <c r="A628" s="15" t="n">
        <f aca="false">4_Normalizacion!A626</f>
        <v>621</v>
      </c>
      <c r="B628" s="16" t="n">
        <f aca="false">4_Normalizacion!B626</f>
        <v>62.208</v>
      </c>
      <c r="C628" s="21" t="n">
        <f aca="false">C$5*4_Normalizacion!C626</f>
        <v>0.00169192805394512</v>
      </c>
      <c r="D628" s="21" t="n">
        <f aca="false">D$5*4_Normalizacion!D626</f>
        <v>0.00016434498190068</v>
      </c>
      <c r="E628" s="21" t="n">
        <f aca="false">E$5*4_Normalizacion!E626</f>
        <v>0.00185693905364827</v>
      </c>
      <c r="F628" s="21" t="n">
        <f aca="false">F$5*4_Normalizacion!F626</f>
        <v>0.0020175467426038</v>
      </c>
      <c r="G628" s="21" t="n">
        <f aca="false">G$5*4_Normalizacion!G626</f>
        <v>0.000280339284607229</v>
      </c>
      <c r="H628" s="21" t="n">
        <f aca="false">H$5*4_Normalizacion!H626</f>
        <v>0.00169754589383076</v>
      </c>
      <c r="I628" s="21" t="n">
        <f aca="false">I$5*4_Normalizacion!I626</f>
        <v>0.00281086825420146</v>
      </c>
      <c r="J628" s="21" t="n">
        <f aca="false">J$5*4_Normalizacion!J626</f>
        <v>0.000255567041403239</v>
      </c>
      <c r="K628" s="21" t="n">
        <f aca="false">K$5*4_Normalizacion!K626</f>
        <v>3.90133374367575E-005</v>
      </c>
      <c r="L628" s="21" t="n">
        <f aca="false">L$5*4_Normalizacion!L626</f>
        <v>0.00190877174750336</v>
      </c>
      <c r="M628" s="21" t="n">
        <f aca="false">M$5*4_Normalizacion!M626</f>
        <v>0.000537878904230766</v>
      </c>
      <c r="N628" s="21" t="n">
        <f aca="false">N$5*4_Normalizacion!N626</f>
        <v>0.0075989803262918</v>
      </c>
      <c r="O628" s="21" t="n">
        <f aca="false">O$5*4_Normalizacion!O626</f>
        <v>0.00200587264654955</v>
      </c>
      <c r="P628" s="21" t="n">
        <f aca="false">P$5*4_Normalizacion!P626</f>
        <v>0.00271682439873943</v>
      </c>
      <c r="Q628" s="21" t="n">
        <f aca="false">Q$5*4_Normalizacion!Q626</f>
        <v>0.0142963285899449</v>
      </c>
    </row>
    <row r="629" customFormat="false" ht="15" hidden="false" customHeight="false" outlineLevel="0" collapsed="false">
      <c r="A629" s="15" t="n">
        <f aca="false">4_Normalizacion!A627</f>
        <v>622</v>
      </c>
      <c r="B629" s="16" t="n">
        <f aca="false">4_Normalizacion!B627</f>
        <v>62.299</v>
      </c>
      <c r="C629" s="21" t="n">
        <f aca="false">C$5*4_Normalizacion!C627</f>
        <v>0.00169192805394512</v>
      </c>
      <c r="D629" s="21" t="n">
        <f aca="false">D$5*4_Normalizacion!D627</f>
        <v>0.00016434498190068</v>
      </c>
      <c r="E629" s="21" t="n">
        <f aca="false">E$5*4_Normalizacion!E627</f>
        <v>0.00185693905364827</v>
      </c>
      <c r="F629" s="21" t="n">
        <f aca="false">F$5*4_Normalizacion!F627</f>
        <v>0.00161403739408304</v>
      </c>
      <c r="G629" s="21" t="n">
        <f aca="false">G$5*4_Normalizacion!G627</f>
        <v>0.000280339284607229</v>
      </c>
      <c r="H629" s="21" t="n">
        <f aca="false">H$5*4_Normalizacion!H627</f>
        <v>0.00169754589383076</v>
      </c>
      <c r="I629" s="21" t="n">
        <f aca="false">I$5*4_Normalizacion!I627</f>
        <v>0.00281086825420146</v>
      </c>
      <c r="J629" s="21" t="n">
        <f aca="false">J$5*4_Normalizacion!J627</f>
        <v>0.000255567041403239</v>
      </c>
      <c r="K629" s="21" t="n">
        <f aca="false">K$5*4_Normalizacion!K627</f>
        <v>3.90133374367575E-005</v>
      </c>
      <c r="L629" s="21" t="n">
        <f aca="false">L$5*4_Normalizacion!L627</f>
        <v>0.00189272743546761</v>
      </c>
      <c r="M629" s="21" t="n">
        <f aca="false">M$5*4_Normalizacion!M627</f>
        <v>0.000518668943365381</v>
      </c>
      <c r="N629" s="21" t="n">
        <f aca="false">N$5*4_Normalizacion!N627</f>
        <v>0.0075989803262918</v>
      </c>
      <c r="O629" s="21" t="n">
        <f aca="false">O$5*4_Normalizacion!O627</f>
        <v>0.00200587264654955</v>
      </c>
      <c r="P629" s="21" t="n">
        <f aca="false">P$5*4_Normalizacion!P627</f>
        <v>0.00271682439873943</v>
      </c>
      <c r="Q629" s="21" t="n">
        <f aca="false">Q$5*4_Normalizacion!Q627</f>
        <v>0.0114370628719559</v>
      </c>
    </row>
    <row r="630" customFormat="false" ht="15" hidden="false" customHeight="false" outlineLevel="0" collapsed="false">
      <c r="A630" s="15" t="n">
        <f aca="false">4_Normalizacion!A628</f>
        <v>623</v>
      </c>
      <c r="B630" s="16" t="n">
        <f aca="false">4_Normalizacion!B628</f>
        <v>62.388</v>
      </c>
      <c r="C630" s="21" t="n">
        <f aca="false">C$5*4_Normalizacion!C628</f>
        <v>0.00211491006743141</v>
      </c>
      <c r="D630" s="21" t="n">
        <f aca="false">D$5*4_Normalizacion!D628</f>
        <v>0.00016434498190068</v>
      </c>
      <c r="E630" s="21" t="n">
        <f aca="false">E$5*4_Normalizacion!E628</f>
        <v>0.00185693905364827</v>
      </c>
      <c r="F630" s="21" t="n">
        <f aca="false">F$5*4_Normalizacion!F628</f>
        <v>0.00161403739408304</v>
      </c>
      <c r="G630" s="21" t="n">
        <f aca="false">G$5*4_Normalizacion!G628</f>
        <v>0.000280339284607229</v>
      </c>
      <c r="H630" s="21" t="n">
        <f aca="false">H$5*4_Normalizacion!H628</f>
        <v>0.00169754589383076</v>
      </c>
      <c r="I630" s="21" t="n">
        <f aca="false">I$5*4_Normalizacion!I628</f>
        <v>0.00562173650840292</v>
      </c>
      <c r="J630" s="21" t="n">
        <f aca="false">J$5*4_Normalizacion!J628</f>
        <v>0.000255567041403239</v>
      </c>
      <c r="K630" s="21" t="n">
        <f aca="false">K$5*4_Normalizacion!K628</f>
        <v>3.90133374367575E-005</v>
      </c>
      <c r="L630" s="21" t="n">
        <f aca="false">L$5*4_Normalizacion!L628</f>
        <v>0.00182153080080896</v>
      </c>
      <c r="M630" s="21" t="n">
        <f aca="false">M$5*4_Normalizacion!M628</f>
        <v>0.000512059064357937</v>
      </c>
      <c r="N630" s="21" t="n">
        <f aca="false">N$5*4_Normalizacion!N628</f>
        <v>0.0075989803262918</v>
      </c>
      <c r="O630" s="21" t="n">
        <f aca="false">O$5*4_Normalizacion!O628</f>
        <v>0.00200587264654955</v>
      </c>
      <c r="P630" s="21" t="n">
        <f aca="false">P$5*4_Normalizacion!P628</f>
        <v>0.00271682439873943</v>
      </c>
      <c r="Q630" s="21" t="n">
        <f aca="false">Q$5*4_Normalizacion!Q628</f>
        <v>0.0114370628719559</v>
      </c>
    </row>
    <row r="631" customFormat="false" ht="15" hidden="false" customHeight="false" outlineLevel="0" collapsed="false">
      <c r="A631" s="15" t="n">
        <f aca="false">4_Normalizacion!A629</f>
        <v>624</v>
      </c>
      <c r="B631" s="16" t="n">
        <f aca="false">4_Normalizacion!B629</f>
        <v>62.474</v>
      </c>
      <c r="C631" s="21" t="n">
        <f aca="false">C$5*4_Normalizacion!C629</f>
        <v>0.00169192805394512</v>
      </c>
      <c r="D631" s="21" t="n">
        <f aca="false">D$5*4_Normalizacion!D629</f>
        <v>0.00016434498190068</v>
      </c>
      <c r="E631" s="21" t="n">
        <f aca="false">E$5*4_Normalizacion!E629</f>
        <v>0.00185693905364827</v>
      </c>
      <c r="F631" s="21" t="n">
        <f aca="false">F$5*4_Normalizacion!F629</f>
        <v>0.00161403739408304</v>
      </c>
      <c r="G631" s="21" t="n">
        <f aca="false">G$5*4_Normalizacion!G629</f>
        <v>0.000210254463455421</v>
      </c>
      <c r="H631" s="21" t="n">
        <f aca="false">H$5*4_Normalizacion!H629</f>
        <v>0.00169754589383076</v>
      </c>
      <c r="I631" s="21" t="n">
        <f aca="false">I$5*4_Normalizacion!I629</f>
        <v>0.00281086825420146</v>
      </c>
      <c r="J631" s="21" t="n">
        <f aca="false">J$5*4_Normalizacion!J629</f>
        <v>0.000255567041403239</v>
      </c>
      <c r="K631" s="21" t="n">
        <f aca="false">K$5*4_Normalizacion!K629</f>
        <v>3.90133374367575E-005</v>
      </c>
      <c r="L631" s="21" t="n">
        <f aca="false">L$5*4_Normalizacion!L629</f>
        <v>0.00175233970515478</v>
      </c>
      <c r="M631" s="21" t="n">
        <f aca="false">M$5*4_Normalizacion!M629</f>
        <v>0.000533954288570096</v>
      </c>
      <c r="N631" s="21" t="n">
        <f aca="false">N$5*4_Normalizacion!N629</f>
        <v>0.0075989803262918</v>
      </c>
      <c r="O631" s="21" t="n">
        <f aca="false">O$5*4_Normalizacion!O629</f>
        <v>0.00200587264654955</v>
      </c>
      <c r="P631" s="21" t="n">
        <f aca="false">P$5*4_Normalizacion!P629</f>
        <v>0.00271682439873943</v>
      </c>
      <c r="Q631" s="21" t="n">
        <f aca="false">Q$5*4_Normalizacion!Q629</f>
        <v>0.0114370628719559</v>
      </c>
    </row>
    <row r="632" customFormat="false" ht="15" hidden="false" customHeight="false" outlineLevel="0" collapsed="false">
      <c r="A632" s="15" t="n">
        <f aca="false">4_Normalizacion!A630</f>
        <v>625</v>
      </c>
      <c r="B632" s="16" t="n">
        <f aca="false">4_Normalizacion!B630</f>
        <v>62.562</v>
      </c>
      <c r="C632" s="21" t="n">
        <f aca="false">C$5*4_Normalizacion!C630</f>
        <v>0.00211491006743141</v>
      </c>
      <c r="D632" s="21" t="n">
        <f aca="false">D$5*4_Normalizacion!D630</f>
        <v>0.00016434498190068</v>
      </c>
      <c r="E632" s="21" t="n">
        <f aca="false">E$5*4_Normalizacion!E630</f>
        <v>0.00185693905364827</v>
      </c>
      <c r="F632" s="21" t="n">
        <f aca="false">F$5*4_Normalizacion!F630</f>
        <v>0.00161403739408304</v>
      </c>
      <c r="G632" s="21" t="n">
        <f aca="false">G$5*4_Normalizacion!G630</f>
        <v>0.000210254463455421</v>
      </c>
      <c r="H632" s="21" t="n">
        <f aca="false">H$5*4_Normalizacion!H630</f>
        <v>0.00169754589383076</v>
      </c>
      <c r="I632" s="21" t="n">
        <f aca="false">I$5*4_Normalizacion!I630</f>
        <v>0.00281086825420146</v>
      </c>
      <c r="J632" s="21" t="n">
        <f aca="false">J$5*4_Normalizacion!J630</f>
        <v>0.000255567041403239</v>
      </c>
      <c r="K632" s="21" t="n">
        <f aca="false">K$5*4_Normalizacion!K630</f>
        <v>3.90133374367575E-005</v>
      </c>
      <c r="L632" s="21" t="n">
        <f aca="false">L$5*4_Normalizacion!L630</f>
        <v>0.00149412655832939</v>
      </c>
      <c r="M632" s="21" t="n">
        <f aca="false">M$5*4_Normalizacion!M630</f>
        <v>0.000604803929181137</v>
      </c>
      <c r="N632" s="21" t="n">
        <f aca="false">N$5*4_Normalizacion!N630</f>
        <v>0.0075989803262918</v>
      </c>
      <c r="O632" s="21" t="n">
        <f aca="false">O$5*4_Normalizacion!O630</f>
        <v>0.00200587264654955</v>
      </c>
      <c r="P632" s="21" t="n">
        <f aca="false">P$5*4_Normalizacion!P630</f>
        <v>0.00271682439873943</v>
      </c>
      <c r="Q632" s="21" t="n">
        <f aca="false">Q$5*4_Normalizacion!Q630</f>
        <v>0.0114370628719559</v>
      </c>
    </row>
    <row r="633" customFormat="false" ht="15" hidden="false" customHeight="false" outlineLevel="0" collapsed="false">
      <c r="A633" s="15" t="n">
        <f aca="false">4_Normalizacion!A631</f>
        <v>626</v>
      </c>
      <c r="B633" s="16" t="n">
        <f aca="false">4_Normalizacion!B631</f>
        <v>62.651</v>
      </c>
      <c r="C633" s="21" t="n">
        <f aca="false">C$5*4_Normalizacion!C631</f>
        <v>0.00211491006743141</v>
      </c>
      <c r="D633" s="21" t="n">
        <f aca="false">D$5*4_Normalizacion!D631</f>
        <v>0.00016434498190068</v>
      </c>
      <c r="E633" s="21" t="n">
        <f aca="false">E$5*4_Normalizacion!E631</f>
        <v>0.00185693905364827</v>
      </c>
      <c r="F633" s="21" t="n">
        <f aca="false">F$5*4_Normalizacion!F631</f>
        <v>0.0020175467426038</v>
      </c>
      <c r="G633" s="21" t="n">
        <f aca="false">G$5*4_Normalizacion!G631</f>
        <v>0.000210254463455421</v>
      </c>
      <c r="H633" s="21" t="n">
        <f aca="false">H$5*4_Normalizacion!H631</f>
        <v>0.00169754589383076</v>
      </c>
      <c r="I633" s="21" t="n">
        <f aca="false">I$5*4_Normalizacion!I631</f>
        <v>0.00281086825420146</v>
      </c>
      <c r="J633" s="21" t="n">
        <f aca="false">J$5*4_Normalizacion!J631</f>
        <v>0.000255567041403239</v>
      </c>
      <c r="K633" s="21" t="n">
        <f aca="false">K$5*4_Normalizacion!K631</f>
        <v>3.90133374367575E-005</v>
      </c>
      <c r="L633" s="21" t="n">
        <f aca="false">L$5*4_Normalizacion!L631</f>
        <v>0.00179545879375086</v>
      </c>
      <c r="M633" s="21" t="n">
        <f aca="false">M$5*4_Normalizacion!M631</f>
        <v>0.000548619957617862</v>
      </c>
      <c r="N633" s="21" t="n">
        <f aca="false">N$5*4_Normalizacion!N631</f>
        <v>0.0075989803262918</v>
      </c>
      <c r="O633" s="21" t="n">
        <f aca="false">O$5*4_Normalizacion!O631</f>
        <v>0.00200587264654955</v>
      </c>
      <c r="P633" s="21" t="n">
        <f aca="false">P$5*4_Normalizacion!P631</f>
        <v>0.00271682439873943</v>
      </c>
      <c r="Q633" s="21" t="n">
        <f aca="false">Q$5*4_Normalizacion!Q631</f>
        <v>0.0114370628719559</v>
      </c>
    </row>
    <row r="634" customFormat="false" ht="15" hidden="false" customHeight="false" outlineLevel="0" collapsed="false">
      <c r="A634" s="15" t="n">
        <f aca="false">4_Normalizacion!A632</f>
        <v>627</v>
      </c>
      <c r="B634" s="16" t="n">
        <f aca="false">4_Normalizacion!B632</f>
        <v>62.751</v>
      </c>
      <c r="C634" s="21" t="n">
        <f aca="false">C$5*4_Normalizacion!C632</f>
        <v>0.00126894604045884</v>
      </c>
      <c r="D634" s="21" t="n">
        <f aca="false">D$5*4_Normalizacion!D632</f>
        <v>0.00020543122737585</v>
      </c>
      <c r="E634" s="21" t="n">
        <f aca="false">E$5*4_Normalizacion!E632</f>
        <v>0.00185693905364827</v>
      </c>
      <c r="F634" s="21" t="n">
        <f aca="false">F$5*4_Normalizacion!F632</f>
        <v>0.00161403739408304</v>
      </c>
      <c r="G634" s="21" t="n">
        <f aca="false">G$5*4_Normalizacion!G632</f>
        <v>0.000210254463455421</v>
      </c>
      <c r="H634" s="21" t="n">
        <f aca="false">H$5*4_Normalizacion!H632</f>
        <v>0.00169754589383076</v>
      </c>
      <c r="I634" s="21" t="n">
        <f aca="false">I$5*4_Normalizacion!I632</f>
        <v>0.00281086825420146</v>
      </c>
      <c r="J634" s="21" t="n">
        <f aca="false">J$5*4_Normalizacion!J632</f>
        <v>0.000255567041403239</v>
      </c>
      <c r="K634" s="21" t="n">
        <f aca="false">K$5*4_Normalizacion!K632</f>
        <v>3.90133374367575E-005</v>
      </c>
      <c r="L634" s="21" t="n">
        <f aca="false">L$5*4_Normalizacion!L632</f>
        <v>0.00176888540194165</v>
      </c>
      <c r="M634" s="21" t="n">
        <f aca="false">M$5*4_Normalizacion!M632</f>
        <v>0.000612033484345529</v>
      </c>
      <c r="N634" s="21" t="n">
        <f aca="false">N$5*4_Normalizacion!N632</f>
        <v>0.0075989803262918</v>
      </c>
      <c r="O634" s="21" t="n">
        <f aca="false">O$5*4_Normalizacion!O632</f>
        <v>0.00200587264654955</v>
      </c>
      <c r="P634" s="21" t="n">
        <f aca="false">P$5*4_Normalizacion!P632</f>
        <v>0.00271682439873943</v>
      </c>
      <c r="Q634" s="21" t="n">
        <f aca="false">Q$5*4_Normalizacion!Q632</f>
        <v>0.00857779715396695</v>
      </c>
    </row>
    <row r="635" customFormat="false" ht="15" hidden="false" customHeight="false" outlineLevel="0" collapsed="false">
      <c r="A635" s="15" t="n">
        <f aca="false">4_Normalizacion!A633</f>
        <v>628</v>
      </c>
      <c r="B635" s="16" t="n">
        <f aca="false">4_Normalizacion!B633</f>
        <v>62.898</v>
      </c>
      <c r="C635" s="21" t="n">
        <f aca="false">C$5*4_Normalizacion!C633</f>
        <v>0.000422982013486281</v>
      </c>
      <c r="D635" s="21" t="n">
        <f aca="false">D$5*4_Normalizacion!D633</f>
        <v>0.00020543122737585</v>
      </c>
      <c r="E635" s="21" t="n">
        <f aca="false">E$5*4_Normalizacion!E633</f>
        <v>0.00185693905364827</v>
      </c>
      <c r="F635" s="21" t="n">
        <f aca="false">F$5*4_Normalizacion!F633</f>
        <v>0.00161403739408304</v>
      </c>
      <c r="G635" s="21" t="n">
        <f aca="false">G$5*4_Normalizacion!G633</f>
        <v>0.000140169642303614</v>
      </c>
      <c r="H635" s="21" t="n">
        <f aca="false">H$5*4_Normalizacion!H633</f>
        <v>0.00169754589383076</v>
      </c>
      <c r="I635" s="21" t="n">
        <f aca="false">I$5*4_Normalizacion!I633</f>
        <v>0.00281086825420146</v>
      </c>
      <c r="J635" s="21" t="n">
        <f aca="false">J$5*4_Normalizacion!J633</f>
        <v>0.000255567041403239</v>
      </c>
      <c r="K635" s="21" t="n">
        <f aca="false">K$5*4_Normalizacion!K633</f>
        <v>3.90133374367575E-005</v>
      </c>
      <c r="L635" s="21" t="n">
        <f aca="false">L$5*4_Normalizacion!L633</f>
        <v>0.00165206275493133</v>
      </c>
      <c r="M635" s="21" t="n">
        <f aca="false">M$5*4_Normalizacion!M633</f>
        <v>0.000660161665868482</v>
      </c>
      <c r="N635" s="21" t="n">
        <f aca="false">N$5*4_Normalizacion!N633</f>
        <v>0.0075989803262918</v>
      </c>
      <c r="O635" s="21" t="n">
        <f aca="false">O$5*4_Normalizacion!O633</f>
        <v>0.00200587264654955</v>
      </c>
      <c r="P635" s="21" t="n">
        <f aca="false">P$5*4_Normalizacion!P633</f>
        <v>0.00271682439873943</v>
      </c>
      <c r="Q635" s="21" t="n">
        <f aca="false">Q$5*4_Normalizacion!Q633</f>
        <v>0.00571853143597797</v>
      </c>
    </row>
    <row r="636" customFormat="false" ht="15" hidden="false" customHeight="false" outlineLevel="0" collapsed="false">
      <c r="A636" s="15" t="n">
        <f aca="false">4_Normalizacion!A634</f>
        <v>629</v>
      </c>
      <c r="B636" s="16" t="n">
        <f aca="false">4_Normalizacion!B634</f>
        <v>63.01</v>
      </c>
      <c r="C636" s="21" t="n">
        <f aca="false">C$5*4_Normalizacion!C634</f>
        <v>0.000422982013486281</v>
      </c>
      <c r="D636" s="21" t="n">
        <f aca="false">D$5*4_Normalizacion!D634</f>
        <v>0.00020543122737585</v>
      </c>
      <c r="E636" s="21" t="n">
        <f aca="false">E$5*4_Normalizacion!E634</f>
        <v>0.00185693905364827</v>
      </c>
      <c r="F636" s="21" t="n">
        <f aca="false">F$5*4_Normalizacion!F634</f>
        <v>0.00161403739408304</v>
      </c>
      <c r="G636" s="21" t="n">
        <f aca="false">G$5*4_Normalizacion!G634</f>
        <v>0.000140169642303614</v>
      </c>
      <c r="H636" s="21" t="n">
        <f aca="false">H$5*4_Normalizacion!H634</f>
        <v>0.00169754589383076</v>
      </c>
      <c r="I636" s="21" t="n">
        <f aca="false">I$5*4_Normalizacion!I634</f>
        <v>0.00281086825420146</v>
      </c>
      <c r="J636" s="21" t="n">
        <f aca="false">J$5*4_Normalizacion!J634</f>
        <v>0.000255567041403239</v>
      </c>
      <c r="K636" s="21" t="n">
        <f aca="false">K$5*4_Normalizacion!K634</f>
        <v>3.90133374367575E-005</v>
      </c>
      <c r="L636" s="21" t="n">
        <f aca="false">L$5*4_Normalizacion!L634</f>
        <v>0.00191328421026341</v>
      </c>
      <c r="M636" s="21" t="n">
        <f aca="false">M$5*4_Normalizacion!M634</f>
        <v>0.000731217865198506</v>
      </c>
      <c r="N636" s="21" t="n">
        <f aca="false">N$5*4_Normalizacion!N634</f>
        <v>0.0075989803262918</v>
      </c>
      <c r="O636" s="21" t="n">
        <f aca="false">O$5*4_Normalizacion!O634</f>
        <v>0.0040117452930991</v>
      </c>
      <c r="P636" s="21" t="n">
        <f aca="false">P$5*4_Normalizacion!P634</f>
        <v>0.00271682439873943</v>
      </c>
      <c r="Q636" s="21" t="n">
        <f aca="false">Q$5*4_Normalizacion!Q634</f>
        <v>0.00571853143597797</v>
      </c>
    </row>
    <row r="637" customFormat="false" ht="15" hidden="false" customHeight="false" outlineLevel="0" collapsed="false">
      <c r="A637" s="15" t="n">
        <f aca="false">4_Normalizacion!A635</f>
        <v>630</v>
      </c>
      <c r="B637" s="16" t="n">
        <f aca="false">4_Normalizacion!B635</f>
        <v>63.127</v>
      </c>
      <c r="C637" s="21" t="n">
        <f aca="false">C$5*4_Normalizacion!C635</f>
        <v>0.000422982013486281</v>
      </c>
      <c r="D637" s="21" t="n">
        <f aca="false">D$5*4_Normalizacion!D635</f>
        <v>0.00020543122737585</v>
      </c>
      <c r="E637" s="21" t="n">
        <f aca="false">E$5*4_Normalizacion!E635</f>
        <v>0.0013927042902362</v>
      </c>
      <c r="F637" s="21" t="n">
        <f aca="false">F$5*4_Normalizacion!F635</f>
        <v>0.00161403739408304</v>
      </c>
      <c r="G637" s="21" t="n">
        <f aca="false">G$5*4_Normalizacion!G635</f>
        <v>0.000140169642303614</v>
      </c>
      <c r="H637" s="21" t="n">
        <f aca="false">H$5*4_Normalizacion!H635</f>
        <v>0.00169754589383076</v>
      </c>
      <c r="I637" s="21" t="n">
        <f aca="false">I$5*4_Normalizacion!I635</f>
        <v>0.00281086825420146</v>
      </c>
      <c r="J637" s="21" t="n">
        <f aca="false">J$5*4_Normalizacion!J635</f>
        <v>0.000255567041403239</v>
      </c>
      <c r="K637" s="21" t="n">
        <f aca="false">K$5*4_Normalizacion!K635</f>
        <v>3.90133374367575E-005</v>
      </c>
      <c r="L637" s="21" t="n">
        <f aca="false">L$5*4_Normalizacion!L635</f>
        <v>0.00212938103799495</v>
      </c>
      <c r="M637" s="21" t="n">
        <f aca="false">M$5*4_Normalizacion!M635</f>
        <v>0.000768398434615379</v>
      </c>
      <c r="N637" s="21" t="n">
        <f aca="false">N$5*4_Normalizacion!N635</f>
        <v>0.0075989803262918</v>
      </c>
      <c r="O637" s="21" t="n">
        <f aca="false">O$5*4_Normalizacion!O635</f>
        <v>0.0040117452930991</v>
      </c>
      <c r="P637" s="21" t="n">
        <f aca="false">P$5*4_Normalizacion!P635</f>
        <v>0.00271682439873943</v>
      </c>
      <c r="Q637" s="21" t="n">
        <f aca="false">Q$5*4_Normalizacion!Q635</f>
        <v>0.00571853143597797</v>
      </c>
    </row>
    <row r="638" customFormat="false" ht="15" hidden="false" customHeight="false" outlineLevel="0" collapsed="false">
      <c r="A638" s="15" t="n">
        <f aca="false">4_Normalizacion!A636</f>
        <v>631</v>
      </c>
      <c r="B638" s="16" t="n">
        <f aca="false">4_Normalizacion!B636</f>
        <v>63.244</v>
      </c>
      <c r="C638" s="21" t="n">
        <f aca="false">C$5*4_Normalizacion!C636</f>
        <v>0.000422982013486281</v>
      </c>
      <c r="D638" s="21" t="n">
        <f aca="false">D$5*4_Normalizacion!D636</f>
        <v>0.00020543122737585</v>
      </c>
      <c r="E638" s="21" t="n">
        <f aca="false">E$5*4_Normalizacion!E636</f>
        <v>0.0013927042902362</v>
      </c>
      <c r="F638" s="21" t="n">
        <f aca="false">F$5*4_Normalizacion!F636</f>
        <v>0.00161403739408304</v>
      </c>
      <c r="G638" s="21" t="n">
        <f aca="false">G$5*4_Normalizacion!G636</f>
        <v>0.000140169642303614</v>
      </c>
      <c r="H638" s="21" t="n">
        <f aca="false">H$5*4_Normalizacion!H636</f>
        <v>0.00169754589383076</v>
      </c>
      <c r="I638" s="21" t="n">
        <f aca="false">I$5*4_Normalizacion!I636</f>
        <v>0.00281086825420146</v>
      </c>
      <c r="J638" s="21" t="n">
        <f aca="false">J$5*4_Normalizacion!J636</f>
        <v>0.000255567041403239</v>
      </c>
      <c r="K638" s="21" t="n">
        <f aca="false">K$5*4_Normalizacion!K636</f>
        <v>3.90133374367575E-005</v>
      </c>
      <c r="L638" s="21" t="n">
        <f aca="false">L$5*4_Normalizacion!L636</f>
        <v>0.00212988242274606</v>
      </c>
      <c r="M638" s="21" t="n">
        <f aca="false">M$5*4_Normalizacion!M636</f>
        <v>0.000831398843905081</v>
      </c>
      <c r="N638" s="21" t="n">
        <f aca="false">N$5*4_Normalizacion!N636</f>
        <v>0.0075989803262918</v>
      </c>
      <c r="O638" s="21" t="n">
        <f aca="false">O$5*4_Normalizacion!O636</f>
        <v>0.0040117452930991</v>
      </c>
      <c r="P638" s="21" t="n">
        <f aca="false">P$5*4_Normalizacion!P636</f>
        <v>0.00271682439873943</v>
      </c>
      <c r="Q638" s="21" t="n">
        <f aca="false">Q$5*4_Normalizacion!Q636</f>
        <v>0.00285926571798898</v>
      </c>
    </row>
    <row r="639" customFormat="false" ht="15" hidden="false" customHeight="false" outlineLevel="0" collapsed="false">
      <c r="A639" s="15" t="n">
        <f aca="false">4_Normalizacion!A637</f>
        <v>632</v>
      </c>
      <c r="B639" s="16" t="n">
        <f aca="false">4_Normalizacion!B637</f>
        <v>63.359</v>
      </c>
      <c r="C639" s="21" t="n">
        <f aca="false">C$5*4_Normalizacion!C637</f>
        <v>0.000422982013486281</v>
      </c>
      <c r="D639" s="21" t="n">
        <f aca="false">D$5*4_Normalizacion!D637</f>
        <v>0.00020543122737585</v>
      </c>
      <c r="E639" s="21" t="n">
        <f aca="false">E$5*4_Normalizacion!E637</f>
        <v>0.0013927042902362</v>
      </c>
      <c r="F639" s="21" t="n">
        <f aca="false">F$5*4_Normalizacion!F637</f>
        <v>0.00161403739408304</v>
      </c>
      <c r="G639" s="21" t="n">
        <f aca="false">G$5*4_Normalizacion!G637</f>
        <v>0.000140169642303614</v>
      </c>
      <c r="H639" s="21" t="n">
        <f aca="false">H$5*4_Normalizacion!H637</f>
        <v>0.00169754589383076</v>
      </c>
      <c r="I639" s="21" t="n">
        <f aca="false">I$5*4_Normalizacion!I637</f>
        <v>0.00281086825420146</v>
      </c>
      <c r="J639" s="21" t="n">
        <f aca="false">J$5*4_Normalizacion!J637</f>
        <v>0.000255567041403239</v>
      </c>
      <c r="K639" s="21" t="n">
        <f aca="false">K$5*4_Normalizacion!K637</f>
        <v>3.90133374367575E-005</v>
      </c>
      <c r="L639" s="21" t="n">
        <f aca="false">L$5*4_Normalizacion!L637</f>
        <v>0.00212135888197707</v>
      </c>
      <c r="M639" s="21" t="n">
        <f aca="false">M$5*4_Normalizacion!M637</f>
        <v>0.000891713989848009</v>
      </c>
      <c r="N639" s="21" t="n">
        <f aca="false">N$5*4_Normalizacion!N637</f>
        <v>0.0075989803262918</v>
      </c>
      <c r="O639" s="21" t="n">
        <f aca="false">O$5*4_Normalizacion!O637</f>
        <v>0.00601761793964864</v>
      </c>
      <c r="P639" s="21" t="n">
        <f aca="false">P$5*4_Normalizacion!P637</f>
        <v>0.00271682439873943</v>
      </c>
      <c r="Q639" s="21" t="n">
        <f aca="false">Q$5*4_Normalizacion!Q637</f>
        <v>0.00571853143597797</v>
      </c>
    </row>
    <row r="640" customFormat="false" ht="15" hidden="false" customHeight="false" outlineLevel="0" collapsed="false">
      <c r="A640" s="15" t="n">
        <f aca="false">4_Normalizacion!A638</f>
        <v>633</v>
      </c>
      <c r="B640" s="16" t="n">
        <f aca="false">4_Normalizacion!B638</f>
        <v>63.47</v>
      </c>
      <c r="C640" s="21" t="n">
        <f aca="false">C$5*4_Normalizacion!C638</f>
        <v>0.000422982013486281</v>
      </c>
      <c r="D640" s="21" t="n">
        <f aca="false">D$5*4_Normalizacion!D638</f>
        <v>0.00020543122737585</v>
      </c>
      <c r="E640" s="21" t="n">
        <f aca="false">E$5*4_Normalizacion!E638</f>
        <v>0.0013927042902362</v>
      </c>
      <c r="F640" s="21" t="n">
        <f aca="false">F$5*4_Normalizacion!F638</f>
        <v>0.00161403739408304</v>
      </c>
      <c r="G640" s="21" t="n">
        <f aca="false">G$5*4_Normalizacion!G638</f>
        <v>0.000210254463455421</v>
      </c>
      <c r="H640" s="21" t="n">
        <f aca="false">H$5*4_Normalizacion!H638</f>
        <v>0.00169754589383076</v>
      </c>
      <c r="I640" s="21" t="n">
        <f aca="false">I$5*4_Normalizacion!I638</f>
        <v>0.00281086825420146</v>
      </c>
      <c r="J640" s="21" t="n">
        <f aca="false">J$5*4_Normalizacion!J638</f>
        <v>0.000255567041403239</v>
      </c>
      <c r="K640" s="21" t="n">
        <f aca="false">K$5*4_Normalizacion!K638</f>
        <v>3.90133374367575E-005</v>
      </c>
      <c r="L640" s="21" t="n">
        <f aca="false">L$5*4_Normalizacion!L638</f>
        <v>0.00232441970617956</v>
      </c>
      <c r="M640" s="21" t="n">
        <f aca="false">M$5*4_Normalizacion!M638</f>
        <v>0.0010071803137593</v>
      </c>
      <c r="N640" s="21" t="n">
        <f aca="false">N$5*4_Normalizacion!N638</f>
        <v>0.0075989803262918</v>
      </c>
      <c r="O640" s="21" t="n">
        <f aca="false">O$5*4_Normalizacion!O638</f>
        <v>0.00802349058619819</v>
      </c>
      <c r="P640" s="21" t="n">
        <f aca="false">P$5*4_Normalizacion!P638</f>
        <v>0.00271682439873943</v>
      </c>
      <c r="Q640" s="21" t="n">
        <f aca="false">Q$5*4_Normalizacion!Q638</f>
        <v>0.00285926571798898</v>
      </c>
    </row>
    <row r="641" customFormat="false" ht="15" hidden="false" customHeight="false" outlineLevel="0" collapsed="false">
      <c r="A641" s="15" t="n">
        <f aca="false">4_Normalizacion!A639</f>
        <v>634</v>
      </c>
      <c r="B641" s="16" t="n">
        <f aca="false">4_Normalizacion!B639</f>
        <v>63.576</v>
      </c>
      <c r="C641" s="21" t="n">
        <f aca="false">C$5*4_Normalizacion!C639</f>
        <v>0.000422982013486281</v>
      </c>
      <c r="D641" s="21" t="n">
        <f aca="false">D$5*4_Normalizacion!D639</f>
        <v>0.00020543122737585</v>
      </c>
      <c r="E641" s="21" t="n">
        <f aca="false">E$5*4_Normalizacion!E639</f>
        <v>0.0013927042902362</v>
      </c>
      <c r="F641" s="21" t="n">
        <f aca="false">F$5*4_Normalizacion!F639</f>
        <v>0.00161403739408304</v>
      </c>
      <c r="G641" s="21" t="n">
        <f aca="false">G$5*4_Normalizacion!G639</f>
        <v>0.000210254463455421</v>
      </c>
      <c r="H641" s="21" t="n">
        <f aca="false">H$5*4_Normalizacion!H639</f>
        <v>0.00169754589383076</v>
      </c>
      <c r="I641" s="21" t="n">
        <f aca="false">I$5*4_Normalizacion!I639</f>
        <v>0.00281086825420146</v>
      </c>
      <c r="J641" s="21" t="n">
        <f aca="false">J$5*4_Normalizacion!J639</f>
        <v>0.000255567041403239</v>
      </c>
      <c r="K641" s="21" t="n">
        <f aca="false">K$5*4_Normalizacion!K639</f>
        <v>3.90133374367575E-005</v>
      </c>
      <c r="L641" s="21" t="n">
        <f aca="false">L$5*4_Normalizacion!L639</f>
        <v>0.00229333385161029</v>
      </c>
      <c r="M641" s="21" t="n">
        <f aca="false">M$5*4_Normalizacion!M639</f>
        <v>0.00100449505041252</v>
      </c>
      <c r="N641" s="21" t="n">
        <f aca="false">N$5*4_Normalizacion!N639</f>
        <v>0.0075989803262918</v>
      </c>
      <c r="O641" s="21" t="n">
        <f aca="false">O$5*4_Normalizacion!O639</f>
        <v>0.00802349058619819</v>
      </c>
      <c r="P641" s="21" t="n">
        <f aca="false">P$5*4_Normalizacion!P639</f>
        <v>0.00271682439873943</v>
      </c>
      <c r="Q641" s="21" t="n">
        <f aca="false">Q$5*4_Normalizacion!Q639</f>
        <v>0.00285926571798898</v>
      </c>
    </row>
    <row r="642" customFormat="false" ht="15" hidden="false" customHeight="false" outlineLevel="0" collapsed="false">
      <c r="A642" s="15" t="n">
        <f aca="false">4_Normalizacion!A640</f>
        <v>635</v>
      </c>
      <c r="B642" s="16" t="n">
        <f aca="false">4_Normalizacion!B640</f>
        <v>63.684</v>
      </c>
      <c r="C642" s="21" t="n">
        <f aca="false">C$5*4_Normalizacion!C640</f>
        <v>0.000422982013486281</v>
      </c>
      <c r="D642" s="21" t="n">
        <f aca="false">D$5*4_Normalizacion!D640</f>
        <v>0.00020543122737585</v>
      </c>
      <c r="E642" s="21" t="n">
        <f aca="false">E$5*4_Normalizacion!E640</f>
        <v>0.000928469526824133</v>
      </c>
      <c r="F642" s="21" t="n">
        <f aca="false">F$5*4_Normalizacion!F640</f>
        <v>0.000807018697041519</v>
      </c>
      <c r="G642" s="21" t="n">
        <f aca="false">G$5*4_Normalizacion!G640</f>
        <v>0.000280339284607229</v>
      </c>
      <c r="H642" s="21" t="n">
        <f aca="false">H$5*4_Normalizacion!H640</f>
        <v>0.00169754589383076</v>
      </c>
      <c r="I642" s="21" t="n">
        <f aca="false">I$5*4_Normalizacion!I640</f>
        <v>0.00562173650840292</v>
      </c>
      <c r="J642" s="21" t="n">
        <f aca="false">J$5*4_Normalizacion!J640</f>
        <v>0.000255567041403239</v>
      </c>
      <c r="K642" s="21" t="n">
        <f aca="false">K$5*4_Normalizacion!K640</f>
        <v>3.90133374367575E-005</v>
      </c>
      <c r="L642" s="21" t="n">
        <f aca="false">L$5*4_Normalizacion!L640</f>
        <v>0.00201707085374468</v>
      </c>
      <c r="M642" s="21" t="n">
        <f aca="false">M$5*4_Normalizacion!M640</f>
        <v>0.000889028726501235</v>
      </c>
      <c r="N642" s="21" t="n">
        <f aca="false">N$5*4_Normalizacion!N640</f>
        <v>0.00607918426103344</v>
      </c>
      <c r="O642" s="21" t="n">
        <f aca="false">O$5*4_Normalizacion!O640</f>
        <v>0.00601761793964864</v>
      </c>
      <c r="P642" s="21" t="n">
        <f aca="false">P$5*4_Normalizacion!P640</f>
        <v>0.00271682439873943</v>
      </c>
      <c r="Q642" s="21" t="n">
        <f aca="false">Q$5*4_Normalizacion!Q640</f>
        <v>0.00285926571798898</v>
      </c>
    </row>
    <row r="643" customFormat="false" ht="15" hidden="false" customHeight="false" outlineLevel="0" collapsed="false">
      <c r="A643" s="15" t="n">
        <f aca="false">4_Normalizacion!A641</f>
        <v>636</v>
      </c>
      <c r="B643" s="16" t="n">
        <f aca="false">4_Normalizacion!B641</f>
        <v>63.775</v>
      </c>
      <c r="C643" s="21" t="n">
        <f aca="false">C$5*4_Normalizacion!C641</f>
        <v>0.000422982013486281</v>
      </c>
      <c r="D643" s="21" t="n">
        <f aca="false">D$5*4_Normalizacion!D641</f>
        <v>0.00020543122737585</v>
      </c>
      <c r="E643" s="21" t="n">
        <f aca="false">E$5*4_Normalizacion!E641</f>
        <v>0.000928469526824133</v>
      </c>
      <c r="F643" s="21" t="n">
        <f aca="false">F$5*4_Normalizacion!F641</f>
        <v>0.00121052804556228</v>
      </c>
      <c r="G643" s="21" t="n">
        <f aca="false">G$5*4_Normalizacion!G641</f>
        <v>0.000280339284607229</v>
      </c>
      <c r="H643" s="21" t="n">
        <f aca="false">H$5*4_Normalizacion!H641</f>
        <v>0.00169754589383076</v>
      </c>
      <c r="I643" s="21" t="n">
        <f aca="false">I$5*4_Normalizacion!I641</f>
        <v>0.00281086825420146</v>
      </c>
      <c r="J643" s="21" t="n">
        <f aca="false">J$5*4_Normalizacion!J641</f>
        <v>0.000255567041403239</v>
      </c>
      <c r="K643" s="21" t="n">
        <f aca="false">K$5*4_Normalizacion!K641</f>
        <v>3.90133374367575E-005</v>
      </c>
      <c r="L643" s="21" t="n">
        <f aca="false">L$5*4_Normalizacion!L641</f>
        <v>0.00133769451598081</v>
      </c>
      <c r="M643" s="21" t="n">
        <f aca="false">M$5*4_Normalizacion!M641</f>
        <v>0.000877254879519225</v>
      </c>
      <c r="N643" s="21" t="n">
        <f aca="false">N$5*4_Normalizacion!N641</f>
        <v>0.00607918426103344</v>
      </c>
      <c r="O643" s="21" t="n">
        <f aca="false">O$5*4_Normalizacion!O641</f>
        <v>0.00200587264654955</v>
      </c>
      <c r="P643" s="21" t="n">
        <f aca="false">P$5*4_Normalizacion!P641</f>
        <v>0.00271682439873943</v>
      </c>
      <c r="Q643" s="21" t="n">
        <f aca="false">Q$5*4_Normalizacion!Q641</f>
        <v>0.00285926571798898</v>
      </c>
    </row>
    <row r="644" customFormat="false" ht="15" hidden="false" customHeight="false" outlineLevel="0" collapsed="false">
      <c r="A644" s="15" t="n">
        <f aca="false">4_Normalizacion!A642</f>
        <v>637</v>
      </c>
      <c r="B644" s="16" t="n">
        <f aca="false">4_Normalizacion!B642</f>
        <v>63.877</v>
      </c>
      <c r="C644" s="21" t="n">
        <f aca="false">C$5*4_Normalizacion!C642</f>
        <v>0.000422982013486281</v>
      </c>
      <c r="D644" s="21" t="n">
        <f aca="false">D$5*4_Normalizacion!D642</f>
        <v>0.00020543122737585</v>
      </c>
      <c r="E644" s="21" t="n">
        <f aca="false">E$5*4_Normalizacion!E642</f>
        <v>0.0013927042902362</v>
      </c>
      <c r="F644" s="21" t="n">
        <f aca="false">F$5*4_Normalizacion!F642</f>
        <v>0.00121052804556228</v>
      </c>
      <c r="G644" s="21" t="n">
        <f aca="false">G$5*4_Normalizacion!G642</f>
        <v>0.000280339284607229</v>
      </c>
      <c r="H644" s="21" t="n">
        <f aca="false">H$5*4_Normalizacion!H642</f>
        <v>0.00169754589383076</v>
      </c>
      <c r="I644" s="21" t="n">
        <f aca="false">I$5*4_Normalizacion!I642</f>
        <v>0.00281086825420146</v>
      </c>
      <c r="J644" s="21" t="n">
        <f aca="false">J$5*4_Normalizacion!J642</f>
        <v>0.000255567041403239</v>
      </c>
      <c r="K644" s="21" t="n">
        <f aca="false">K$5*4_Normalizacion!K642</f>
        <v>3.90133374367575E-005</v>
      </c>
      <c r="L644" s="21" t="n">
        <f aca="false">L$5*4_Normalizacion!L642</f>
        <v>0.00123089956399284</v>
      </c>
      <c r="M644" s="21" t="n">
        <f aca="false">M$5*4_Normalizacion!M642</f>
        <v>0.000874776174891433</v>
      </c>
      <c r="N644" s="21" t="n">
        <f aca="false">N$5*4_Normalizacion!N642</f>
        <v>0.00607918426103344</v>
      </c>
      <c r="O644" s="21" t="n">
        <f aca="false">O$5*4_Normalizacion!O642</f>
        <v>0.00200587264654955</v>
      </c>
      <c r="P644" s="21" t="n">
        <f aca="false">P$5*4_Normalizacion!P642</f>
        <v>0.00271682439873943</v>
      </c>
      <c r="Q644" s="21" t="n">
        <f aca="false">Q$5*4_Normalizacion!Q642</f>
        <v>0.00285926571798898</v>
      </c>
    </row>
    <row r="645" customFormat="false" ht="15" hidden="false" customHeight="false" outlineLevel="0" collapsed="false">
      <c r="A645" s="15" t="n">
        <f aca="false">4_Normalizacion!A643</f>
        <v>638</v>
      </c>
      <c r="B645" s="16" t="n">
        <f aca="false">4_Normalizacion!B643</f>
        <v>63.973</v>
      </c>
      <c r="C645" s="21" t="n">
        <f aca="false">C$5*4_Normalizacion!C643</f>
        <v>0.000422982013486281</v>
      </c>
      <c r="D645" s="21" t="n">
        <f aca="false">D$5*4_Normalizacion!D643</f>
        <v>0.00020543122737585</v>
      </c>
      <c r="E645" s="21" t="n">
        <f aca="false">E$5*4_Normalizacion!E643</f>
        <v>0.0013927042902362</v>
      </c>
      <c r="F645" s="21" t="n">
        <f aca="false">F$5*4_Normalizacion!F643</f>
        <v>0.00161403739408304</v>
      </c>
      <c r="G645" s="21" t="n">
        <f aca="false">G$5*4_Normalizacion!G643</f>
        <v>0.000280339284607229</v>
      </c>
      <c r="H645" s="21" t="n">
        <f aca="false">H$5*4_Normalizacion!H643</f>
        <v>0.00169754589383076</v>
      </c>
      <c r="I645" s="21" t="n">
        <f aca="false">I$5*4_Normalizacion!I643</f>
        <v>0.00281086825420146</v>
      </c>
      <c r="J645" s="21" t="n">
        <f aca="false">J$5*4_Normalizacion!J643</f>
        <v>0.000255567041403239</v>
      </c>
      <c r="K645" s="21" t="n">
        <f aca="false">K$5*4_Normalizacion!K643</f>
        <v>3.90133374367575E-005</v>
      </c>
      <c r="L645" s="21" t="n">
        <f aca="false">L$5*4_Normalizacion!L643</f>
        <v>0.00150766394660956</v>
      </c>
      <c r="M645" s="21" t="n">
        <f aca="false">M$5*4_Normalizacion!M643</f>
        <v>0.000879940142865999</v>
      </c>
      <c r="N645" s="21" t="n">
        <f aca="false">N$5*4_Normalizacion!N643</f>
        <v>0.00607918426103344</v>
      </c>
      <c r="O645" s="21" t="n">
        <f aca="false">O$5*4_Normalizacion!O643</f>
        <v>0.00200587264654955</v>
      </c>
      <c r="P645" s="21" t="n">
        <f aca="false">P$5*4_Normalizacion!P643</f>
        <v>0.00271682439873943</v>
      </c>
      <c r="Q645" s="21" t="n">
        <f aca="false">Q$5*4_Normalizacion!Q643</f>
        <v>0.00285926571798898</v>
      </c>
    </row>
    <row r="646" customFormat="false" ht="15" hidden="false" customHeight="false" outlineLevel="0" collapsed="false">
      <c r="A646" s="15" t="n">
        <f aca="false">4_Normalizacion!A644</f>
        <v>639</v>
      </c>
      <c r="B646" s="16" t="n">
        <f aca="false">4_Normalizacion!B644</f>
        <v>64.548</v>
      </c>
      <c r="C646" s="21" t="n">
        <f aca="false">C$5*4_Normalizacion!C644</f>
        <v>0.00126894604045884</v>
      </c>
      <c r="D646" s="21" t="n">
        <f aca="false">D$5*4_Normalizacion!D644</f>
        <v>0.00020543122737585</v>
      </c>
      <c r="E646" s="21" t="n">
        <f aca="false">E$5*4_Normalizacion!E644</f>
        <v>0.00185693905364827</v>
      </c>
      <c r="F646" s="21" t="n">
        <f aca="false">F$5*4_Normalizacion!F644</f>
        <v>0.00121052804556228</v>
      </c>
      <c r="G646" s="21" t="n">
        <f aca="false">G$5*4_Normalizacion!G644</f>
        <v>0.000280339284607229</v>
      </c>
      <c r="H646" s="21" t="n">
        <f aca="false">H$5*4_Normalizacion!H644</f>
        <v>0.00169754589383076</v>
      </c>
      <c r="I646" s="21" t="n">
        <f aca="false">I$5*4_Normalizacion!I644</f>
        <v>0.00281086825420146</v>
      </c>
      <c r="J646" s="21" t="n">
        <f aca="false">J$5*4_Normalizacion!J644</f>
        <v>0.000255567041403239</v>
      </c>
      <c r="K646" s="21" t="n">
        <f aca="false">K$5*4_Normalizacion!K644</f>
        <v>3.90133374367575E-005</v>
      </c>
      <c r="L646" s="21" t="n">
        <f aca="false">L$5*4_Normalizacion!L644</f>
        <v>0.00201506531474021</v>
      </c>
      <c r="M646" s="21" t="n">
        <f aca="false">M$5*4_Normalizacion!M644</f>
        <v>0.000908651804804584</v>
      </c>
      <c r="N646" s="21" t="n">
        <f aca="false">N$5*4_Normalizacion!N644</f>
        <v>0.00455938819577508</v>
      </c>
      <c r="O646" s="21" t="n">
        <f aca="false">O$5*4_Normalizacion!O644</f>
        <v>0.00601761793964864</v>
      </c>
      <c r="P646" s="21" t="n">
        <f aca="false">P$5*4_Normalizacion!P644</f>
        <v>0.00271682439873943</v>
      </c>
      <c r="Q646" s="21" t="n">
        <f aca="false">Q$5*4_Normalizacion!Q644</f>
        <v>0.00285926571798898</v>
      </c>
    </row>
    <row r="647" customFormat="false" ht="15" hidden="false" customHeight="false" outlineLevel="0" collapsed="false">
      <c r="A647" s="15" t="n">
        <f aca="false">4_Normalizacion!A645</f>
        <v>640</v>
      </c>
      <c r="B647" s="16" t="n">
        <f aca="false">4_Normalizacion!B645</f>
        <v>64.691</v>
      </c>
      <c r="C647" s="21" t="n">
        <f aca="false">C$5*4_Normalizacion!C645</f>
        <v>0.000422982013486281</v>
      </c>
      <c r="D647" s="21" t="n">
        <f aca="false">D$5*4_Normalizacion!D645</f>
        <v>0.00020543122737585</v>
      </c>
      <c r="E647" s="21" t="n">
        <f aca="false">E$5*4_Normalizacion!E645</f>
        <v>0.0013927042902362</v>
      </c>
      <c r="F647" s="21" t="n">
        <f aca="false">F$5*4_Normalizacion!F645</f>
        <v>0.00121052804556228</v>
      </c>
      <c r="G647" s="21" t="n">
        <f aca="false">G$5*4_Normalizacion!G645</f>
        <v>0.000280339284607229</v>
      </c>
      <c r="H647" s="21" t="n">
        <f aca="false">H$5*4_Normalizacion!H645</f>
        <v>0.00169754589383076</v>
      </c>
      <c r="I647" s="21" t="n">
        <f aca="false">I$5*4_Normalizacion!I645</f>
        <v>0.00281086825420146</v>
      </c>
      <c r="J647" s="21" t="n">
        <f aca="false">J$5*4_Normalizacion!J645</f>
        <v>0.000255567041403239</v>
      </c>
      <c r="K647" s="21" t="n">
        <f aca="false">K$5*4_Normalizacion!K645</f>
        <v>3.90133374367575E-005</v>
      </c>
      <c r="L647" s="21" t="n">
        <f aca="false">L$5*4_Normalizacion!L645</f>
        <v>0.0021569571993064</v>
      </c>
      <c r="M647" s="21" t="n">
        <f aca="false">M$5*4_Normalizacion!M645</f>
        <v>0.000967107922276668</v>
      </c>
      <c r="N647" s="21" t="n">
        <f aca="false">N$5*4_Normalizacion!N645</f>
        <v>0.00455938819577508</v>
      </c>
      <c r="O647" s="21" t="n">
        <f aca="false">O$5*4_Normalizacion!O645</f>
        <v>0.00601761793964864</v>
      </c>
      <c r="P647" s="21" t="n">
        <f aca="false">P$5*4_Normalizacion!P645</f>
        <v>0.00271682439873943</v>
      </c>
      <c r="Q647" s="21" t="n">
        <f aca="false">Q$5*4_Normalizacion!Q645</f>
        <v>0.00285926571798898</v>
      </c>
    </row>
    <row r="648" customFormat="false" ht="15" hidden="false" customHeight="false" outlineLevel="0" collapsed="false">
      <c r="A648" s="15" t="n">
        <f aca="false">4_Normalizacion!A646</f>
        <v>641</v>
      </c>
      <c r="B648" s="16" t="n">
        <f aca="false">4_Normalizacion!B646</f>
        <v>64.864</v>
      </c>
      <c r="C648" s="21" t="n">
        <f aca="false">C$5*4_Normalizacion!C646</f>
        <v>0.000422982013486281</v>
      </c>
      <c r="D648" s="21" t="n">
        <f aca="false">D$5*4_Normalizacion!D646</f>
        <v>0.00020543122737585</v>
      </c>
      <c r="E648" s="21" t="n">
        <f aca="false">E$5*4_Normalizacion!E646</f>
        <v>0.00185693905364827</v>
      </c>
      <c r="F648" s="21" t="n">
        <f aca="false">F$5*4_Normalizacion!F646</f>
        <v>0.00121052804556228</v>
      </c>
      <c r="G648" s="21" t="n">
        <f aca="false">G$5*4_Normalizacion!G646</f>
        <v>0.000280339284607229</v>
      </c>
      <c r="H648" s="21" t="n">
        <f aca="false">H$5*4_Normalizacion!H646</f>
        <v>0.00169754589383076</v>
      </c>
      <c r="I648" s="21" t="n">
        <f aca="false">I$5*4_Normalizacion!I646</f>
        <v>0.00281086825420146</v>
      </c>
      <c r="J648" s="21" t="n">
        <f aca="false">J$5*4_Normalizacion!J646</f>
        <v>0.000255567041403239</v>
      </c>
      <c r="K648" s="21" t="n">
        <f aca="false">K$5*4_Normalizacion!K646</f>
        <v>3.90133374367575E-005</v>
      </c>
      <c r="L648" s="21" t="n">
        <f aca="false">L$5*4_Normalizacion!L646</f>
        <v>0.00231539478065944</v>
      </c>
      <c r="M648" s="21" t="n">
        <f aca="false">M$5*4_Normalizacion!M646</f>
        <v>0.00100924590094912</v>
      </c>
      <c r="N648" s="21" t="n">
        <f aca="false">N$5*4_Normalizacion!N646</f>
        <v>0.00455938819577508</v>
      </c>
      <c r="O648" s="21" t="n">
        <f aca="false">O$5*4_Normalizacion!O646</f>
        <v>0.00802349058619819</v>
      </c>
      <c r="P648" s="21" t="n">
        <f aca="false">P$5*4_Normalizacion!P646</f>
        <v>0.00271682439873943</v>
      </c>
      <c r="Q648" s="21" t="n">
        <f aca="false">Q$5*4_Normalizacion!Q646</f>
        <v>0.00285926571798898</v>
      </c>
    </row>
    <row r="649" customFormat="false" ht="15" hidden="false" customHeight="false" outlineLevel="0" collapsed="false">
      <c r="A649" s="15" t="n">
        <f aca="false">4_Normalizacion!A647</f>
        <v>642</v>
      </c>
      <c r="B649" s="16" t="n">
        <f aca="false">4_Normalizacion!B647</f>
        <v>65.003</v>
      </c>
      <c r="C649" s="21" t="n">
        <f aca="false">C$5*4_Normalizacion!C647</f>
        <v>0.000422982013486281</v>
      </c>
      <c r="D649" s="21" t="n">
        <f aca="false">D$5*4_Normalizacion!D647</f>
        <v>0.00020543122737585</v>
      </c>
      <c r="E649" s="21" t="n">
        <f aca="false">E$5*4_Normalizacion!E647</f>
        <v>0.00185693905364827</v>
      </c>
      <c r="F649" s="21" t="n">
        <f aca="false">F$5*4_Normalizacion!F647</f>
        <v>0.00121052804556228</v>
      </c>
      <c r="G649" s="21" t="n">
        <f aca="false">G$5*4_Normalizacion!G647</f>
        <v>0.000280339284607229</v>
      </c>
      <c r="H649" s="21" t="n">
        <f aca="false">H$5*4_Normalizacion!H647</f>
        <v>0.00169754589383076</v>
      </c>
      <c r="I649" s="21" t="n">
        <f aca="false">I$5*4_Normalizacion!I647</f>
        <v>0.00281086825420146</v>
      </c>
      <c r="J649" s="21" t="n">
        <f aca="false">J$5*4_Normalizacion!J647</f>
        <v>0.000255567041403239</v>
      </c>
      <c r="K649" s="21" t="n">
        <f aca="false">K$5*4_Normalizacion!K647</f>
        <v>3.90133374367575E-005</v>
      </c>
      <c r="L649" s="21" t="n">
        <f aca="false">L$5*4_Normalizacion!L647</f>
        <v>0.00236202356251335</v>
      </c>
      <c r="M649" s="21" t="n">
        <f aca="false">M$5*4_Normalizacion!M647</f>
        <v>0.00101936727817927</v>
      </c>
      <c r="N649" s="21" t="n">
        <f aca="false">N$5*4_Normalizacion!N647</f>
        <v>0.00455938819577508</v>
      </c>
      <c r="O649" s="21" t="n">
        <f aca="false">O$5*4_Normalizacion!O647</f>
        <v>0.00802349058619819</v>
      </c>
      <c r="P649" s="21" t="n">
        <f aca="false">P$5*4_Normalizacion!P647</f>
        <v>0.00271682439873943</v>
      </c>
      <c r="Q649" s="21" t="n">
        <f aca="false">Q$5*4_Normalizacion!Q647</f>
        <v>0.00285926571798898</v>
      </c>
    </row>
    <row r="650" customFormat="false" ht="15" hidden="false" customHeight="false" outlineLevel="0" collapsed="false">
      <c r="A650" s="15" t="n">
        <f aca="false">4_Normalizacion!A648</f>
        <v>643</v>
      </c>
      <c r="B650" s="16" t="n">
        <f aca="false">4_Normalizacion!B648</f>
        <v>65.118</v>
      </c>
      <c r="C650" s="21" t="n">
        <f aca="false">C$5*4_Normalizacion!C648</f>
        <v>0.000422982013486281</v>
      </c>
      <c r="D650" s="21" t="n">
        <f aca="false">D$5*4_Normalizacion!D648</f>
        <v>0.00020543122737585</v>
      </c>
      <c r="E650" s="21" t="n">
        <f aca="false">E$5*4_Normalizacion!E648</f>
        <v>0.00185693905364827</v>
      </c>
      <c r="F650" s="21" t="n">
        <f aca="false">F$5*4_Normalizacion!F648</f>
        <v>0.00121052804556228</v>
      </c>
      <c r="G650" s="21" t="n">
        <f aca="false">G$5*4_Normalizacion!G648</f>
        <v>0.000280339284607229</v>
      </c>
      <c r="H650" s="21" t="n">
        <f aca="false">H$5*4_Normalizacion!H648</f>
        <v>0.00169754589383076</v>
      </c>
      <c r="I650" s="21" t="n">
        <f aca="false">I$5*4_Normalizacion!I648</f>
        <v>0.00281086825420146</v>
      </c>
      <c r="J650" s="21" t="n">
        <f aca="false">J$5*4_Normalizacion!J648</f>
        <v>0.000255567041403239</v>
      </c>
      <c r="K650" s="21" t="n">
        <f aca="false">K$5*4_Normalizacion!K648</f>
        <v>3.90133374367575E-005</v>
      </c>
      <c r="L650" s="21" t="n">
        <f aca="false">L$5*4_Normalizacion!L648</f>
        <v>0.00237756648979798</v>
      </c>
      <c r="M650" s="21" t="n">
        <f aca="false">M$5*4_Normalizacion!M648</f>
        <v>0.001022672217683</v>
      </c>
      <c r="N650" s="21" t="n">
        <f aca="false">N$5*4_Normalizacion!N648</f>
        <v>0.00607918426103344</v>
      </c>
      <c r="O650" s="21" t="n">
        <f aca="false">O$5*4_Normalizacion!O648</f>
        <v>0.00802349058619819</v>
      </c>
      <c r="P650" s="21" t="n">
        <f aca="false">P$5*4_Normalizacion!P648</f>
        <v>0.00271682439873943</v>
      </c>
      <c r="Q650" s="21" t="n">
        <f aca="false">Q$5*4_Normalizacion!Q648</f>
        <v>0.00285926571798898</v>
      </c>
    </row>
    <row r="651" customFormat="false" ht="15" hidden="false" customHeight="false" outlineLevel="0" collapsed="false">
      <c r="A651" s="15" t="n">
        <f aca="false">4_Normalizacion!A649</f>
        <v>644</v>
      </c>
      <c r="B651" s="16" t="n">
        <f aca="false">4_Normalizacion!B649</f>
        <v>65.225</v>
      </c>
      <c r="C651" s="21" t="n">
        <f aca="false">C$5*4_Normalizacion!C649</f>
        <v>0.000422982013486281</v>
      </c>
      <c r="D651" s="21" t="n">
        <f aca="false">D$5*4_Normalizacion!D649</f>
        <v>0.00020543122737585</v>
      </c>
      <c r="E651" s="21" t="n">
        <f aca="false">E$5*4_Normalizacion!E649</f>
        <v>0.00185693905364827</v>
      </c>
      <c r="F651" s="21" t="n">
        <f aca="false">F$5*4_Normalizacion!F649</f>
        <v>0.00161403739408304</v>
      </c>
      <c r="G651" s="21" t="n">
        <f aca="false">G$5*4_Normalizacion!G649</f>
        <v>0.000280339284607229</v>
      </c>
      <c r="H651" s="21" t="n">
        <f aca="false">H$5*4_Normalizacion!H649</f>
        <v>0.00169754589383076</v>
      </c>
      <c r="I651" s="21" t="n">
        <f aca="false">I$5*4_Normalizacion!I649</f>
        <v>0.00281086825420146</v>
      </c>
      <c r="J651" s="21" t="n">
        <f aca="false">J$5*4_Normalizacion!J649</f>
        <v>0.000255567041403239</v>
      </c>
      <c r="K651" s="21" t="n">
        <f aca="false">K$5*4_Normalizacion!K649</f>
        <v>3.90133374367575E-005</v>
      </c>
      <c r="L651" s="21" t="n">
        <f aca="false">L$5*4_Normalizacion!L649</f>
        <v>0.00238007341355357</v>
      </c>
      <c r="M651" s="21" t="n">
        <f aca="false">M$5*4_Normalizacion!M649</f>
        <v>0.00103279359491314</v>
      </c>
      <c r="N651" s="21" t="n">
        <f aca="false">N$5*4_Normalizacion!N649</f>
        <v>0.00607918426103344</v>
      </c>
      <c r="O651" s="21" t="n">
        <f aca="false">O$5*4_Normalizacion!O649</f>
        <v>0.00802349058619819</v>
      </c>
      <c r="P651" s="21" t="n">
        <f aca="false">P$5*4_Normalizacion!P649</f>
        <v>0.00271682439873943</v>
      </c>
      <c r="Q651" s="21" t="n">
        <f aca="false">Q$5*4_Normalizacion!Q649</f>
        <v>0.00285926571798898</v>
      </c>
    </row>
    <row r="652" customFormat="false" ht="15" hidden="false" customHeight="false" outlineLevel="0" collapsed="false">
      <c r="A652" s="15" t="n">
        <f aca="false">4_Normalizacion!A650</f>
        <v>645</v>
      </c>
      <c r="B652" s="16" t="n">
        <f aca="false">4_Normalizacion!B650</f>
        <v>65.328</v>
      </c>
      <c r="C652" s="21" t="n">
        <f aca="false">C$5*4_Normalizacion!C650</f>
        <v>0.000422982013486281</v>
      </c>
      <c r="D652" s="21" t="n">
        <f aca="false">D$5*4_Normalizacion!D650</f>
        <v>0.00020543122737585</v>
      </c>
      <c r="E652" s="21" t="n">
        <f aca="false">E$5*4_Normalizacion!E650</f>
        <v>0.00185693905364827</v>
      </c>
      <c r="F652" s="21" t="n">
        <f aca="false">F$5*4_Normalizacion!F650</f>
        <v>0.00161403739408304</v>
      </c>
      <c r="G652" s="21" t="n">
        <f aca="false">G$5*4_Normalizacion!G650</f>
        <v>0.000280339284607229</v>
      </c>
      <c r="H652" s="21" t="n">
        <f aca="false">H$5*4_Normalizacion!H650</f>
        <v>0.00169754589383076</v>
      </c>
      <c r="I652" s="21" t="n">
        <f aca="false">I$5*4_Normalizacion!I650</f>
        <v>0.00281086825420146</v>
      </c>
      <c r="J652" s="21" t="n">
        <f aca="false">J$5*4_Normalizacion!J650</f>
        <v>0.000255567041403239</v>
      </c>
      <c r="K652" s="21" t="n">
        <f aca="false">K$5*4_Normalizacion!K650</f>
        <v>3.90133374367575E-005</v>
      </c>
      <c r="L652" s="21" t="n">
        <f aca="false">L$5*4_Normalizacion!L650</f>
        <v>0.00238759418482033</v>
      </c>
      <c r="M652" s="21" t="n">
        <f aca="false">M$5*4_Normalizacion!M650</f>
        <v>0.00103279359491314</v>
      </c>
      <c r="N652" s="21" t="n">
        <f aca="false">N$5*4_Normalizacion!N650</f>
        <v>0.00607918426103344</v>
      </c>
      <c r="O652" s="21" t="n">
        <f aca="false">O$5*4_Normalizacion!O650</f>
        <v>0.00802349058619819</v>
      </c>
      <c r="P652" s="21" t="n">
        <f aca="false">P$5*4_Normalizacion!P650</f>
        <v>0.00271682439873943</v>
      </c>
      <c r="Q652" s="21" t="n">
        <f aca="false">Q$5*4_Normalizacion!Q650</f>
        <v>0.00285926571798898</v>
      </c>
    </row>
    <row r="653" customFormat="false" ht="15" hidden="false" customHeight="false" outlineLevel="0" collapsed="false">
      <c r="A653" s="15" t="n">
        <f aca="false">4_Normalizacion!A651</f>
        <v>646</v>
      </c>
      <c r="B653" s="16" t="n">
        <f aca="false">4_Normalizacion!B651</f>
        <v>65.429</v>
      </c>
      <c r="C653" s="21" t="n">
        <f aca="false">C$5*4_Normalizacion!C651</f>
        <v>0.000422982013486281</v>
      </c>
      <c r="D653" s="21" t="n">
        <f aca="false">D$5*4_Normalizacion!D651</f>
        <v>0.00020543122737585</v>
      </c>
      <c r="E653" s="21" t="n">
        <f aca="false">E$5*4_Normalizacion!E651</f>
        <v>0.0013927042902362</v>
      </c>
      <c r="F653" s="21" t="n">
        <f aca="false">F$5*4_Normalizacion!F651</f>
        <v>0.00161403739408304</v>
      </c>
      <c r="G653" s="21" t="n">
        <f aca="false">G$5*4_Normalizacion!G651</f>
        <v>0.000280339284607229</v>
      </c>
      <c r="H653" s="21" t="n">
        <f aca="false">H$5*4_Normalizacion!H651</f>
        <v>0.00169754589383076</v>
      </c>
      <c r="I653" s="21" t="n">
        <f aca="false">I$5*4_Normalizacion!I651</f>
        <v>0.00281086825420146</v>
      </c>
      <c r="J653" s="21" t="n">
        <f aca="false">J$5*4_Normalizacion!J651</f>
        <v>0.000255567041403239</v>
      </c>
      <c r="K653" s="21" t="n">
        <f aca="false">K$5*4_Normalizacion!K651</f>
        <v>3.90133374367575E-005</v>
      </c>
      <c r="L653" s="21" t="n">
        <f aca="false">L$5*4_Normalizacion!L651</f>
        <v>0.00237556095079351</v>
      </c>
      <c r="M653" s="21" t="n">
        <f aca="false">M$5*4_Normalizacion!M651</f>
        <v>0.00103279359491314</v>
      </c>
      <c r="N653" s="21" t="n">
        <f aca="false">N$5*4_Normalizacion!N651</f>
        <v>0.00607918426103344</v>
      </c>
      <c r="O653" s="21" t="n">
        <f aca="false">O$5*4_Normalizacion!O651</f>
        <v>0.00601761793964864</v>
      </c>
      <c r="P653" s="21" t="n">
        <f aca="false">P$5*4_Normalizacion!P651</f>
        <v>0.00271682439873943</v>
      </c>
      <c r="Q653" s="21" t="n">
        <f aca="false">Q$5*4_Normalizacion!Q651</f>
        <v>0.00285926571798898</v>
      </c>
    </row>
    <row r="654" customFormat="false" ht="15" hidden="false" customHeight="false" outlineLevel="0" collapsed="false">
      <c r="A654" s="15" t="n">
        <f aca="false">4_Normalizacion!A652</f>
        <v>647</v>
      </c>
      <c r="B654" s="16" t="n">
        <f aca="false">4_Normalizacion!B652</f>
        <v>65.528</v>
      </c>
      <c r="C654" s="21" t="n">
        <f aca="false">C$5*4_Normalizacion!C652</f>
        <v>0.000422982013486281</v>
      </c>
      <c r="D654" s="21" t="n">
        <f aca="false">D$5*4_Normalizacion!D652</f>
        <v>0.00020543122737585</v>
      </c>
      <c r="E654" s="21" t="n">
        <f aca="false">E$5*4_Normalizacion!E652</f>
        <v>0.0013927042902362</v>
      </c>
      <c r="F654" s="21" t="n">
        <f aca="false">F$5*4_Normalizacion!F652</f>
        <v>0.00161403739408304</v>
      </c>
      <c r="G654" s="21" t="n">
        <f aca="false">G$5*4_Normalizacion!G652</f>
        <v>0.000280339284607229</v>
      </c>
      <c r="H654" s="21" t="n">
        <f aca="false">H$5*4_Normalizacion!H652</f>
        <v>0.00169754589383076</v>
      </c>
      <c r="I654" s="21" t="n">
        <f aca="false">I$5*4_Normalizacion!I652</f>
        <v>0.00281086825420146</v>
      </c>
      <c r="J654" s="21" t="n">
        <f aca="false">J$5*4_Normalizacion!J652</f>
        <v>0.000255567041403239</v>
      </c>
      <c r="K654" s="21" t="n">
        <f aca="false">K$5*4_Normalizacion!K652</f>
        <v>3.90133374367575E-005</v>
      </c>
      <c r="L654" s="21" t="n">
        <f aca="false">L$5*4_Normalizacion!L652</f>
        <v>0.00230737262464157</v>
      </c>
      <c r="M654" s="21" t="n">
        <f aca="false">M$5*4_Normalizacion!M652</f>
        <v>0.000952029135790936</v>
      </c>
      <c r="N654" s="21" t="n">
        <f aca="false">N$5*4_Normalizacion!N652</f>
        <v>0.00607918426103344</v>
      </c>
      <c r="O654" s="21" t="n">
        <f aca="false">O$5*4_Normalizacion!O652</f>
        <v>0.00601761793964864</v>
      </c>
      <c r="P654" s="21" t="n">
        <f aca="false">P$5*4_Normalizacion!P652</f>
        <v>0.00271682439873943</v>
      </c>
      <c r="Q654" s="21" t="n">
        <f aca="false">Q$5*4_Normalizacion!Q652</f>
        <v>0.00285926571798898</v>
      </c>
    </row>
    <row r="655" customFormat="false" ht="15" hidden="false" customHeight="false" outlineLevel="0" collapsed="false">
      <c r="A655" s="15" t="n">
        <f aca="false">4_Normalizacion!A653</f>
        <v>648</v>
      </c>
      <c r="B655" s="16" t="n">
        <f aca="false">4_Normalizacion!B653</f>
        <v>65.627</v>
      </c>
      <c r="C655" s="21" t="n">
        <f aca="false">C$5*4_Normalizacion!C653</f>
        <v>0.000845964026972562</v>
      </c>
      <c r="D655" s="21" t="n">
        <f aca="false">D$5*4_Normalizacion!D653</f>
        <v>0.00020543122737585</v>
      </c>
      <c r="E655" s="21" t="n">
        <f aca="false">E$5*4_Normalizacion!E653</f>
        <v>0.0013927042902362</v>
      </c>
      <c r="F655" s="21" t="n">
        <f aca="false">F$5*4_Normalizacion!F653</f>
        <v>0.00161403739408304</v>
      </c>
      <c r="G655" s="21" t="n">
        <f aca="false">G$5*4_Normalizacion!G653</f>
        <v>0.000280339284607229</v>
      </c>
      <c r="H655" s="21" t="n">
        <f aca="false">H$5*4_Normalizacion!H653</f>
        <v>0.00169754589383076</v>
      </c>
      <c r="I655" s="21" t="n">
        <f aca="false">I$5*4_Normalizacion!I653</f>
        <v>0.00281086825420146</v>
      </c>
      <c r="J655" s="21" t="n">
        <f aca="false">J$5*4_Normalizacion!J653</f>
        <v>0.000255567041403239</v>
      </c>
      <c r="K655" s="21" t="n">
        <f aca="false">K$5*4_Normalizacion!K653</f>
        <v>3.90133374367575E-005</v>
      </c>
      <c r="L655" s="21" t="n">
        <f aca="false">L$5*4_Normalizacion!L653</f>
        <v>0.00200804592822457</v>
      </c>
      <c r="M655" s="21" t="n">
        <f aca="false">M$5*4_Normalizacion!M653</f>
        <v>0.000919186299472699</v>
      </c>
      <c r="N655" s="21" t="n">
        <f aca="false">N$5*4_Normalizacion!N653</f>
        <v>0.00607918426103344</v>
      </c>
      <c r="O655" s="21" t="n">
        <f aca="false">O$5*4_Normalizacion!O653</f>
        <v>0.0040117452930991</v>
      </c>
      <c r="P655" s="21" t="n">
        <f aca="false">P$5*4_Normalizacion!P653</f>
        <v>0.00271682439873943</v>
      </c>
      <c r="Q655" s="21" t="n">
        <f aca="false">Q$5*4_Normalizacion!Q653</f>
        <v>0.00285926571798898</v>
      </c>
    </row>
    <row r="656" customFormat="false" ht="15" hidden="false" customHeight="false" outlineLevel="0" collapsed="false">
      <c r="A656" s="15" t="n">
        <f aca="false">4_Normalizacion!A654</f>
        <v>649</v>
      </c>
      <c r="B656" s="16" t="n">
        <f aca="false">4_Normalizacion!B654</f>
        <v>65.725</v>
      </c>
      <c r="C656" s="21" t="n">
        <f aca="false">C$5*4_Normalizacion!C654</f>
        <v>0.000845964026972562</v>
      </c>
      <c r="D656" s="21" t="n">
        <f aca="false">D$5*4_Normalizacion!D654</f>
        <v>0.00020543122737585</v>
      </c>
      <c r="E656" s="21" t="n">
        <f aca="false">E$5*4_Normalizacion!E654</f>
        <v>0.000928469526824133</v>
      </c>
      <c r="F656" s="21" t="n">
        <f aca="false">F$5*4_Normalizacion!F654</f>
        <v>0.00121052804556228</v>
      </c>
      <c r="G656" s="21" t="n">
        <f aca="false">G$5*4_Normalizacion!G654</f>
        <v>0.000280339284607229</v>
      </c>
      <c r="H656" s="21" t="n">
        <f aca="false">H$5*4_Normalizacion!H654</f>
        <v>0.00169754589383076</v>
      </c>
      <c r="I656" s="21" t="n">
        <f aca="false">I$5*4_Normalizacion!I654</f>
        <v>0.00281086825420146</v>
      </c>
      <c r="J656" s="21" t="n">
        <f aca="false">J$5*4_Normalizacion!J654</f>
        <v>0.000255567041403239</v>
      </c>
      <c r="K656" s="21" t="n">
        <f aca="false">K$5*4_Normalizacion!K654</f>
        <v>3.90133374367575E-005</v>
      </c>
      <c r="L656" s="21" t="n">
        <f aca="false">L$5*4_Normalizacion!L654</f>
        <v>0.00191228144076118</v>
      </c>
      <c r="M656" s="21" t="n">
        <f aca="false">M$5*4_Normalizacion!M654</f>
        <v>0.000847097306547761</v>
      </c>
      <c r="N656" s="21" t="n">
        <f aca="false">N$5*4_Normalizacion!N654</f>
        <v>0.00607918426103344</v>
      </c>
      <c r="O656" s="21" t="n">
        <f aca="false">O$5*4_Normalizacion!O654</f>
        <v>0.0040117452930991</v>
      </c>
      <c r="P656" s="21" t="n">
        <f aca="false">P$5*4_Normalizacion!P654</f>
        <v>0.00271682439873943</v>
      </c>
      <c r="Q656" s="21" t="n">
        <f aca="false">Q$5*4_Normalizacion!Q654</f>
        <v>0.00285926571798898</v>
      </c>
    </row>
    <row r="657" customFormat="false" ht="15" hidden="false" customHeight="false" outlineLevel="0" collapsed="false">
      <c r="A657" s="15" t="n">
        <f aca="false">4_Normalizacion!A655</f>
        <v>650</v>
      </c>
      <c r="B657" s="16" t="n">
        <f aca="false">4_Normalizacion!B655</f>
        <v>65.823</v>
      </c>
      <c r="C657" s="21" t="n">
        <f aca="false">C$5*4_Normalizacion!C655</f>
        <v>0.000845964026972562</v>
      </c>
      <c r="D657" s="21" t="n">
        <f aca="false">D$5*4_Normalizacion!D655</f>
        <v>0.00020543122737585</v>
      </c>
      <c r="E657" s="21" t="n">
        <f aca="false">E$5*4_Normalizacion!E655</f>
        <v>0.0013927042902362</v>
      </c>
      <c r="F657" s="21" t="n">
        <f aca="false">F$5*4_Normalizacion!F655</f>
        <v>0.00161403739408304</v>
      </c>
      <c r="G657" s="21" t="n">
        <f aca="false">G$5*4_Normalizacion!G655</f>
        <v>0.000280339284607229</v>
      </c>
      <c r="H657" s="21" t="n">
        <f aca="false">H$5*4_Normalizacion!H655</f>
        <v>0.00169754589383076</v>
      </c>
      <c r="I657" s="21" t="n">
        <f aca="false">I$5*4_Normalizacion!I655</f>
        <v>0.00562173650840292</v>
      </c>
      <c r="J657" s="21" t="n">
        <f aca="false">J$5*4_Normalizacion!J655</f>
        <v>0.000255567041403239</v>
      </c>
      <c r="K657" s="21" t="n">
        <f aca="false">K$5*4_Normalizacion!K655</f>
        <v>3.90133374367575E-005</v>
      </c>
      <c r="L657" s="21" t="n">
        <f aca="false">L$5*4_Normalizacion!L655</f>
        <v>0.00199400715519329</v>
      </c>
      <c r="M657" s="21" t="n">
        <f aca="false">M$5*4_Normalizacion!M655</f>
        <v>0.00080537244531327</v>
      </c>
      <c r="N657" s="21" t="n">
        <f aca="false">N$5*4_Normalizacion!N655</f>
        <v>0.00607918426103344</v>
      </c>
      <c r="O657" s="21" t="n">
        <f aca="false">O$5*4_Normalizacion!O655</f>
        <v>0.0040117452930991</v>
      </c>
      <c r="P657" s="21" t="n">
        <f aca="false">P$5*4_Normalizacion!P655</f>
        <v>0.00271682439873943</v>
      </c>
      <c r="Q657" s="21" t="n">
        <f aca="false">Q$5*4_Normalizacion!Q655</f>
        <v>0.00285926571798898</v>
      </c>
    </row>
    <row r="658" customFormat="false" ht="15" hidden="false" customHeight="false" outlineLevel="0" collapsed="false">
      <c r="A658" s="15" t="n">
        <f aca="false">4_Normalizacion!A656</f>
        <v>651</v>
      </c>
      <c r="B658" s="16" t="n">
        <f aca="false">4_Normalizacion!B656</f>
        <v>65.922</v>
      </c>
      <c r="C658" s="21" t="n">
        <f aca="false">C$5*4_Normalizacion!C656</f>
        <v>0.000845964026972562</v>
      </c>
      <c r="D658" s="21" t="n">
        <f aca="false">D$5*4_Normalizacion!D656</f>
        <v>0.00020543122737585</v>
      </c>
      <c r="E658" s="21" t="n">
        <f aca="false">E$5*4_Normalizacion!E656</f>
        <v>0.00185693905364827</v>
      </c>
      <c r="F658" s="21" t="n">
        <f aca="false">F$5*4_Normalizacion!F656</f>
        <v>0.00161403739408304</v>
      </c>
      <c r="G658" s="21" t="n">
        <f aca="false">G$5*4_Normalizacion!G656</f>
        <v>0.000280339284607229</v>
      </c>
      <c r="H658" s="21" t="n">
        <f aca="false">H$5*4_Normalizacion!H656</f>
        <v>0.00169754589383076</v>
      </c>
      <c r="I658" s="21" t="n">
        <f aca="false">I$5*4_Normalizacion!I656</f>
        <v>0.00562173650840292</v>
      </c>
      <c r="J658" s="21" t="n">
        <f aca="false">J$5*4_Normalizacion!J656</f>
        <v>0.000255567041403239</v>
      </c>
      <c r="K658" s="21" t="n">
        <f aca="false">K$5*4_Normalizacion!K656</f>
        <v>3.90133374367575E-005</v>
      </c>
      <c r="L658" s="21" t="n">
        <f aca="false">L$5*4_Normalizacion!L656</f>
        <v>0.00211784918871925</v>
      </c>
      <c r="M658" s="21" t="n">
        <f aca="false">M$5*4_Normalizacion!M656</f>
        <v>0.000793185480893295</v>
      </c>
      <c r="N658" s="21" t="n">
        <f aca="false">N$5*4_Normalizacion!N656</f>
        <v>0.00607918426103344</v>
      </c>
      <c r="O658" s="21" t="n">
        <f aca="false">O$5*4_Normalizacion!O656</f>
        <v>0.00200587264654955</v>
      </c>
      <c r="P658" s="21" t="n">
        <f aca="false">P$5*4_Normalizacion!P656</f>
        <v>0.00271682439873943</v>
      </c>
      <c r="Q658" s="21" t="n">
        <f aca="false">Q$5*4_Normalizacion!Q656</f>
        <v>0.00285926571798898</v>
      </c>
    </row>
    <row r="659" customFormat="false" ht="15" hidden="false" customHeight="false" outlineLevel="0" collapsed="false">
      <c r="A659" s="15" t="n">
        <f aca="false">4_Normalizacion!A657</f>
        <v>652</v>
      </c>
      <c r="B659" s="16" t="n">
        <f aca="false">4_Normalizacion!B657</f>
        <v>66.021</v>
      </c>
      <c r="C659" s="21" t="n">
        <f aca="false">C$5*4_Normalizacion!C657</f>
        <v>0.000845964026972562</v>
      </c>
      <c r="D659" s="21" t="n">
        <f aca="false">D$5*4_Normalizacion!D657</f>
        <v>0.00020543122737585</v>
      </c>
      <c r="E659" s="21" t="n">
        <f aca="false">E$5*4_Normalizacion!E657</f>
        <v>0.00185693905364827</v>
      </c>
      <c r="F659" s="21" t="n">
        <f aca="false">F$5*4_Normalizacion!F657</f>
        <v>0.00161403739408304</v>
      </c>
      <c r="G659" s="21" t="n">
        <f aca="false">G$5*4_Normalizacion!G657</f>
        <v>0.000280339284607229</v>
      </c>
      <c r="H659" s="21" t="n">
        <f aca="false">H$5*4_Normalizacion!H657</f>
        <v>0.00169754589383076</v>
      </c>
      <c r="I659" s="21" t="n">
        <f aca="false">I$5*4_Normalizacion!I657</f>
        <v>0.00281086825420146</v>
      </c>
      <c r="J659" s="21" t="n">
        <f aca="false">J$5*4_Normalizacion!J657</f>
        <v>0.000255567041403239</v>
      </c>
      <c r="K659" s="21" t="n">
        <f aca="false">K$5*4_Normalizacion!K657</f>
        <v>3.90133374367575E-005</v>
      </c>
      <c r="L659" s="21" t="n">
        <f aca="false">L$5*4_Normalizacion!L657</f>
        <v>0.00227879369382789</v>
      </c>
      <c r="M659" s="21" t="n">
        <f aca="false">M$5*4_Normalizacion!M657</f>
        <v>0.000826234875930515</v>
      </c>
      <c r="N659" s="21" t="n">
        <f aca="false">N$5*4_Normalizacion!N657</f>
        <v>0.00607918426103344</v>
      </c>
      <c r="O659" s="21" t="n">
        <f aca="false">O$5*4_Normalizacion!O657</f>
        <v>0.00200587264654955</v>
      </c>
      <c r="P659" s="21" t="n">
        <f aca="false">P$5*4_Normalizacion!P657</f>
        <v>0.00271682439873943</v>
      </c>
      <c r="Q659" s="21" t="n">
        <f aca="false">Q$5*4_Normalizacion!Q657</f>
        <v>0.00285926571798898</v>
      </c>
    </row>
    <row r="660" customFormat="false" ht="15" hidden="false" customHeight="false" outlineLevel="0" collapsed="false">
      <c r="A660" s="15" t="n">
        <f aca="false">4_Normalizacion!A658</f>
        <v>653</v>
      </c>
      <c r="B660" s="16" t="n">
        <f aca="false">4_Normalizacion!B658</f>
        <v>66.121</v>
      </c>
      <c r="C660" s="21" t="n">
        <f aca="false">C$5*4_Normalizacion!C658</f>
        <v>0.000845964026972562</v>
      </c>
      <c r="D660" s="21" t="n">
        <f aca="false">D$5*4_Normalizacion!D658</f>
        <v>0.00020543122737585</v>
      </c>
      <c r="E660" s="21" t="n">
        <f aca="false">E$5*4_Normalizacion!E658</f>
        <v>0.00185693905364827</v>
      </c>
      <c r="F660" s="21" t="n">
        <f aca="false">F$5*4_Normalizacion!F658</f>
        <v>0.00161403739408304</v>
      </c>
      <c r="G660" s="21" t="n">
        <f aca="false">G$5*4_Normalizacion!G658</f>
        <v>0.000210254463455421</v>
      </c>
      <c r="H660" s="21" t="n">
        <f aca="false">H$5*4_Normalizacion!H658</f>
        <v>0.00169754589383076</v>
      </c>
      <c r="I660" s="21" t="n">
        <f aca="false">I$5*4_Normalizacion!I658</f>
        <v>0.00562173650840292</v>
      </c>
      <c r="J660" s="21" t="n">
        <f aca="false">J$5*4_Normalizacion!J658</f>
        <v>0.000255567041403239</v>
      </c>
      <c r="K660" s="21" t="n">
        <f aca="false">K$5*4_Normalizacion!K658</f>
        <v>3.90133374367575E-005</v>
      </c>
      <c r="L660" s="21" t="n">
        <f aca="false">L$5*4_Normalizacion!L658</f>
        <v>0.00205567747958071</v>
      </c>
      <c r="M660" s="21" t="n">
        <f aca="false">M$5*4_Normalizacion!M658</f>
        <v>0.000826234875930515</v>
      </c>
      <c r="N660" s="21" t="n">
        <f aca="false">N$5*4_Normalizacion!N658</f>
        <v>0.00607918426103344</v>
      </c>
      <c r="O660" s="21" t="n">
        <f aca="false">O$5*4_Normalizacion!O658</f>
        <v>0.00200587264654955</v>
      </c>
      <c r="P660" s="21" t="n">
        <f aca="false">P$5*4_Normalizacion!P658</f>
        <v>0.00271682439873943</v>
      </c>
      <c r="Q660" s="21" t="n">
        <f aca="false">Q$5*4_Normalizacion!Q658</f>
        <v>0.00285926571798898</v>
      </c>
    </row>
    <row r="661" customFormat="false" ht="15" hidden="false" customHeight="false" outlineLevel="0" collapsed="false">
      <c r="A661" s="15" t="n">
        <f aca="false">4_Normalizacion!A659</f>
        <v>654</v>
      </c>
      <c r="B661" s="16" t="n">
        <f aca="false">4_Normalizacion!B659</f>
        <v>66.22</v>
      </c>
      <c r="C661" s="21" t="n">
        <f aca="false">C$5*4_Normalizacion!C659</f>
        <v>0.000845964026972562</v>
      </c>
      <c r="D661" s="21" t="n">
        <f aca="false">D$5*4_Normalizacion!D659</f>
        <v>0.00020543122737585</v>
      </c>
      <c r="E661" s="21" t="n">
        <f aca="false">E$5*4_Normalizacion!E659</f>
        <v>0.0013927042902362</v>
      </c>
      <c r="F661" s="21" t="n">
        <f aca="false">F$5*4_Normalizacion!F659</f>
        <v>0.000807018697041519</v>
      </c>
      <c r="G661" s="21" t="n">
        <f aca="false">G$5*4_Normalizacion!G659</f>
        <v>0.000210254463455421</v>
      </c>
      <c r="H661" s="21" t="n">
        <f aca="false">H$5*4_Normalizacion!H659</f>
        <v>0.00169754589383076</v>
      </c>
      <c r="I661" s="21" t="n">
        <f aca="false">I$5*4_Normalizacion!I659</f>
        <v>0.00562173650840292</v>
      </c>
      <c r="J661" s="21" t="n">
        <f aca="false">J$5*4_Normalizacion!J659</f>
        <v>0.000255567041403239</v>
      </c>
      <c r="K661" s="21" t="n">
        <f aca="false">K$5*4_Normalizacion!K659</f>
        <v>3.90133374367575E-005</v>
      </c>
      <c r="L661" s="21" t="n">
        <f aca="false">L$5*4_Normalizacion!L659</f>
        <v>0.00166710429746485</v>
      </c>
      <c r="M661" s="21" t="n">
        <f aca="false">M$5*4_Normalizacion!M659</f>
        <v>0.000826234875930515</v>
      </c>
      <c r="N661" s="21" t="n">
        <f aca="false">N$5*4_Normalizacion!N659</f>
        <v>0.00607918426103344</v>
      </c>
      <c r="O661" s="21" t="n">
        <f aca="false">O$5*4_Normalizacion!O659</f>
        <v>0.00200587264654955</v>
      </c>
      <c r="P661" s="21" t="n">
        <f aca="false">P$5*4_Normalizacion!P659</f>
        <v>0.00271682439873943</v>
      </c>
      <c r="Q661" s="21" t="n">
        <f aca="false">Q$5*4_Normalizacion!Q659</f>
        <v>0.00285926571798898</v>
      </c>
    </row>
    <row r="662" customFormat="false" ht="15" hidden="false" customHeight="false" outlineLevel="0" collapsed="false">
      <c r="A662" s="15" t="n">
        <f aca="false">4_Normalizacion!A660</f>
        <v>655</v>
      </c>
      <c r="B662" s="16" t="n">
        <f aca="false">4_Normalizacion!B660</f>
        <v>66.32</v>
      </c>
      <c r="C662" s="21" t="n">
        <f aca="false">C$5*4_Normalizacion!C660</f>
        <v>0.000845964026972562</v>
      </c>
      <c r="D662" s="21" t="n">
        <f aca="false">D$5*4_Normalizacion!D660</f>
        <v>0.00020543122737585</v>
      </c>
      <c r="E662" s="21" t="n">
        <f aca="false">E$5*4_Normalizacion!E660</f>
        <v>0.0013927042902362</v>
      </c>
      <c r="F662" s="21" t="n">
        <f aca="false">F$5*4_Normalizacion!F660</f>
        <v>0.00121052804556228</v>
      </c>
      <c r="G662" s="21" t="n">
        <f aca="false">G$5*4_Normalizacion!G660</f>
        <v>0.000210254463455421</v>
      </c>
      <c r="H662" s="21" t="n">
        <f aca="false">H$5*4_Normalizacion!H660</f>
        <v>0.00169754589383076</v>
      </c>
      <c r="I662" s="21" t="n">
        <f aca="false">I$5*4_Normalizacion!I660</f>
        <v>0.00843260476260438</v>
      </c>
      <c r="J662" s="21" t="n">
        <f aca="false">J$5*4_Normalizacion!J660</f>
        <v>0.000255567041403239</v>
      </c>
      <c r="K662" s="21" t="n">
        <f aca="false">K$5*4_Normalizacion!K660</f>
        <v>3.90133374367575E-005</v>
      </c>
      <c r="L662" s="21" t="n">
        <f aca="false">L$5*4_Normalizacion!L660</f>
        <v>0.00138281914358137</v>
      </c>
      <c r="M662" s="21" t="n">
        <f aca="false">M$5*4_Normalizacion!M660</f>
        <v>0.000826234875930515</v>
      </c>
      <c r="N662" s="21" t="n">
        <f aca="false">N$5*4_Normalizacion!N660</f>
        <v>0.00607918426103344</v>
      </c>
      <c r="O662" s="21" t="n">
        <f aca="false">O$5*4_Normalizacion!O660</f>
        <v>0.00200587264654955</v>
      </c>
      <c r="P662" s="21" t="n">
        <f aca="false">P$5*4_Normalizacion!P660</f>
        <v>0.00271682439873943</v>
      </c>
      <c r="Q662" s="21" t="n">
        <f aca="false">Q$5*4_Normalizacion!Q660</f>
        <v>0.00285926571798898</v>
      </c>
    </row>
    <row r="663" customFormat="false" ht="15" hidden="false" customHeight="false" outlineLevel="0" collapsed="false">
      <c r="A663" s="15" t="n">
        <f aca="false">4_Normalizacion!A661</f>
        <v>656</v>
      </c>
      <c r="B663" s="16" t="n">
        <f aca="false">4_Normalizacion!B661</f>
        <v>66.419</v>
      </c>
      <c r="C663" s="21" t="n">
        <f aca="false">C$5*4_Normalizacion!C661</f>
        <v>0.000845964026972562</v>
      </c>
      <c r="D663" s="21" t="n">
        <f aca="false">D$5*4_Normalizacion!D661</f>
        <v>0.00020543122737585</v>
      </c>
      <c r="E663" s="21" t="n">
        <f aca="false">E$5*4_Normalizacion!E661</f>
        <v>0.0013927042902362</v>
      </c>
      <c r="F663" s="21" t="n">
        <f aca="false">F$5*4_Normalizacion!F661</f>
        <v>0.00161403739408304</v>
      </c>
      <c r="G663" s="21" t="n">
        <f aca="false">G$5*4_Normalizacion!G661</f>
        <v>0.000210254463455421</v>
      </c>
      <c r="H663" s="21" t="n">
        <f aca="false">H$5*4_Normalizacion!H661</f>
        <v>0.00169754589383076</v>
      </c>
      <c r="I663" s="21" t="n">
        <f aca="false">I$5*4_Normalizacion!I661</f>
        <v>0.00562173650840292</v>
      </c>
      <c r="J663" s="21" t="n">
        <f aca="false">J$5*4_Normalizacion!J661</f>
        <v>0.000255567041403239</v>
      </c>
      <c r="K663" s="21" t="n">
        <f aca="false">K$5*4_Normalizacion!K661</f>
        <v>3.90133374367575E-005</v>
      </c>
      <c r="L663" s="21" t="n">
        <f aca="false">L$5*4_Normalizacion!L661</f>
        <v>0.00138733160634142</v>
      </c>
      <c r="M663" s="21" t="n">
        <f aca="false">M$5*4_Normalizacion!M661</f>
        <v>0.000826234875930515</v>
      </c>
      <c r="N663" s="21" t="n">
        <f aca="false">N$5*4_Normalizacion!N661</f>
        <v>0.00607918426103344</v>
      </c>
      <c r="O663" s="21" t="n">
        <f aca="false">O$5*4_Normalizacion!O661</f>
        <v>0.00200587264654955</v>
      </c>
      <c r="P663" s="21" t="n">
        <f aca="false">P$5*4_Normalizacion!P661</f>
        <v>0.00271682439873943</v>
      </c>
      <c r="Q663" s="21" t="n">
        <f aca="false">Q$5*4_Normalizacion!Q661</f>
        <v>0.00285926571798898</v>
      </c>
    </row>
    <row r="664" customFormat="false" ht="15" hidden="false" customHeight="false" outlineLevel="0" collapsed="false">
      <c r="A664" s="15" t="n">
        <f aca="false">4_Normalizacion!A662</f>
        <v>657</v>
      </c>
      <c r="B664" s="16" t="n">
        <f aca="false">4_Normalizacion!B662</f>
        <v>66.517</v>
      </c>
      <c r="C664" s="21" t="n">
        <f aca="false">C$5*4_Normalizacion!C662</f>
        <v>0.00126894604045884</v>
      </c>
      <c r="D664" s="21" t="n">
        <f aca="false">D$5*4_Normalizacion!D662</f>
        <v>0.00020543122737585</v>
      </c>
      <c r="E664" s="21" t="n">
        <f aca="false">E$5*4_Normalizacion!E662</f>
        <v>0.0013927042902362</v>
      </c>
      <c r="F664" s="21" t="n">
        <f aca="false">F$5*4_Normalizacion!F662</f>
        <v>0.00161403739408304</v>
      </c>
      <c r="G664" s="21" t="n">
        <f aca="false">G$5*4_Normalizacion!G662</f>
        <v>0.000210254463455421</v>
      </c>
      <c r="H664" s="21" t="n">
        <f aca="false">H$5*4_Normalizacion!H662</f>
        <v>0.00169754589383076</v>
      </c>
      <c r="I664" s="21" t="n">
        <f aca="false">I$5*4_Normalizacion!I662</f>
        <v>0.00281086825420146</v>
      </c>
      <c r="J664" s="21" t="n">
        <f aca="false">J$5*4_Normalizacion!J662</f>
        <v>0.000255567041403239</v>
      </c>
      <c r="K664" s="21" t="n">
        <f aca="false">K$5*4_Normalizacion!K662</f>
        <v>3.90133374367575E-005</v>
      </c>
      <c r="L664" s="21" t="n">
        <f aca="false">L$5*4_Normalizacion!L662</f>
        <v>0.00137780529607019</v>
      </c>
      <c r="M664" s="21" t="n">
        <f aca="false">M$5*4_Normalizacion!M662</f>
        <v>0.000826234875930515</v>
      </c>
      <c r="N664" s="21" t="n">
        <f aca="false">N$5*4_Normalizacion!N662</f>
        <v>0.00607918426103344</v>
      </c>
      <c r="O664" s="21" t="n">
        <f aca="false">O$5*4_Normalizacion!O662</f>
        <v>0.00200587264654955</v>
      </c>
      <c r="P664" s="21" t="n">
        <f aca="false">P$5*4_Normalizacion!P662</f>
        <v>0.00271682439873943</v>
      </c>
      <c r="Q664" s="21" t="n">
        <f aca="false">Q$5*4_Normalizacion!Q662</f>
        <v>0.00285926571798898</v>
      </c>
    </row>
    <row r="665" customFormat="false" ht="15" hidden="false" customHeight="false" outlineLevel="0" collapsed="false">
      <c r="A665" s="15" t="n">
        <f aca="false">4_Normalizacion!A663</f>
        <v>658</v>
      </c>
      <c r="B665" s="16" t="n">
        <f aca="false">4_Normalizacion!B663</f>
        <v>66.615</v>
      </c>
      <c r="C665" s="21" t="n">
        <f aca="false">C$5*4_Normalizacion!C663</f>
        <v>0.00126894604045884</v>
      </c>
      <c r="D665" s="21" t="n">
        <f aca="false">D$5*4_Normalizacion!D663</f>
        <v>0.00020543122737585</v>
      </c>
      <c r="E665" s="21" t="n">
        <f aca="false">E$5*4_Normalizacion!E663</f>
        <v>0.00185693905364827</v>
      </c>
      <c r="F665" s="21" t="n">
        <f aca="false">F$5*4_Normalizacion!F663</f>
        <v>0.00161403739408304</v>
      </c>
      <c r="G665" s="21" t="n">
        <f aca="false">G$5*4_Normalizacion!G663</f>
        <v>0.000210254463455421</v>
      </c>
      <c r="H665" s="21" t="n">
        <f aca="false">H$5*4_Normalizacion!H663</f>
        <v>0.00169754589383076</v>
      </c>
      <c r="I665" s="21" t="n">
        <f aca="false">I$5*4_Normalizacion!I663</f>
        <v>0.00281086825420146</v>
      </c>
      <c r="J665" s="21" t="n">
        <f aca="false">J$5*4_Normalizacion!J663</f>
        <v>0.000255567041403239</v>
      </c>
      <c r="K665" s="21" t="n">
        <f aca="false">K$5*4_Normalizacion!K663</f>
        <v>3.90133374367575E-005</v>
      </c>
      <c r="L665" s="21" t="n">
        <f aca="false">L$5*4_Normalizacion!L663</f>
        <v>0.00134471390249646</v>
      </c>
      <c r="M665" s="21" t="n">
        <f aca="false">M$5*4_Normalizacion!M663</f>
        <v>0.000826234875930515</v>
      </c>
      <c r="N665" s="21" t="n">
        <f aca="false">N$5*4_Normalizacion!N663</f>
        <v>0.00607918426103344</v>
      </c>
      <c r="O665" s="21" t="n">
        <f aca="false">O$5*4_Normalizacion!O663</f>
        <v>0.00200587264654955</v>
      </c>
      <c r="P665" s="21" t="n">
        <f aca="false">P$5*4_Normalizacion!P663</f>
        <v>0.00271682439873943</v>
      </c>
      <c r="Q665" s="21" t="n">
        <f aca="false">Q$5*4_Normalizacion!Q663</f>
        <v>0.00285926571798898</v>
      </c>
    </row>
    <row r="666" customFormat="false" ht="15" hidden="false" customHeight="false" outlineLevel="0" collapsed="false">
      <c r="A666" s="15" t="n">
        <f aca="false">4_Normalizacion!A664</f>
        <v>659</v>
      </c>
      <c r="B666" s="16" t="n">
        <f aca="false">4_Normalizacion!B664</f>
        <v>66.712</v>
      </c>
      <c r="C666" s="21" t="n">
        <f aca="false">C$5*4_Normalizacion!C664</f>
        <v>0.00126894604045884</v>
      </c>
      <c r="D666" s="21" t="n">
        <f aca="false">D$5*4_Normalizacion!D664</f>
        <v>0.00020543122737585</v>
      </c>
      <c r="E666" s="21" t="n">
        <f aca="false">E$5*4_Normalizacion!E664</f>
        <v>0.00185693905364827</v>
      </c>
      <c r="F666" s="21" t="n">
        <f aca="false">F$5*4_Normalizacion!F664</f>
        <v>0.0020175467426038</v>
      </c>
      <c r="G666" s="21" t="n">
        <f aca="false">G$5*4_Normalizacion!G664</f>
        <v>0.000210254463455421</v>
      </c>
      <c r="H666" s="21" t="n">
        <f aca="false">H$5*4_Normalizacion!H664</f>
        <v>0.00169754589383076</v>
      </c>
      <c r="I666" s="21" t="n">
        <f aca="false">I$5*4_Normalizacion!I664</f>
        <v>0.00562173650840292</v>
      </c>
      <c r="J666" s="21" t="n">
        <f aca="false">J$5*4_Normalizacion!J664</f>
        <v>0.000255567041403239</v>
      </c>
      <c r="K666" s="21" t="n">
        <f aca="false">K$5*4_Normalizacion!K664</f>
        <v>3.90133374367575E-005</v>
      </c>
      <c r="L666" s="21" t="n">
        <f aca="false">L$5*4_Normalizacion!L664</f>
        <v>0.0015873841220372</v>
      </c>
      <c r="M666" s="21" t="n">
        <f aca="false">M$5*4_Normalizacion!M664</f>
        <v>0.00081404791151054</v>
      </c>
      <c r="N666" s="21" t="n">
        <f aca="false">N$5*4_Normalizacion!N664</f>
        <v>0.00607918426103344</v>
      </c>
      <c r="O666" s="21" t="n">
        <f aca="false">O$5*4_Normalizacion!O664</f>
        <v>0.00200587264654955</v>
      </c>
      <c r="P666" s="21" t="n">
        <f aca="false">P$5*4_Normalizacion!P664</f>
        <v>0.00271682439873943</v>
      </c>
      <c r="Q666" s="21" t="n">
        <f aca="false">Q$5*4_Normalizacion!Q664</f>
        <v>0.00285926571798898</v>
      </c>
    </row>
    <row r="667" customFormat="false" ht="15" hidden="false" customHeight="false" outlineLevel="0" collapsed="false">
      <c r="A667" s="15" t="n">
        <f aca="false">4_Normalizacion!A665</f>
        <v>660</v>
      </c>
      <c r="B667" s="16" t="n">
        <f aca="false">4_Normalizacion!B665</f>
        <v>66.809</v>
      </c>
      <c r="C667" s="21" t="n">
        <f aca="false">C$5*4_Normalizacion!C665</f>
        <v>0.00126894604045884</v>
      </c>
      <c r="D667" s="21" t="n">
        <f aca="false">D$5*4_Normalizacion!D665</f>
        <v>0.00020543122737585</v>
      </c>
      <c r="E667" s="21" t="n">
        <f aca="false">E$5*4_Normalizacion!E665</f>
        <v>0.00185693905364827</v>
      </c>
      <c r="F667" s="21" t="n">
        <f aca="false">F$5*4_Normalizacion!F665</f>
        <v>0.0020175467426038</v>
      </c>
      <c r="G667" s="21" t="n">
        <f aca="false">G$5*4_Normalizacion!G665</f>
        <v>0.000210254463455421</v>
      </c>
      <c r="H667" s="21" t="n">
        <f aca="false">H$5*4_Normalizacion!H665</f>
        <v>0.00169754589383076</v>
      </c>
      <c r="I667" s="21" t="n">
        <f aca="false">I$5*4_Normalizacion!I665</f>
        <v>0.00562173650840292</v>
      </c>
      <c r="J667" s="21" t="n">
        <f aca="false">J$5*4_Normalizacion!J665</f>
        <v>0.000255567041403239</v>
      </c>
      <c r="K667" s="21" t="n">
        <f aca="false">K$5*4_Normalizacion!K665</f>
        <v>3.90133374367575E-005</v>
      </c>
      <c r="L667" s="21" t="n">
        <f aca="false">L$5*4_Normalizacion!L665</f>
        <v>0.00130460312240708</v>
      </c>
      <c r="M667" s="21" t="n">
        <f aca="false">M$5*4_Normalizacion!M665</f>
        <v>0.000815493822543419</v>
      </c>
      <c r="N667" s="21" t="n">
        <f aca="false">N$5*4_Normalizacion!N665</f>
        <v>0.00607918426103344</v>
      </c>
      <c r="O667" s="21" t="n">
        <f aca="false">O$5*4_Normalizacion!O665</f>
        <v>0.00200587264654955</v>
      </c>
      <c r="P667" s="21" t="n">
        <f aca="false">P$5*4_Normalizacion!P665</f>
        <v>0.00271682439873943</v>
      </c>
      <c r="Q667" s="21" t="n">
        <f aca="false">Q$5*4_Normalizacion!Q665</f>
        <v>0.00285926571798898</v>
      </c>
    </row>
    <row r="668" customFormat="false" ht="15" hidden="false" customHeight="false" outlineLevel="0" collapsed="false">
      <c r="A668" s="15" t="n">
        <f aca="false">4_Normalizacion!A666</f>
        <v>661</v>
      </c>
      <c r="B668" s="16" t="n">
        <f aca="false">4_Normalizacion!B666</f>
        <v>66.905</v>
      </c>
      <c r="C668" s="21" t="n">
        <f aca="false">C$5*4_Normalizacion!C666</f>
        <v>0.00126894604045884</v>
      </c>
      <c r="D668" s="21" t="n">
        <f aca="false">D$5*4_Normalizacion!D666</f>
        <v>0.00020543122737585</v>
      </c>
      <c r="E668" s="21" t="n">
        <f aca="false">E$5*4_Normalizacion!E666</f>
        <v>0.00185693905364827</v>
      </c>
      <c r="F668" s="21" t="n">
        <f aca="false">F$5*4_Normalizacion!F666</f>
        <v>0.0020175467426038</v>
      </c>
      <c r="G668" s="21" t="n">
        <f aca="false">G$5*4_Normalizacion!G666</f>
        <v>0.000210254463455421</v>
      </c>
      <c r="H668" s="21" t="n">
        <f aca="false">H$5*4_Normalizacion!H666</f>
        <v>0.00169754589383076</v>
      </c>
      <c r="I668" s="21" t="n">
        <f aca="false">I$5*4_Normalizacion!I666</f>
        <v>0.00281086825420146</v>
      </c>
      <c r="J668" s="21" t="n">
        <f aca="false">J$5*4_Normalizacion!J666</f>
        <v>0.000255567041403239</v>
      </c>
      <c r="K668" s="21" t="n">
        <f aca="false">K$5*4_Normalizacion!K666</f>
        <v>3.90133374367575E-005</v>
      </c>
      <c r="L668" s="21" t="n">
        <f aca="false">L$5*4_Normalizacion!L666</f>
        <v>0.00160693812733078</v>
      </c>
      <c r="M668" s="21" t="n">
        <f aca="false">M$5*4_Normalizacion!M666</f>
        <v>0.000834497224689821</v>
      </c>
      <c r="N668" s="21" t="n">
        <f aca="false">N$5*4_Normalizacion!N666</f>
        <v>0.00607918426103344</v>
      </c>
      <c r="O668" s="21" t="n">
        <f aca="false">O$5*4_Normalizacion!O666</f>
        <v>0.00200587264654955</v>
      </c>
      <c r="P668" s="21" t="n">
        <f aca="false">P$5*4_Normalizacion!P666</f>
        <v>0.00271682439873943</v>
      </c>
      <c r="Q668" s="21" t="n">
        <f aca="false">Q$5*4_Normalizacion!Q666</f>
        <v>0.0114370628719559</v>
      </c>
    </row>
    <row r="669" customFormat="false" ht="15" hidden="false" customHeight="false" outlineLevel="0" collapsed="false">
      <c r="A669" s="15" t="n">
        <f aca="false">4_Normalizacion!A667</f>
        <v>662</v>
      </c>
      <c r="B669" s="16" t="n">
        <f aca="false">4_Normalizacion!B667</f>
        <v>67.003</v>
      </c>
      <c r="C669" s="21" t="n">
        <f aca="false">C$5*4_Normalizacion!C667</f>
        <v>0.00126894604045884</v>
      </c>
      <c r="D669" s="21" t="n">
        <f aca="false">D$5*4_Normalizacion!D667</f>
        <v>0.00020543122737585</v>
      </c>
      <c r="E669" s="21" t="n">
        <f aca="false">E$5*4_Normalizacion!E667</f>
        <v>0.00185693905364827</v>
      </c>
      <c r="F669" s="21" t="n">
        <f aca="false">F$5*4_Normalizacion!F667</f>
        <v>0.00161403739408304</v>
      </c>
      <c r="G669" s="21" t="n">
        <f aca="false">G$5*4_Normalizacion!G667</f>
        <v>0.000210254463455421</v>
      </c>
      <c r="H669" s="21" t="n">
        <f aca="false">H$5*4_Normalizacion!H667</f>
        <v>0.00169754589383076</v>
      </c>
      <c r="I669" s="21" t="n">
        <f aca="false">I$5*4_Normalizacion!I667</f>
        <v>0.00281086825420146</v>
      </c>
      <c r="J669" s="21" t="n">
        <f aca="false">J$5*4_Normalizacion!J667</f>
        <v>0.000255567041403239</v>
      </c>
      <c r="K669" s="21" t="n">
        <f aca="false">K$5*4_Normalizacion!K667</f>
        <v>3.90133374367575E-005</v>
      </c>
      <c r="L669" s="21" t="n">
        <f aca="false">L$5*4_Normalizacion!L667</f>
        <v>0.00182052803130672</v>
      </c>
      <c r="M669" s="21" t="n">
        <f aca="false">M$5*4_Normalizacion!M667</f>
        <v>0.000837389046755578</v>
      </c>
      <c r="N669" s="21" t="n">
        <f aca="false">N$5*4_Normalizacion!N667</f>
        <v>0.00607918426103344</v>
      </c>
      <c r="O669" s="21" t="n">
        <f aca="false">O$5*4_Normalizacion!O667</f>
        <v>0.00200587264654955</v>
      </c>
      <c r="P669" s="21" t="n">
        <f aca="false">P$5*4_Normalizacion!P667</f>
        <v>0.00271682439873943</v>
      </c>
      <c r="Q669" s="21" t="n">
        <f aca="false">Q$5*4_Normalizacion!Q667</f>
        <v>0.0114370628719559</v>
      </c>
    </row>
    <row r="670" customFormat="false" ht="15" hidden="false" customHeight="false" outlineLevel="0" collapsed="false">
      <c r="A670" s="15" t="n">
        <f aca="false">4_Normalizacion!A668</f>
        <v>663</v>
      </c>
      <c r="B670" s="16" t="n">
        <f aca="false">4_Normalizacion!B668</f>
        <v>67.1</v>
      </c>
      <c r="C670" s="21" t="n">
        <f aca="false">C$5*4_Normalizacion!C668</f>
        <v>0.00126894604045884</v>
      </c>
      <c r="D670" s="21" t="n">
        <f aca="false">D$5*4_Normalizacion!D668</f>
        <v>0.00020543122737585</v>
      </c>
      <c r="E670" s="21" t="n">
        <f aca="false">E$5*4_Normalizacion!E668</f>
        <v>0.00185693905364827</v>
      </c>
      <c r="F670" s="21" t="n">
        <f aca="false">F$5*4_Normalizacion!F668</f>
        <v>0.00161403739408304</v>
      </c>
      <c r="G670" s="21" t="n">
        <f aca="false">G$5*4_Normalizacion!G668</f>
        <v>0.000210254463455421</v>
      </c>
      <c r="H670" s="21" t="n">
        <f aca="false">H$5*4_Normalizacion!H668</f>
        <v>0.00169754589383076</v>
      </c>
      <c r="I670" s="21" t="n">
        <f aca="false">I$5*4_Normalizacion!I668</f>
        <v>0.00281086825420146</v>
      </c>
      <c r="J670" s="21" t="n">
        <f aca="false">J$5*4_Normalizacion!J668</f>
        <v>0.000255567041403239</v>
      </c>
      <c r="K670" s="21" t="n">
        <f aca="false">K$5*4_Normalizacion!K668</f>
        <v>3.90133374367575E-005</v>
      </c>
      <c r="L670" s="21" t="n">
        <f aca="false">L$5*4_Normalizacion!L668</f>
        <v>0.00191378559501453</v>
      </c>
      <c r="M670" s="21" t="n">
        <f aca="false">M$5*4_Normalizacion!M668</f>
        <v>0.000843172690887091</v>
      </c>
      <c r="N670" s="21" t="n">
        <f aca="false">N$5*4_Normalizacion!N668</f>
        <v>0.00607918426103344</v>
      </c>
      <c r="O670" s="21" t="n">
        <f aca="false">O$5*4_Normalizacion!O668</f>
        <v>0.0040117452930991</v>
      </c>
      <c r="P670" s="21" t="n">
        <f aca="false">P$5*4_Normalizacion!P668</f>
        <v>0.00271682439873943</v>
      </c>
      <c r="Q670" s="21" t="n">
        <f aca="false">Q$5*4_Normalizacion!Q668</f>
        <v>0.0114370628719559</v>
      </c>
    </row>
    <row r="671" customFormat="false" ht="15" hidden="false" customHeight="false" outlineLevel="0" collapsed="false">
      <c r="A671" s="15" t="n">
        <f aca="false">4_Normalizacion!A669</f>
        <v>664</v>
      </c>
      <c r="B671" s="16" t="n">
        <f aca="false">4_Normalizacion!B669</f>
        <v>67.198</v>
      </c>
      <c r="C671" s="21" t="n">
        <f aca="false">C$5*4_Normalizacion!C669</f>
        <v>0.00126894604045884</v>
      </c>
      <c r="D671" s="21" t="n">
        <f aca="false">D$5*4_Normalizacion!D669</f>
        <v>0.00020543122737585</v>
      </c>
      <c r="E671" s="21" t="n">
        <f aca="false">E$5*4_Normalizacion!E669</f>
        <v>0.00185693905364827</v>
      </c>
      <c r="F671" s="21" t="n">
        <f aca="false">F$5*4_Normalizacion!F669</f>
        <v>0.00121052804556228</v>
      </c>
      <c r="G671" s="21" t="n">
        <f aca="false">G$5*4_Normalizacion!G669</f>
        <v>0.000210254463455421</v>
      </c>
      <c r="H671" s="21" t="n">
        <f aca="false">H$5*4_Normalizacion!H669</f>
        <v>0.00169754589383076</v>
      </c>
      <c r="I671" s="21" t="n">
        <f aca="false">I$5*4_Normalizacion!I669</f>
        <v>0.00281086825420146</v>
      </c>
      <c r="J671" s="21" t="n">
        <f aca="false">J$5*4_Normalizacion!J669</f>
        <v>0.000255567041403239</v>
      </c>
      <c r="K671" s="21" t="n">
        <f aca="false">K$5*4_Normalizacion!K669</f>
        <v>3.90133374367575E-005</v>
      </c>
      <c r="L671" s="21" t="n">
        <f aca="false">L$5*4_Normalizacion!L669</f>
        <v>0.00190927313225448</v>
      </c>
      <c r="M671" s="21" t="n">
        <f aca="false">M$5*4_Normalizacion!M669</f>
        <v>0.000847303865266744</v>
      </c>
      <c r="N671" s="21" t="n">
        <f aca="false">N$5*4_Normalizacion!N669</f>
        <v>0.00607918426103344</v>
      </c>
      <c r="O671" s="21" t="n">
        <f aca="false">O$5*4_Normalizacion!O669</f>
        <v>0.0040117452930991</v>
      </c>
      <c r="P671" s="21" t="n">
        <f aca="false">P$5*4_Normalizacion!P669</f>
        <v>0.00271682439873943</v>
      </c>
      <c r="Q671" s="21" t="n">
        <f aca="false">Q$5*4_Normalizacion!Q669</f>
        <v>0.0114370628719559</v>
      </c>
    </row>
    <row r="672" customFormat="false" ht="15" hidden="false" customHeight="false" outlineLevel="0" collapsed="false">
      <c r="A672" s="15" t="n">
        <f aca="false">4_Normalizacion!A670</f>
        <v>665</v>
      </c>
      <c r="B672" s="16" t="n">
        <f aca="false">4_Normalizacion!B670</f>
        <v>67.296</v>
      </c>
      <c r="C672" s="21" t="n">
        <f aca="false">C$5*4_Normalizacion!C670</f>
        <v>0.00126894604045884</v>
      </c>
      <c r="D672" s="21" t="n">
        <f aca="false">D$5*4_Normalizacion!D670</f>
        <v>0.00020543122737585</v>
      </c>
      <c r="E672" s="21" t="n">
        <f aca="false">E$5*4_Normalizacion!E670</f>
        <v>0.0013927042902362</v>
      </c>
      <c r="F672" s="21" t="n">
        <f aca="false">F$5*4_Normalizacion!F670</f>
        <v>0.00161403739408304</v>
      </c>
      <c r="G672" s="21" t="n">
        <f aca="false">G$5*4_Normalizacion!G670</f>
        <v>0.000210254463455421</v>
      </c>
      <c r="H672" s="21" t="n">
        <f aca="false">H$5*4_Normalizacion!H670</f>
        <v>0.00169754589383076</v>
      </c>
      <c r="I672" s="21" t="n">
        <f aca="false">I$5*4_Normalizacion!I670</f>
        <v>0.00281086825420146</v>
      </c>
      <c r="J672" s="21" t="n">
        <f aca="false">J$5*4_Normalizacion!J670</f>
        <v>0.000255567041403239</v>
      </c>
      <c r="K672" s="21" t="n">
        <f aca="false">K$5*4_Normalizacion!K670</f>
        <v>3.90133374367575E-005</v>
      </c>
      <c r="L672" s="21" t="n">
        <f aca="false">L$5*4_Normalizacion!L670</f>
        <v>0.00193935621732151</v>
      </c>
      <c r="M672" s="21" t="n">
        <f aca="false">M$5*4_Normalizacion!M670</f>
        <v>0.000885310669559547</v>
      </c>
      <c r="N672" s="21" t="n">
        <f aca="false">N$5*4_Normalizacion!N670</f>
        <v>0.00607918426103344</v>
      </c>
      <c r="O672" s="21" t="n">
        <f aca="false">O$5*4_Normalizacion!O670</f>
        <v>0.0040117452930991</v>
      </c>
      <c r="P672" s="21" t="n">
        <f aca="false">P$5*4_Normalizacion!P670</f>
        <v>0.00271682439873943</v>
      </c>
      <c r="Q672" s="21" t="n">
        <f aca="false">Q$5*4_Normalizacion!Q670</f>
        <v>0.0114370628719559</v>
      </c>
    </row>
    <row r="673" customFormat="false" ht="15" hidden="false" customHeight="false" outlineLevel="0" collapsed="false">
      <c r="A673" s="15" t="n">
        <f aca="false">4_Normalizacion!A671</f>
        <v>666</v>
      </c>
      <c r="B673" s="16" t="n">
        <f aca="false">4_Normalizacion!B671</f>
        <v>67.393</v>
      </c>
      <c r="C673" s="21" t="n">
        <f aca="false">C$5*4_Normalizacion!C671</f>
        <v>0.00126894604045884</v>
      </c>
      <c r="D673" s="21" t="n">
        <f aca="false">D$5*4_Normalizacion!D671</f>
        <v>0.00020543122737585</v>
      </c>
      <c r="E673" s="21" t="n">
        <f aca="false">E$5*4_Normalizacion!E671</f>
        <v>0.0013927042902362</v>
      </c>
      <c r="F673" s="21" t="n">
        <f aca="false">F$5*4_Normalizacion!F671</f>
        <v>0.00161403739408304</v>
      </c>
      <c r="G673" s="21" t="n">
        <f aca="false">G$5*4_Normalizacion!G671</f>
        <v>0.000210254463455421</v>
      </c>
      <c r="H673" s="21" t="n">
        <f aca="false">H$5*4_Normalizacion!H671</f>
        <v>0.00169754589383076</v>
      </c>
      <c r="I673" s="21" t="n">
        <f aca="false">I$5*4_Normalizacion!I671</f>
        <v>0.00281086825420146</v>
      </c>
      <c r="J673" s="21" t="n">
        <f aca="false">J$5*4_Normalizacion!J671</f>
        <v>0.000255567041403239</v>
      </c>
      <c r="K673" s="21" t="n">
        <f aca="false">K$5*4_Normalizacion!K671</f>
        <v>3.90133374367575E-005</v>
      </c>
      <c r="L673" s="21" t="n">
        <f aca="false">L$5*4_Normalizacion!L671</f>
        <v>0.00217500705034662</v>
      </c>
      <c r="M673" s="21" t="n">
        <f aca="false">M$5*4_Normalizacion!M671</f>
        <v>0.000968553833309547</v>
      </c>
      <c r="N673" s="21" t="n">
        <f aca="false">N$5*4_Normalizacion!N671</f>
        <v>0.00607918426103344</v>
      </c>
      <c r="O673" s="21" t="n">
        <f aca="false">O$5*4_Normalizacion!O671</f>
        <v>0.0040117452930991</v>
      </c>
      <c r="P673" s="21" t="n">
        <f aca="false">P$5*4_Normalizacion!P671</f>
        <v>0.00271682439873943</v>
      </c>
      <c r="Q673" s="21" t="n">
        <f aca="false">Q$5*4_Normalizacion!Q671</f>
        <v>0.00285926571798898</v>
      </c>
    </row>
    <row r="674" customFormat="false" ht="15" hidden="false" customHeight="false" outlineLevel="0" collapsed="false">
      <c r="A674" s="15" t="n">
        <f aca="false">4_Normalizacion!A672</f>
        <v>667</v>
      </c>
      <c r="B674" s="16" t="n">
        <f aca="false">4_Normalizacion!B672</f>
        <v>67.489</v>
      </c>
      <c r="C674" s="21" t="n">
        <f aca="false">C$5*4_Normalizacion!C672</f>
        <v>0.00126894604045884</v>
      </c>
      <c r="D674" s="21" t="n">
        <f aca="false">D$5*4_Normalizacion!D672</f>
        <v>0.00020543122737585</v>
      </c>
      <c r="E674" s="21" t="n">
        <f aca="false">E$5*4_Normalizacion!E672</f>
        <v>0.0013927042902362</v>
      </c>
      <c r="F674" s="21" t="n">
        <f aca="false">F$5*4_Normalizacion!F672</f>
        <v>0.00161403739408304</v>
      </c>
      <c r="G674" s="21" t="n">
        <f aca="false">G$5*4_Normalizacion!G672</f>
        <v>0.000210254463455421</v>
      </c>
      <c r="H674" s="21" t="n">
        <f aca="false">H$5*4_Normalizacion!H672</f>
        <v>0.00169754589383076</v>
      </c>
      <c r="I674" s="21" t="n">
        <f aca="false">I$5*4_Normalizacion!I672</f>
        <v>0.00281086825420146</v>
      </c>
      <c r="J674" s="21" t="n">
        <f aca="false">J$5*4_Normalizacion!J672</f>
        <v>0.000255567041403239</v>
      </c>
      <c r="K674" s="21" t="n">
        <f aca="false">K$5*4_Normalizacion!K672</f>
        <v>3.90133374367575E-005</v>
      </c>
      <c r="L674" s="21" t="n">
        <f aca="false">L$5*4_Normalizacion!L672</f>
        <v>0.00229935046862369</v>
      </c>
      <c r="M674" s="21" t="n">
        <f aca="false">M$5*4_Normalizacion!M672</f>
        <v>0.000980534239010539</v>
      </c>
      <c r="N674" s="21" t="n">
        <f aca="false">N$5*4_Normalizacion!N672</f>
        <v>0.00607918426103344</v>
      </c>
      <c r="O674" s="21" t="n">
        <f aca="false">O$5*4_Normalizacion!O672</f>
        <v>0.00601761793964864</v>
      </c>
      <c r="P674" s="21" t="n">
        <f aca="false">P$5*4_Normalizacion!P672</f>
        <v>0.00271682439873943</v>
      </c>
      <c r="Q674" s="21" t="n">
        <f aca="false">Q$5*4_Normalizacion!Q672</f>
        <v>0.00285926571798898</v>
      </c>
    </row>
    <row r="675" customFormat="false" ht="15" hidden="false" customHeight="false" outlineLevel="0" collapsed="false">
      <c r="A675" s="15" t="n">
        <f aca="false">4_Normalizacion!A673</f>
        <v>668</v>
      </c>
      <c r="B675" s="16" t="n">
        <f aca="false">4_Normalizacion!B673</f>
        <v>67.585</v>
      </c>
      <c r="C675" s="21" t="n">
        <f aca="false">C$5*4_Normalizacion!C673</f>
        <v>0.00126894604045884</v>
      </c>
      <c r="D675" s="21" t="n">
        <f aca="false">D$5*4_Normalizacion!D673</f>
        <v>0.00020543122737585</v>
      </c>
      <c r="E675" s="21" t="n">
        <f aca="false">E$5*4_Normalizacion!E673</f>
        <v>0.00185693905364827</v>
      </c>
      <c r="F675" s="21" t="n">
        <f aca="false">F$5*4_Normalizacion!F673</f>
        <v>0.00121052804556228</v>
      </c>
      <c r="G675" s="21" t="n">
        <f aca="false">G$5*4_Normalizacion!G673</f>
        <v>0.000280339284607229</v>
      </c>
      <c r="H675" s="21" t="n">
        <f aca="false">H$5*4_Normalizacion!H673</f>
        <v>0.00169754589383076</v>
      </c>
      <c r="I675" s="21" t="n">
        <f aca="false">I$5*4_Normalizacion!I673</f>
        <v>0.00281086825420146</v>
      </c>
      <c r="J675" s="21" t="n">
        <f aca="false">J$5*4_Normalizacion!J673</f>
        <v>0.000255567041403239</v>
      </c>
      <c r="K675" s="21" t="n">
        <f aca="false">K$5*4_Normalizacion!K673</f>
        <v>3.90133374367575E-005</v>
      </c>
      <c r="L675" s="21" t="n">
        <f aca="false">L$5*4_Normalizacion!L673</f>
        <v>0.00225171891726755</v>
      </c>
      <c r="M675" s="21" t="n">
        <f aca="false">M$5*4_Normalizacion!M673</f>
        <v>0.00090989115711848</v>
      </c>
      <c r="N675" s="21" t="n">
        <f aca="false">N$5*4_Normalizacion!N673</f>
        <v>0.00607918426103344</v>
      </c>
      <c r="O675" s="21" t="n">
        <f aca="false">O$5*4_Normalizacion!O673</f>
        <v>0.00601761793964864</v>
      </c>
      <c r="P675" s="21" t="n">
        <f aca="false">P$5*4_Normalizacion!P673</f>
        <v>0.00271682439873943</v>
      </c>
      <c r="Q675" s="21" t="n">
        <f aca="false">Q$5*4_Normalizacion!Q673</f>
        <v>0.00285926571798898</v>
      </c>
    </row>
    <row r="676" customFormat="false" ht="15" hidden="false" customHeight="false" outlineLevel="0" collapsed="false">
      <c r="A676" s="15" t="n">
        <f aca="false">4_Normalizacion!A674</f>
        <v>669</v>
      </c>
      <c r="B676" s="16" t="n">
        <f aca="false">4_Normalizacion!B674</f>
        <v>67.68</v>
      </c>
      <c r="C676" s="21" t="n">
        <f aca="false">C$5*4_Normalizacion!C674</f>
        <v>0.00126894604045884</v>
      </c>
      <c r="D676" s="21" t="n">
        <f aca="false">D$5*4_Normalizacion!D674</f>
        <v>0.00020543122737585</v>
      </c>
      <c r="E676" s="21" t="n">
        <f aca="false">E$5*4_Normalizacion!E674</f>
        <v>0.0013927042902362</v>
      </c>
      <c r="F676" s="21" t="n">
        <f aca="false">F$5*4_Normalizacion!F674</f>
        <v>0.00121052804556228</v>
      </c>
      <c r="G676" s="21" t="n">
        <f aca="false">G$5*4_Normalizacion!G674</f>
        <v>0.000280339284607229</v>
      </c>
      <c r="H676" s="21" t="n">
        <f aca="false">H$5*4_Normalizacion!H674</f>
        <v>0.00169754589383076</v>
      </c>
      <c r="I676" s="21" t="n">
        <f aca="false">I$5*4_Normalizacion!I674</f>
        <v>0.00281086825420146</v>
      </c>
      <c r="J676" s="21" t="n">
        <f aca="false">J$5*4_Normalizacion!J674</f>
        <v>0.000255567041403239</v>
      </c>
      <c r="K676" s="21" t="n">
        <f aca="false">K$5*4_Normalizacion!K674</f>
        <v>3.90133374367575E-005</v>
      </c>
      <c r="L676" s="21" t="n">
        <f aca="false">L$5*4_Normalizacion!L674</f>
        <v>0.00224971337826309</v>
      </c>
      <c r="M676" s="21" t="n">
        <f aca="false">M$5*4_Normalizacion!M674</f>
        <v>0.000876635203362277</v>
      </c>
      <c r="N676" s="21" t="n">
        <f aca="false">N$5*4_Normalizacion!N674</f>
        <v>0.00607918426103344</v>
      </c>
      <c r="O676" s="21" t="n">
        <f aca="false">O$5*4_Normalizacion!O674</f>
        <v>0.00601761793964864</v>
      </c>
      <c r="P676" s="21" t="n">
        <f aca="false">P$5*4_Normalizacion!P674</f>
        <v>0.00407523659810915</v>
      </c>
      <c r="Q676" s="21" t="n">
        <f aca="false">Q$5*4_Normalizacion!Q674</f>
        <v>0.00285926571798898</v>
      </c>
    </row>
    <row r="677" customFormat="false" ht="15" hidden="false" customHeight="false" outlineLevel="0" collapsed="false">
      <c r="A677" s="15" t="n">
        <f aca="false">4_Normalizacion!A675</f>
        <v>670</v>
      </c>
      <c r="B677" s="16" t="n">
        <f aca="false">4_Normalizacion!B675</f>
        <v>67.778</v>
      </c>
      <c r="C677" s="21" t="n">
        <f aca="false">C$5*4_Normalizacion!C675</f>
        <v>0.00126894604045884</v>
      </c>
      <c r="D677" s="21" t="n">
        <f aca="false">D$5*4_Normalizacion!D675</f>
        <v>0.00020543122737585</v>
      </c>
      <c r="E677" s="21" t="n">
        <f aca="false">E$5*4_Normalizacion!E675</f>
        <v>0.0013927042902362</v>
      </c>
      <c r="F677" s="21" t="n">
        <f aca="false">F$5*4_Normalizacion!F675</f>
        <v>0.00121052804556228</v>
      </c>
      <c r="G677" s="21" t="n">
        <f aca="false">G$5*4_Normalizacion!G675</f>
        <v>0.000280339284607229</v>
      </c>
      <c r="H677" s="21" t="n">
        <f aca="false">H$5*4_Normalizacion!H675</f>
        <v>0.00169754589383076</v>
      </c>
      <c r="I677" s="21" t="n">
        <f aca="false">I$5*4_Normalizacion!I675</f>
        <v>0.00281086825420146</v>
      </c>
      <c r="J677" s="21" t="n">
        <f aca="false">J$5*4_Normalizacion!J675</f>
        <v>0.000255567041403239</v>
      </c>
      <c r="K677" s="21" t="n">
        <f aca="false">K$5*4_Normalizacion!K675</f>
        <v>3.90133374367575E-005</v>
      </c>
      <c r="L677" s="21" t="n">
        <f aca="false">L$5*4_Normalizacion!L675</f>
        <v>0.0022647549207966</v>
      </c>
      <c r="M677" s="21" t="n">
        <f aca="false">M$5*4_Normalizacion!M675</f>
        <v>0.000875808968486346</v>
      </c>
      <c r="N677" s="21" t="n">
        <f aca="false">N$5*4_Normalizacion!N675</f>
        <v>0.00455938819577508</v>
      </c>
      <c r="O677" s="21" t="n">
        <f aca="false">O$5*4_Normalizacion!O675</f>
        <v>0.00601761793964864</v>
      </c>
      <c r="P677" s="21" t="n">
        <f aca="false">P$5*4_Normalizacion!P675</f>
        <v>0.00407523659810915</v>
      </c>
      <c r="Q677" s="21" t="n">
        <f aca="false">Q$5*4_Normalizacion!Q675</f>
        <v>0.00285926571798898</v>
      </c>
    </row>
    <row r="678" customFormat="false" ht="15" hidden="false" customHeight="false" outlineLevel="0" collapsed="false">
      <c r="A678" s="17" t="n">
        <f aca="false">4_Normalizacion!A676</f>
        <v>671</v>
      </c>
      <c r="B678" s="18" t="n">
        <f aca="false">4_Normalizacion!B676</f>
        <v>67.875</v>
      </c>
      <c r="C678" s="27" t="n">
        <f aca="false">C$5*4_Normalizacion!C676</f>
        <v>0.00126894604045884</v>
      </c>
      <c r="D678" s="27" t="n">
        <f aca="false">D$5*4_Normalizacion!D676</f>
        <v>0.00020543122737585</v>
      </c>
      <c r="E678" s="27" t="n">
        <f aca="false">E$5*4_Normalizacion!E676</f>
        <v>0.00185693905364827</v>
      </c>
      <c r="F678" s="27" t="n">
        <f aca="false">F$5*4_Normalizacion!F676</f>
        <v>0.000807018697041519</v>
      </c>
      <c r="G678" s="27" t="n">
        <f aca="false">G$5*4_Normalizacion!G676</f>
        <v>0.000280339284607229</v>
      </c>
      <c r="H678" s="27" t="n">
        <f aca="false">H$5*4_Normalizacion!H676</f>
        <v>0.00169754589383076</v>
      </c>
      <c r="I678" s="27" t="n">
        <f aca="false">I$5*4_Normalizacion!I676</f>
        <v>0.00281086825420146</v>
      </c>
      <c r="J678" s="27" t="n">
        <f aca="false">J$5*4_Normalizacion!J676</f>
        <v>0.000255567041403239</v>
      </c>
      <c r="K678" s="27" t="n">
        <f aca="false">K$5*4_Normalizacion!K676</f>
        <v>3.90133374367575E-005</v>
      </c>
      <c r="L678" s="27" t="n">
        <f aca="false">L$5*4_Normalizacion!L676</f>
        <v>0.00231940585866838</v>
      </c>
      <c r="M678" s="27" t="n">
        <f aca="false">M$5*4_Normalizacion!M676</f>
        <v>0.000871471235387711</v>
      </c>
      <c r="N678" s="27" t="n">
        <f aca="false">N$5*4_Normalizacion!N676</f>
        <v>0.00455938819577508</v>
      </c>
      <c r="O678" s="27" t="n">
        <f aca="false">O$5*4_Normalizacion!O676</f>
        <v>0.00601761793964864</v>
      </c>
      <c r="P678" s="27" t="n">
        <f aca="false">P$5*4_Normalizacion!P676</f>
        <v>0.00407523659810915</v>
      </c>
      <c r="Q678" s="27" t="n">
        <f aca="false">Q$5*4_Normalizacion!Q676</f>
        <v>0.00285926571798898</v>
      </c>
    </row>
    <row r="679" customFormat="false" ht="30" hidden="false" customHeight="true" outlineLevel="0" collapsed="false">
      <c r="A679" s="6" t="s">
        <v>154</v>
      </c>
      <c r="B679" s="6"/>
      <c r="C679" s="6"/>
      <c r="D679" s="6"/>
      <c r="E679" s="6"/>
      <c r="F679" s="6"/>
      <c r="G679" s="6"/>
      <c r="H679" s="6"/>
      <c r="I679" s="6"/>
      <c r="J679" s="6"/>
      <c r="K679" s="6"/>
      <c r="L679" s="6"/>
      <c r="M679" s="6"/>
      <c r="N679" s="6"/>
      <c r="O679" s="6"/>
      <c r="P679" s="6"/>
      <c r="Q679" s="6"/>
    </row>
  </sheetData>
  <mergeCells count="1">
    <mergeCell ref="A679:Q67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4" min="3" style="0" width="10"/>
    <col collapsed="false" customWidth="true" hidden="false" outlineLevel="0" max="5" min="5" style="0" width="13"/>
    <col collapsed="false" customWidth="true" hidden="false" outlineLevel="0" max="6" min="6" style="0" width="10"/>
    <col collapsed="false" customWidth="true" hidden="false" outlineLevel="0" max="8" min="7" style="0" width="12"/>
    <col collapsed="false" customWidth="true" hidden="false" outlineLevel="0" max="9" min="9" style="0" width="13"/>
    <col collapsed="false" customWidth="true" hidden="false" outlineLevel="0" max="10" min="10" style="0" width="17"/>
    <col collapsed="false" customWidth="true" hidden="false" outlineLevel="0" max="11" min="11" style="0" width="11"/>
    <col collapsed="false" customWidth="true" hidden="false" outlineLevel="0" max="12" min="12" style="0" width="15"/>
  </cols>
  <sheetData>
    <row r="1" customFormat="false" ht="15" hidden="false" customHeight="false" outlineLevel="0" collapsed="false">
      <c r="A1" s="7" t="s">
        <v>20</v>
      </c>
    </row>
    <row r="2" customFormat="false" ht="15" hidden="false" customHeight="false" outlineLevel="0" collapsed="false">
      <c r="A2" s="8" t="s">
        <v>21</v>
      </c>
    </row>
    <row r="4" customFormat="false" ht="45" hidden="false" customHeight="true" outlineLevel="0" collapsed="false">
      <c r="A4" s="2" t="s">
        <v>77</v>
      </c>
      <c r="B4" s="3" t="s">
        <v>78</v>
      </c>
      <c r="C4" s="3" t="s">
        <v>155</v>
      </c>
      <c r="D4" s="3" t="s">
        <v>156</v>
      </c>
      <c r="E4" s="3" t="s">
        <v>157</v>
      </c>
      <c r="F4" s="3" t="s">
        <v>158</v>
      </c>
      <c r="G4" s="3" t="s">
        <v>159</v>
      </c>
      <c r="H4" s="3" t="s">
        <v>160</v>
      </c>
      <c r="I4" s="3" t="s">
        <v>161</v>
      </c>
      <c r="J4" s="3" t="s">
        <v>162</v>
      </c>
      <c r="K4" s="3" t="s">
        <v>163</v>
      </c>
      <c r="L4" s="3" t="s">
        <v>164</v>
      </c>
    </row>
    <row r="5" customFormat="false" ht="15" hidden="false" customHeight="false" outlineLevel="0" collapsed="false">
      <c r="A5" s="15" t="n">
        <f aca="false">2_Matriz_decision!A5</f>
        <v>1</v>
      </c>
      <c r="B5" s="16" t="n">
        <f aca="false">2_Matriz_decision!B5</f>
        <v>0</v>
      </c>
      <c r="C5" s="21" t="n">
        <f aca="false">SQRT(SUMXMY2(5_Ponderada!C8:Q8,5_Ponderada!$C$6:$Q$6))</f>
        <v>0.0198658503171862</v>
      </c>
      <c r="D5" s="21" t="n">
        <f aca="false">SQRT(SUMXMY2(5_Ponderada!C8:Q8,5_Ponderada!$C$7:$Q$7))</f>
        <v>0.00698996037369402</v>
      </c>
      <c r="E5" s="21" t="n">
        <f aca="false">D5/(C5+D5)</f>
        <v>0.260277392261619</v>
      </c>
      <c r="F5" s="15" t="n">
        <f aca="false">MIN(5,INT(E5/0.2)+1)</f>
        <v>2</v>
      </c>
      <c r="G5" s="21" t="n">
        <v>0.260277392261619</v>
      </c>
      <c r="H5" s="28" t="n">
        <f aca="false">ABS(E5-G5)</f>
        <v>0</v>
      </c>
      <c r="I5" s="15" t="n">
        <v>2</v>
      </c>
      <c r="J5" s="21" t="n">
        <f aca="false">(SUMPRODUCT(2_Matriz_decision!C5:Q5,5_Ponderada!$C$5:$Q$5)-1)/4</f>
        <v>0.216622738498609</v>
      </c>
      <c r="K5" s="15" t="n">
        <f aca="false">MIN(5,INT(J5/0.2)+1)</f>
        <v>2</v>
      </c>
      <c r="L5" s="21" t="n">
        <v>0.216622738498609</v>
      </c>
    </row>
    <row r="6" customFormat="false" ht="15" hidden="false" customHeight="false" outlineLevel="0" collapsed="false">
      <c r="A6" s="15" t="n">
        <f aca="false">2_Matriz_decision!A6</f>
        <v>2</v>
      </c>
      <c r="B6" s="16" t="n">
        <f aca="false">2_Matriz_decision!B6</f>
        <v>0.057</v>
      </c>
      <c r="C6" s="21" t="n">
        <f aca="false">SQRT(SUMXMY2(5_Ponderada!C9:Q9,5_Ponderada!$C$6:$Q$6))</f>
        <v>0.0198695637280711</v>
      </c>
      <c r="D6" s="21" t="n">
        <f aca="false">SQRT(SUMXMY2(5_Ponderada!C9:Q9,5_Ponderada!$C$7:$Q$7))</f>
        <v>0.00698382510636794</v>
      </c>
      <c r="E6" s="21" t="n">
        <f aca="false">D6/(C6+D6)</f>
        <v>0.260072393448208</v>
      </c>
      <c r="F6" s="15" t="n">
        <f aca="false">MIN(5,INT(E6/0.2)+1)</f>
        <v>2</v>
      </c>
      <c r="G6" s="21" t="n">
        <v>0.260072393448208</v>
      </c>
      <c r="H6" s="28" t="n">
        <f aca="false">ABS(E6-G6)</f>
        <v>0</v>
      </c>
      <c r="I6" s="15" t="n">
        <v>2</v>
      </c>
      <c r="J6" s="21" t="n">
        <f aca="false">(SUMPRODUCT(2_Matriz_decision!C6:Q6,5_Ponderada!$C$5:$Q$5)-1)/4</f>
        <v>0.215535330055024</v>
      </c>
      <c r="K6" s="15" t="n">
        <f aca="false">MIN(5,INT(J6/0.2)+1)</f>
        <v>2</v>
      </c>
      <c r="L6" s="21" t="n">
        <v>0.215535330055025</v>
      </c>
    </row>
    <row r="7" customFormat="false" ht="15" hidden="false" customHeight="false" outlineLevel="0" collapsed="false">
      <c r="A7" s="15" t="n">
        <f aca="false">2_Matriz_decision!A7</f>
        <v>3</v>
      </c>
      <c r="B7" s="16" t="n">
        <f aca="false">2_Matriz_decision!B7</f>
        <v>0.182</v>
      </c>
      <c r="C7" s="21" t="n">
        <f aca="false">SQRT(SUMXMY2(5_Ponderada!C10:Q10,5_Ponderada!$C$6:$Q$6))</f>
        <v>0.0198335484586439</v>
      </c>
      <c r="D7" s="21" t="n">
        <f aca="false">SQRT(SUMXMY2(5_Ponderada!C10:Q10,5_Ponderada!$C$7:$Q$7))</f>
        <v>0.00709617574655628</v>
      </c>
      <c r="E7" s="21" t="n">
        <f aca="false">D7/(C7+D7)</f>
        <v>0.263507182341883</v>
      </c>
      <c r="F7" s="15" t="n">
        <f aca="false">MIN(5,INT(E7/0.2)+1)</f>
        <v>2</v>
      </c>
      <c r="G7" s="21" t="n">
        <v>0.263507182341883</v>
      </c>
      <c r="H7" s="28" t="n">
        <f aca="false">ABS(E7-G7)</f>
        <v>0</v>
      </c>
      <c r="I7" s="15" t="n">
        <v>2</v>
      </c>
      <c r="J7" s="21" t="n">
        <f aca="false">(SUMPRODUCT(2_Matriz_decision!C7:Q7,5_Ponderada!$C$5:$Q$5)-1)/4</f>
        <v>0.236671045699706</v>
      </c>
      <c r="K7" s="15" t="n">
        <f aca="false">MIN(5,INT(J7/0.2)+1)</f>
        <v>2</v>
      </c>
      <c r="L7" s="21" t="n">
        <v>0.236671045699707</v>
      </c>
    </row>
    <row r="8" customFormat="false" ht="15" hidden="false" customHeight="false" outlineLevel="0" collapsed="false">
      <c r="A8" s="15" t="n">
        <f aca="false">2_Matriz_decision!A8</f>
        <v>4</v>
      </c>
      <c r="B8" s="16" t="n">
        <f aca="false">2_Matriz_decision!B8</f>
        <v>0.323</v>
      </c>
      <c r="C8" s="21" t="n">
        <f aca="false">SQRT(SUMXMY2(5_Ponderada!C11:Q11,5_Ponderada!$C$6:$Q$6))</f>
        <v>0.0198338332851673</v>
      </c>
      <c r="D8" s="21" t="n">
        <f aca="false">SQRT(SUMXMY2(5_Ponderada!C11:Q11,5_Ponderada!$C$7:$Q$7))</f>
        <v>0.00709583820289441</v>
      </c>
      <c r="E8" s="21" t="n">
        <f aca="false">D8/(C8+D8)</f>
        <v>0.263495163913904</v>
      </c>
      <c r="F8" s="15" t="n">
        <f aca="false">MIN(5,INT(E8/0.2)+1)</f>
        <v>2</v>
      </c>
      <c r="G8" s="21" t="n">
        <v>0.263495163913904</v>
      </c>
      <c r="H8" s="28" t="n">
        <f aca="false">ABS(E8-G8)</f>
        <v>0</v>
      </c>
      <c r="I8" s="15" t="n">
        <v>2</v>
      </c>
      <c r="J8" s="21" t="n">
        <f aca="false">(SUMPRODUCT(2_Matriz_decision!C8:Q8,5_Ponderada!$C$5:$Q$5)-1)/4</f>
        <v>0.236596052013942</v>
      </c>
      <c r="K8" s="15" t="n">
        <f aca="false">MIN(5,INT(J8/0.2)+1)</f>
        <v>2</v>
      </c>
      <c r="L8" s="21" t="n">
        <v>0.236596052013942</v>
      </c>
    </row>
    <row r="9" customFormat="false" ht="15" hidden="false" customHeight="false" outlineLevel="0" collapsed="false">
      <c r="A9" s="15" t="n">
        <f aca="false">2_Matriz_decision!A9</f>
        <v>5</v>
      </c>
      <c r="B9" s="16" t="n">
        <f aca="false">2_Matriz_decision!B9</f>
        <v>0.529</v>
      </c>
      <c r="C9" s="21" t="n">
        <f aca="false">SQRT(SUMXMY2(5_Ponderada!C12:Q12,5_Ponderada!$C$6:$Q$6))</f>
        <v>0.0198278539533049</v>
      </c>
      <c r="D9" s="21" t="n">
        <f aca="false">SQRT(SUMXMY2(5_Ponderada!C12:Q12,5_Ponderada!$C$7:$Q$7))</f>
        <v>0.00710363910688395</v>
      </c>
      <c r="E9" s="21" t="n">
        <f aca="false">D9/(C9+D9)</f>
        <v>0.263766999141418</v>
      </c>
      <c r="F9" s="15" t="n">
        <f aca="false">MIN(5,INT(E9/0.2)+1)</f>
        <v>2</v>
      </c>
      <c r="G9" s="21" t="n">
        <v>0.263766999141418</v>
      </c>
      <c r="H9" s="28" t="n">
        <f aca="false">ABS(E9-G9)</f>
        <v>0</v>
      </c>
      <c r="I9" s="15" t="n">
        <v>2</v>
      </c>
      <c r="J9" s="21" t="n">
        <f aca="false">(SUMPRODUCT(2_Matriz_decision!C9:Q9,5_Ponderada!$C$5:$Q$5)-1)/4</f>
        <v>0.238217790468598</v>
      </c>
      <c r="K9" s="15" t="n">
        <f aca="false">MIN(5,INT(J9/0.2)+1)</f>
        <v>2</v>
      </c>
      <c r="L9" s="21" t="n">
        <v>0.238217790468598</v>
      </c>
    </row>
    <row r="10" customFormat="false" ht="15" hidden="false" customHeight="false" outlineLevel="0" collapsed="false">
      <c r="A10" s="15" t="n">
        <f aca="false">2_Matriz_decision!A10</f>
        <v>6</v>
      </c>
      <c r="B10" s="16" t="n">
        <f aca="false">2_Matriz_decision!B10</f>
        <v>0.714</v>
      </c>
      <c r="C10" s="21" t="n">
        <f aca="false">SQRT(SUMXMY2(5_Ponderada!C13:Q13,5_Ponderada!$C$6:$Q$6))</f>
        <v>0.0198226287310271</v>
      </c>
      <c r="D10" s="21" t="n">
        <f aca="false">SQRT(SUMXMY2(5_Ponderada!C13:Q13,5_Ponderada!$C$7:$Q$7))</f>
        <v>0.00711184167460339</v>
      </c>
      <c r="E10" s="21" t="n">
        <f aca="false">D10/(C10+D10)</f>
        <v>0.264042380173056</v>
      </c>
      <c r="F10" s="15" t="n">
        <f aca="false">MIN(5,INT(E10/0.2)+1)</f>
        <v>2</v>
      </c>
      <c r="G10" s="21" t="n">
        <v>0.264042380173056</v>
      </c>
      <c r="H10" s="28" t="n">
        <f aca="false">ABS(E10-G10)</f>
        <v>0</v>
      </c>
      <c r="I10" s="15" t="n">
        <v>2</v>
      </c>
      <c r="J10" s="21" t="n">
        <f aca="false">(SUMPRODUCT(2_Matriz_decision!C10:Q10,5_Ponderada!$C$5:$Q$5)-1)/4</f>
        <v>0.239727038394607</v>
      </c>
      <c r="K10" s="15" t="n">
        <f aca="false">MIN(5,INT(J10/0.2)+1)</f>
        <v>2</v>
      </c>
      <c r="L10" s="21" t="n">
        <v>0.239727038394608</v>
      </c>
    </row>
    <row r="11" customFormat="false" ht="15" hidden="false" customHeight="false" outlineLevel="0" collapsed="false">
      <c r="A11" s="15" t="n">
        <f aca="false">2_Matriz_decision!A11</f>
        <v>7</v>
      </c>
      <c r="B11" s="16" t="n">
        <f aca="false">2_Matriz_decision!B11</f>
        <v>0.891</v>
      </c>
      <c r="C11" s="21" t="n">
        <f aca="false">SQRT(SUMXMY2(5_Ponderada!C14:Q14,5_Ponderada!$C$6:$Q$6))</f>
        <v>0.0198130241425809</v>
      </c>
      <c r="D11" s="21" t="n">
        <f aca="false">SQRT(SUMXMY2(5_Ponderada!C14:Q14,5_Ponderada!$C$7:$Q$7))</f>
        <v>0.00713128567624196</v>
      </c>
      <c r="E11" s="21" t="n">
        <f aca="false">D11/(C11+D11)</f>
        <v>0.264667594909415</v>
      </c>
      <c r="F11" s="15" t="n">
        <f aca="false">MIN(5,INT(E11/0.2)+1)</f>
        <v>2</v>
      </c>
      <c r="G11" s="21" t="n">
        <v>0.264667594909415</v>
      </c>
      <c r="H11" s="28" t="n">
        <f aca="false">ABS(E11-G11)</f>
        <v>0</v>
      </c>
      <c r="I11" s="15" t="n">
        <v>2</v>
      </c>
      <c r="J11" s="21" t="n">
        <f aca="false">(SUMPRODUCT(2_Matriz_decision!C11:Q11,5_Ponderada!$C$5:$Q$5)-1)/4</f>
        <v>0.242792405300228</v>
      </c>
      <c r="K11" s="15" t="n">
        <f aca="false">MIN(5,INT(J11/0.2)+1)</f>
        <v>2</v>
      </c>
      <c r="L11" s="21" t="n">
        <v>0.242792405300229</v>
      </c>
    </row>
    <row r="12" customFormat="false" ht="15" hidden="false" customHeight="false" outlineLevel="0" collapsed="false">
      <c r="A12" s="15" t="n">
        <f aca="false">2_Matriz_decision!A12</f>
        <v>8</v>
      </c>
      <c r="B12" s="16" t="n">
        <f aca="false">2_Matriz_decision!B12</f>
        <v>1.036</v>
      </c>
      <c r="C12" s="21" t="n">
        <f aca="false">SQRT(SUMXMY2(5_Ponderada!C15:Q15,5_Ponderada!$C$6:$Q$6))</f>
        <v>0.0198097871566203</v>
      </c>
      <c r="D12" s="21" t="n">
        <f aca="false">SQRT(SUMXMY2(5_Ponderada!C15:Q15,5_Ponderada!$C$7:$Q$7))</f>
        <v>0.00713949089927886</v>
      </c>
      <c r="E12" s="21" t="n">
        <f aca="false">D12/(C12+D12)</f>
        <v>0.264923271208597</v>
      </c>
      <c r="F12" s="15" t="n">
        <f aca="false">MIN(5,INT(E12/0.2)+1)</f>
        <v>2</v>
      </c>
      <c r="G12" s="21" t="n">
        <v>0.264923271208597</v>
      </c>
      <c r="H12" s="28" t="n">
        <f aca="false">ABS(E12-G12)</f>
        <v>0</v>
      </c>
      <c r="I12" s="15" t="n">
        <v>2</v>
      </c>
      <c r="J12" s="21" t="n">
        <f aca="false">(SUMPRODUCT(2_Matriz_decision!C12:Q12,5_Ponderada!$C$5:$Q$5)-1)/4</f>
        <v>0.243936059008136</v>
      </c>
      <c r="K12" s="15" t="n">
        <f aca="false">MIN(5,INT(J12/0.2)+1)</f>
        <v>2</v>
      </c>
      <c r="L12" s="21" t="n">
        <v>0.243936059008136</v>
      </c>
    </row>
    <row r="13" customFormat="false" ht="15" hidden="false" customHeight="false" outlineLevel="0" collapsed="false">
      <c r="A13" s="15" t="n">
        <f aca="false">2_Matriz_decision!A13</f>
        <v>9</v>
      </c>
      <c r="B13" s="16" t="n">
        <f aca="false">2_Matriz_decision!B13</f>
        <v>1.155</v>
      </c>
      <c r="C13" s="21" t="n">
        <f aca="false">SQRT(SUMXMY2(5_Ponderada!C16:Q16,5_Ponderada!$C$6:$Q$6))</f>
        <v>0.0198073053015888</v>
      </c>
      <c r="D13" s="21" t="n">
        <f aca="false">SQRT(SUMXMY2(5_Ponderada!C16:Q16,5_Ponderada!$C$7:$Q$7))</f>
        <v>0.00714720834396532</v>
      </c>
      <c r="E13" s="21" t="n">
        <f aca="false">D13/(C13+D13)</f>
        <v>0.265158126685183</v>
      </c>
      <c r="F13" s="15" t="n">
        <f aca="false">MIN(5,INT(E13/0.2)+1)</f>
        <v>2</v>
      </c>
      <c r="G13" s="21" t="n">
        <v>0.265158126685182</v>
      </c>
      <c r="H13" s="28" t="n">
        <f aca="false">ABS(E13-G13)</f>
        <v>0</v>
      </c>
      <c r="I13" s="15" t="n">
        <v>2</v>
      </c>
      <c r="J13" s="21" t="n">
        <f aca="false">(SUMPRODUCT(2_Matriz_decision!C13:Q13,5_Ponderada!$C$5:$Q$5)-1)/4</f>
        <v>0.246072110452591</v>
      </c>
      <c r="K13" s="15" t="n">
        <f aca="false">MIN(5,INT(J13/0.2)+1)</f>
        <v>2</v>
      </c>
      <c r="L13" s="21" t="n">
        <v>0.246072110452591</v>
      </c>
    </row>
    <row r="14" customFormat="false" ht="15" hidden="false" customHeight="false" outlineLevel="0" collapsed="false">
      <c r="A14" s="15" t="n">
        <f aca="false">2_Matriz_decision!A14</f>
        <v>10</v>
      </c>
      <c r="B14" s="16" t="n">
        <f aca="false">2_Matriz_decision!B14</f>
        <v>1.265</v>
      </c>
      <c r="C14" s="21" t="n">
        <f aca="false">SQRT(SUMXMY2(5_Ponderada!C17:Q17,5_Ponderada!$C$6:$Q$6))</f>
        <v>0.0198076500028193</v>
      </c>
      <c r="D14" s="21" t="n">
        <f aca="false">SQRT(SUMXMY2(5_Ponderada!C17:Q17,5_Ponderada!$C$7:$Q$7))</f>
        <v>0.00714619389108633</v>
      </c>
      <c r="E14" s="21" t="n">
        <f aca="false">D14/(C14+D14)</f>
        <v>0.265127078691069</v>
      </c>
      <c r="F14" s="15" t="n">
        <f aca="false">MIN(5,INT(E14/0.2)+1)</f>
        <v>2</v>
      </c>
      <c r="G14" s="21" t="n">
        <v>0.265127078691069</v>
      </c>
      <c r="H14" s="28" t="n">
        <f aca="false">ABS(E14-G14)</f>
        <v>0</v>
      </c>
      <c r="I14" s="15" t="n">
        <v>2</v>
      </c>
      <c r="J14" s="21" t="n">
        <f aca="false">(SUMPRODUCT(2_Matriz_decision!C14:Q14,5_Ponderada!$C$5:$Q$5)-1)/4</f>
        <v>0.245940871502503</v>
      </c>
      <c r="K14" s="15" t="n">
        <f aca="false">MIN(5,INT(J14/0.2)+1)</f>
        <v>2</v>
      </c>
      <c r="L14" s="21" t="n">
        <v>0.245940871502504</v>
      </c>
    </row>
    <row r="15" customFormat="false" ht="15" hidden="false" customHeight="false" outlineLevel="0" collapsed="false">
      <c r="A15" s="15" t="n">
        <f aca="false">2_Matriz_decision!A15</f>
        <v>11</v>
      </c>
      <c r="B15" s="16" t="n">
        <f aca="false">2_Matriz_decision!B15</f>
        <v>1.371</v>
      </c>
      <c r="C15" s="21" t="n">
        <f aca="false">SQRT(SUMXMY2(5_Ponderada!C18:Q18,5_Ponderada!$C$6:$Q$6))</f>
        <v>0.01980735439269</v>
      </c>
      <c r="D15" s="21" t="n">
        <f aca="false">SQRT(SUMXMY2(5_Ponderada!C18:Q18,5_Ponderada!$C$7:$Q$7))</f>
        <v>0.00714706300886019</v>
      </c>
      <c r="E15" s="21" t="n">
        <f aca="false">D15/(C15+D15)</f>
        <v>0.26515368157982</v>
      </c>
      <c r="F15" s="15" t="n">
        <f aca="false">MIN(5,INT(E15/0.2)+1)</f>
        <v>2</v>
      </c>
      <c r="G15" s="21" t="n">
        <v>0.26515368157982</v>
      </c>
      <c r="H15" s="28" t="n">
        <f aca="false">ABS(E15-G15)</f>
        <v>0</v>
      </c>
      <c r="I15" s="15" t="n">
        <v>2</v>
      </c>
      <c r="J15" s="21" t="n">
        <f aca="false">(SUMPRODUCT(2_Matriz_decision!C15:Q15,5_Ponderada!$C$5:$Q$5)-1)/4</f>
        <v>0.24605336203115</v>
      </c>
      <c r="K15" s="15" t="n">
        <f aca="false">MIN(5,INT(J15/0.2)+1)</f>
        <v>2</v>
      </c>
      <c r="L15" s="21" t="n">
        <v>0.24605336203115</v>
      </c>
    </row>
    <row r="16" customFormat="false" ht="15" hidden="false" customHeight="false" outlineLevel="0" collapsed="false">
      <c r="A16" s="15" t="n">
        <f aca="false">2_Matriz_decision!A16</f>
        <v>12</v>
      </c>
      <c r="B16" s="16" t="n">
        <f aca="false">2_Matriz_decision!B16</f>
        <v>1.474</v>
      </c>
      <c r="C16" s="21" t="n">
        <f aca="false">SQRT(SUMXMY2(5_Ponderada!C19:Q19,5_Ponderada!$C$6:$Q$6))</f>
        <v>0.01980728077503</v>
      </c>
      <c r="D16" s="21" t="n">
        <f aca="false">SQRT(SUMXMY2(5_Ponderada!C19:Q19,5_Ponderada!$C$7:$Q$7))</f>
        <v>0.00714728106316817</v>
      </c>
      <c r="E16" s="21" t="n">
        <f aca="false">D16/(C16+D16)</f>
        <v>0.26516035044723</v>
      </c>
      <c r="F16" s="15" t="n">
        <f aca="false">MIN(5,INT(E16/0.2)+1)</f>
        <v>2</v>
      </c>
      <c r="G16" s="21" t="n">
        <v>0.26516035044723</v>
      </c>
      <c r="H16" s="28" t="n">
        <f aca="false">ABS(E16-G16)</f>
        <v>0</v>
      </c>
      <c r="I16" s="15" t="n">
        <v>2</v>
      </c>
      <c r="J16" s="21" t="n">
        <f aca="false">(SUMPRODUCT(2_Matriz_decision!C16:Q16,5_Ponderada!$C$5:$Q$5)-1)/4</f>
        <v>0.246081484663311</v>
      </c>
      <c r="K16" s="15" t="n">
        <f aca="false">MIN(5,INT(J16/0.2)+1)</f>
        <v>2</v>
      </c>
      <c r="L16" s="21" t="n">
        <v>0.246081484663312</v>
      </c>
    </row>
    <row r="17" customFormat="false" ht="15" hidden="false" customHeight="false" outlineLevel="0" collapsed="false">
      <c r="A17" s="15" t="n">
        <f aca="false">2_Matriz_decision!A17</f>
        <v>13</v>
      </c>
      <c r="B17" s="16" t="n">
        <f aca="false">2_Matriz_decision!B17</f>
        <v>1.577</v>
      </c>
      <c r="C17" s="21" t="n">
        <f aca="false">SQRT(SUMXMY2(5_Ponderada!C20:Q20,5_Ponderada!$C$6:$Q$6))</f>
        <v>0.0198194848716644</v>
      </c>
      <c r="D17" s="21" t="n">
        <f aca="false">SQRT(SUMXMY2(5_Ponderada!C20:Q20,5_Ponderada!$C$7:$Q$7))</f>
        <v>0.00709046772682723</v>
      </c>
      <c r="E17" s="21" t="n">
        <f aca="false">D17/(C17+D17)</f>
        <v>0.263488673972049</v>
      </c>
      <c r="F17" s="15" t="n">
        <f aca="false">MIN(5,INT(E17/0.2)+1)</f>
        <v>2</v>
      </c>
      <c r="G17" s="21" t="n">
        <v>0.263488673972049</v>
      </c>
      <c r="H17" s="28" t="n">
        <f aca="false">ABS(E17-G17)</f>
        <v>0</v>
      </c>
      <c r="I17" s="15" t="n">
        <v>2</v>
      </c>
      <c r="J17" s="21" t="n">
        <f aca="false">(SUMPRODUCT(2_Matriz_decision!C17:Q17,5_Ponderada!$C$5:$Q$5)-1)/4</f>
        <v>0.235919290095897</v>
      </c>
      <c r="K17" s="15" t="n">
        <f aca="false">MIN(5,INT(J17/0.2)+1)</f>
        <v>2</v>
      </c>
      <c r="L17" s="21" t="n">
        <v>0.235919290095898</v>
      </c>
    </row>
    <row r="18" customFormat="false" ht="15" hidden="false" customHeight="false" outlineLevel="0" collapsed="false">
      <c r="A18" s="15" t="n">
        <f aca="false">2_Matriz_decision!A18</f>
        <v>14</v>
      </c>
      <c r="B18" s="16" t="n">
        <f aca="false">2_Matriz_decision!B18</f>
        <v>1.678</v>
      </c>
      <c r="C18" s="21" t="n">
        <f aca="false">SQRT(SUMXMY2(5_Ponderada!C21:Q21,5_Ponderada!$C$6:$Q$6))</f>
        <v>0.0198198529208329</v>
      </c>
      <c r="D18" s="21" t="n">
        <f aca="false">SQRT(SUMXMY2(5_Ponderada!C21:Q21,5_Ponderada!$C$7:$Q$7))</f>
        <v>0.0070893691828156</v>
      </c>
      <c r="E18" s="21" t="n">
        <f aca="false">D18/(C18+D18)</f>
        <v>0.263455002731364</v>
      </c>
      <c r="F18" s="15" t="n">
        <f aca="false">MIN(5,INT(E18/0.2)+1)</f>
        <v>2</v>
      </c>
      <c r="G18" s="21" t="n">
        <v>0.263455002731364</v>
      </c>
      <c r="H18" s="28" t="n">
        <f aca="false">ABS(E18-G18)</f>
        <v>0</v>
      </c>
      <c r="I18" s="15" t="n">
        <v>2</v>
      </c>
      <c r="J18" s="21" t="n">
        <f aca="false">(SUMPRODUCT(2_Matriz_decision!C18:Q18,5_Ponderada!$C$5:$Q$5)-1)/4</f>
        <v>0.235778676935089</v>
      </c>
      <c r="K18" s="15" t="n">
        <f aca="false">MIN(5,INT(J18/0.2)+1)</f>
        <v>2</v>
      </c>
      <c r="L18" s="21" t="n">
        <v>0.23577867693509</v>
      </c>
    </row>
    <row r="19" customFormat="false" ht="15" hidden="false" customHeight="false" outlineLevel="0" collapsed="false">
      <c r="A19" s="15" t="n">
        <f aca="false">2_Matriz_decision!A19</f>
        <v>15</v>
      </c>
      <c r="B19" s="16" t="n">
        <f aca="false">2_Matriz_decision!B19</f>
        <v>1.779</v>
      </c>
      <c r="C19" s="21" t="n">
        <f aca="false">SQRT(SUMXMY2(5_Ponderada!C22:Q22,5_Ponderada!$C$6:$Q$6))</f>
        <v>0.0198206225771667</v>
      </c>
      <c r="D19" s="21" t="n">
        <f aca="false">SQRT(SUMXMY2(5_Ponderada!C22:Q22,5_Ponderada!$C$7:$Q$7))</f>
        <v>0.00708712360972141</v>
      </c>
      <c r="E19" s="21" t="n">
        <f aca="false">D19/(C19+D19)</f>
        <v>0.263385998979539</v>
      </c>
      <c r="F19" s="15" t="n">
        <f aca="false">MIN(5,INT(E19/0.2)+1)</f>
        <v>2</v>
      </c>
      <c r="G19" s="21" t="n">
        <v>0.26338599897954</v>
      </c>
      <c r="H19" s="28" t="n">
        <f aca="false">ABS(E19-G19)</f>
        <v>0</v>
      </c>
      <c r="I19" s="15" t="n">
        <v>2</v>
      </c>
      <c r="J19" s="21" t="n">
        <f aca="false">(SUMPRODUCT(2_Matriz_decision!C19:Q19,5_Ponderada!$C$5:$Q$5)-1)/4</f>
        <v>0.235488076402752</v>
      </c>
      <c r="K19" s="15" t="n">
        <f aca="false">MIN(5,INT(J19/0.2)+1)</f>
        <v>2</v>
      </c>
      <c r="L19" s="21" t="n">
        <v>0.235488076402752</v>
      </c>
    </row>
    <row r="20" customFormat="false" ht="15" hidden="false" customHeight="false" outlineLevel="0" collapsed="false">
      <c r="A20" s="15" t="n">
        <f aca="false">2_Matriz_decision!A20</f>
        <v>16</v>
      </c>
      <c r="B20" s="16" t="n">
        <f aca="false">2_Matriz_decision!B20</f>
        <v>1.878</v>
      </c>
      <c r="C20" s="21" t="n">
        <f aca="false">SQRT(SUMXMY2(5_Ponderada!C23:Q23,5_Ponderada!$C$6:$Q$6))</f>
        <v>0.0198207478539567</v>
      </c>
      <c r="D20" s="21" t="n">
        <f aca="false">SQRT(SUMXMY2(5_Ponderada!C23:Q23,5_Ponderada!$C$7:$Q$7))</f>
        <v>0.00708676454641776</v>
      </c>
      <c r="E20" s="21" t="n">
        <f aca="false">D20/(C20+D20)</f>
        <v>0.263374943063081</v>
      </c>
      <c r="F20" s="15" t="n">
        <f aca="false">MIN(5,INT(E20/0.2)+1)</f>
        <v>2</v>
      </c>
      <c r="G20" s="21" t="n">
        <v>0.263374943063081</v>
      </c>
      <c r="H20" s="28" t="n">
        <f aca="false">ABS(E20-G20)</f>
        <v>0</v>
      </c>
      <c r="I20" s="15" t="n">
        <v>2</v>
      </c>
      <c r="J20" s="21" t="n">
        <f aca="false">(SUMPRODUCT(2_Matriz_decision!C20:Q20,5_Ponderada!$C$5:$Q$5)-1)/4</f>
        <v>0.235441205349149</v>
      </c>
      <c r="K20" s="15" t="n">
        <f aca="false">MIN(5,INT(J20/0.2)+1)</f>
        <v>2</v>
      </c>
      <c r="L20" s="21" t="n">
        <v>0.23544120534915</v>
      </c>
    </row>
    <row r="21" customFormat="false" ht="15" hidden="false" customHeight="false" outlineLevel="0" collapsed="false">
      <c r="A21" s="15" t="n">
        <f aca="false">2_Matriz_decision!A21</f>
        <v>17</v>
      </c>
      <c r="B21" s="16" t="n">
        <f aca="false">2_Matriz_decision!B21</f>
        <v>1.976</v>
      </c>
      <c r="C21" s="21" t="n">
        <f aca="false">SQRT(SUMXMY2(5_Ponderada!C24:Q24,5_Ponderada!$C$6:$Q$6))</f>
        <v>0.019820722773296</v>
      </c>
      <c r="D21" s="21" t="n">
        <f aca="false">SQRT(SUMXMY2(5_Ponderada!C24:Q24,5_Ponderada!$C$7:$Q$7))</f>
        <v>0.0070868362895892</v>
      </c>
      <c r="E21" s="21" t="n">
        <f aca="false">D21/(C21+D21)</f>
        <v>0.263377152607068</v>
      </c>
      <c r="F21" s="15" t="n">
        <f aca="false">MIN(5,INT(E21/0.2)+1)</f>
        <v>2</v>
      </c>
      <c r="G21" s="21" t="n">
        <v>0.263377152607068</v>
      </c>
      <c r="H21" s="28" t="n">
        <f aca="false">ABS(E21-G21)</f>
        <v>0</v>
      </c>
      <c r="I21" s="15" t="n">
        <v>2</v>
      </c>
      <c r="J21" s="21" t="n">
        <f aca="false">(SUMPRODUCT(2_Matriz_decision!C21:Q21,5_Ponderada!$C$5:$Q$5)-1)/4</f>
        <v>0.23545057955987</v>
      </c>
      <c r="K21" s="15" t="n">
        <f aca="false">MIN(5,INT(J21/0.2)+1)</f>
        <v>2</v>
      </c>
      <c r="L21" s="21" t="n">
        <v>0.23545057955987</v>
      </c>
    </row>
    <row r="22" customFormat="false" ht="15" hidden="false" customHeight="false" outlineLevel="0" collapsed="false">
      <c r="A22" s="15" t="n">
        <f aca="false">2_Matriz_decision!A22</f>
        <v>18</v>
      </c>
      <c r="B22" s="16" t="n">
        <f aca="false">2_Matriz_decision!B22</f>
        <v>2.074</v>
      </c>
      <c r="C22" s="21" t="n">
        <f aca="false">SQRT(SUMXMY2(5_Ponderada!C25:Q25,5_Ponderada!$C$6:$Q$6))</f>
        <v>0.0198210750537924</v>
      </c>
      <c r="D22" s="21" t="n">
        <f aca="false">SQRT(SUMXMY2(5_Ponderada!C25:Q25,5_Ponderada!$C$7:$Q$7))</f>
        <v>0.00708583504752731</v>
      </c>
      <c r="E22" s="21" t="n">
        <f aca="false">D22/(C22+D22)</f>
        <v>0.263346293604325</v>
      </c>
      <c r="F22" s="15" t="n">
        <f aca="false">MIN(5,INT(E22/0.2)+1)</f>
        <v>2</v>
      </c>
      <c r="G22" s="21" t="n">
        <v>0.263346293604325</v>
      </c>
      <c r="H22" s="28" t="n">
        <f aca="false">ABS(E22-G22)</f>
        <v>0</v>
      </c>
      <c r="I22" s="15" t="n">
        <v>2</v>
      </c>
      <c r="J22" s="21" t="n">
        <f aca="false">(SUMPRODUCT(2_Matriz_decision!C22:Q22,5_Ponderada!$C$5:$Q$5)-1)/4</f>
        <v>0.235319340609782</v>
      </c>
      <c r="K22" s="15" t="n">
        <f aca="false">MIN(5,INT(J22/0.2)+1)</f>
        <v>2</v>
      </c>
      <c r="L22" s="21" t="n">
        <v>0.235319340609782</v>
      </c>
    </row>
    <row r="23" customFormat="false" ht="15" hidden="false" customHeight="false" outlineLevel="0" collapsed="false">
      <c r="A23" s="15" t="n">
        <f aca="false">2_Matriz_decision!A23</f>
        <v>19</v>
      </c>
      <c r="B23" s="16" t="n">
        <f aca="false">2_Matriz_decision!B23</f>
        <v>2.172</v>
      </c>
      <c r="C23" s="21" t="n">
        <f aca="false">SQRT(SUMXMY2(5_Ponderada!C26:Q26,5_Ponderada!$C$6:$Q$6))</f>
        <v>0.019820923772814</v>
      </c>
      <c r="D23" s="21" t="n">
        <f aca="false">SQRT(SUMXMY2(5_Ponderada!C26:Q26,5_Ponderada!$C$7:$Q$7))</f>
        <v>0.00708626331718588</v>
      </c>
      <c r="E23" s="21" t="n">
        <f aca="false">D23/(C23+D23)</f>
        <v>0.263359499210511</v>
      </c>
      <c r="F23" s="15" t="n">
        <f aca="false">MIN(5,INT(E23/0.2)+1)</f>
        <v>2</v>
      </c>
      <c r="G23" s="21" t="n">
        <v>0.263359499210511</v>
      </c>
      <c r="H23" s="28" t="n">
        <f aca="false">ABS(E23-G23)</f>
        <v>0</v>
      </c>
      <c r="I23" s="15" t="n">
        <v>2</v>
      </c>
      <c r="J23" s="21" t="n">
        <f aca="false">(SUMPRODUCT(2_Matriz_decision!C23:Q23,5_Ponderada!$C$5:$Q$5)-1)/4</f>
        <v>0.235375585874105</v>
      </c>
      <c r="K23" s="15" t="n">
        <f aca="false">MIN(5,INT(J23/0.2)+1)</f>
        <v>2</v>
      </c>
      <c r="L23" s="21" t="n">
        <v>0.235375585874106</v>
      </c>
    </row>
    <row r="24" customFormat="false" ht="15" hidden="false" customHeight="false" outlineLevel="0" collapsed="false">
      <c r="A24" s="15" t="n">
        <f aca="false">2_Matriz_decision!A24</f>
        <v>20</v>
      </c>
      <c r="B24" s="16" t="n">
        <f aca="false">2_Matriz_decision!B24</f>
        <v>2.27</v>
      </c>
      <c r="C24" s="21" t="n">
        <f aca="false">SQRT(SUMXMY2(5_Ponderada!C27:Q27,5_Ponderada!$C$6:$Q$6))</f>
        <v>0.0198203480815685</v>
      </c>
      <c r="D24" s="21" t="n">
        <f aca="false">SQRT(SUMXMY2(5_Ponderada!C27:Q27,5_Ponderada!$C$7:$Q$7))</f>
        <v>0.00708791660605283</v>
      </c>
      <c r="E24" s="21" t="n">
        <f aca="false">D24/(C24+D24)</f>
        <v>0.26341039410518</v>
      </c>
      <c r="F24" s="15" t="n">
        <f aca="false">MIN(5,INT(E24/0.2)+1)</f>
        <v>2</v>
      </c>
      <c r="G24" s="21" t="n">
        <v>0.26341039410518</v>
      </c>
      <c r="H24" s="28" t="n">
        <f aca="false">ABS(E24-G24)</f>
        <v>0</v>
      </c>
      <c r="I24" s="15" t="n">
        <v>2</v>
      </c>
      <c r="J24" s="21" t="n">
        <f aca="false">(SUMPRODUCT(2_Matriz_decision!C24:Q24,5_Ponderada!$C$5:$Q$5)-1)/4</f>
        <v>0.235591192720678</v>
      </c>
      <c r="K24" s="15" t="n">
        <f aca="false">MIN(5,INT(J24/0.2)+1)</f>
        <v>2</v>
      </c>
      <c r="L24" s="21" t="n">
        <v>0.235591192720678</v>
      </c>
    </row>
    <row r="25" customFormat="false" ht="15" hidden="false" customHeight="false" outlineLevel="0" collapsed="false">
      <c r="A25" s="15" t="n">
        <f aca="false">2_Matriz_decision!A25</f>
        <v>21</v>
      </c>
      <c r="B25" s="16" t="n">
        <f aca="false">2_Matriz_decision!B25</f>
        <v>2.369</v>
      </c>
      <c r="C25" s="21" t="n">
        <f aca="false">SQRT(SUMXMY2(5_Ponderada!C28:Q28,5_Ponderada!$C$6:$Q$6))</f>
        <v>0.0198203978759928</v>
      </c>
      <c r="D25" s="21" t="n">
        <f aca="false">SQRT(SUMXMY2(5_Ponderada!C28:Q28,5_Ponderada!$C$7:$Q$7))</f>
        <v>0.00708777211229193</v>
      </c>
      <c r="E25" s="21" t="n">
        <f aca="false">D25/(C25+D25)</f>
        <v>0.263405951254872</v>
      </c>
      <c r="F25" s="15" t="n">
        <f aca="false">MIN(5,INT(E25/0.2)+1)</f>
        <v>2</v>
      </c>
      <c r="G25" s="21" t="n">
        <v>0.263405951254872</v>
      </c>
      <c r="H25" s="28" t="n">
        <f aca="false">ABS(E25-G25)</f>
        <v>0</v>
      </c>
      <c r="I25" s="15" t="n">
        <v>2</v>
      </c>
      <c r="J25" s="21" t="n">
        <f aca="false">(SUMPRODUCT(2_Matriz_decision!C25:Q25,5_Ponderada!$C$5:$Q$5)-1)/4</f>
        <v>0.235572444299237</v>
      </c>
      <c r="K25" s="15" t="n">
        <f aca="false">MIN(5,INT(J25/0.2)+1)</f>
        <v>2</v>
      </c>
      <c r="L25" s="21" t="n">
        <v>0.235572444299237</v>
      </c>
    </row>
    <row r="26" customFormat="false" ht="15" hidden="false" customHeight="false" outlineLevel="0" collapsed="false">
      <c r="A26" s="15" t="n">
        <f aca="false">2_Matriz_decision!A26</f>
        <v>22</v>
      </c>
      <c r="B26" s="16" t="n">
        <f aca="false">2_Matriz_decision!B26</f>
        <v>2.467</v>
      </c>
      <c r="C26" s="21" t="n">
        <f aca="false">SQRT(SUMXMY2(5_Ponderada!C29:Q29,5_Ponderada!$C$6:$Q$6))</f>
        <v>0.0198203232033344</v>
      </c>
      <c r="D26" s="21" t="n">
        <f aca="false">SQRT(SUMXMY2(5_Ponderada!C29:Q29,5_Ponderada!$C$7:$Q$7))</f>
        <v>0.00708798890502853</v>
      </c>
      <c r="E26" s="21" t="n">
        <f aca="false">D26/(C26+D26)</f>
        <v>0.26341261675888</v>
      </c>
      <c r="F26" s="15" t="n">
        <f aca="false">MIN(5,INT(E26/0.2)+1)</f>
        <v>2</v>
      </c>
      <c r="G26" s="21" t="n">
        <v>0.26341261675888</v>
      </c>
      <c r="H26" s="28" t="n">
        <f aca="false">ABS(E26-G26)</f>
        <v>0</v>
      </c>
      <c r="I26" s="15" t="n">
        <v>2</v>
      </c>
      <c r="J26" s="21" t="n">
        <f aca="false">(SUMPRODUCT(2_Matriz_decision!C26:Q26,5_Ponderada!$C$5:$Q$5)-1)/4</f>
        <v>0.235600566931399</v>
      </c>
      <c r="K26" s="15" t="n">
        <f aca="false">MIN(5,INT(J26/0.2)+1)</f>
        <v>2</v>
      </c>
      <c r="L26" s="21" t="n">
        <v>0.235600566931399</v>
      </c>
    </row>
    <row r="27" customFormat="false" ht="15" hidden="false" customHeight="false" outlineLevel="0" collapsed="false">
      <c r="A27" s="15" t="n">
        <f aca="false">2_Matriz_decision!A27</f>
        <v>23</v>
      </c>
      <c r="B27" s="16" t="n">
        <f aca="false">2_Matriz_decision!B27</f>
        <v>2.567</v>
      </c>
      <c r="C27" s="21" t="n">
        <f aca="false">SQRT(SUMXMY2(5_Ponderada!C30:Q30,5_Ponderada!$C$6:$Q$6))</f>
        <v>0.0183201335498947</v>
      </c>
      <c r="D27" s="21" t="n">
        <f aca="false">SQRT(SUMXMY2(5_Ponderada!C30:Q30,5_Ponderada!$C$7:$Q$7))</f>
        <v>0.00764230075004863</v>
      </c>
      <c r="E27" s="21" t="n">
        <f aca="false">D27/(C27+D27)</f>
        <v>0.294359945672171</v>
      </c>
      <c r="F27" s="15" t="n">
        <f aca="false">MIN(5,INT(E27/0.2)+1)</f>
        <v>2</v>
      </c>
      <c r="G27" s="21" t="n">
        <v>0.294359945672171</v>
      </c>
      <c r="H27" s="28" t="n">
        <f aca="false">ABS(E27-G27)</f>
        <v>0</v>
      </c>
      <c r="I27" s="15" t="n">
        <v>2</v>
      </c>
      <c r="J27" s="21" t="n">
        <f aca="false">(SUMPRODUCT(2_Matriz_decision!C27:Q27,5_Ponderada!$C$5:$Q$5)-1)/4</f>
        <v>0.288893611396435</v>
      </c>
      <c r="K27" s="15" t="n">
        <f aca="false">MIN(5,INT(J27/0.2)+1)</f>
        <v>2</v>
      </c>
      <c r="L27" s="21" t="n">
        <v>0.288893611396436</v>
      </c>
    </row>
    <row r="28" customFormat="false" ht="15" hidden="false" customHeight="false" outlineLevel="0" collapsed="false">
      <c r="A28" s="15" t="n">
        <f aca="false">2_Matriz_decision!A28</f>
        <v>24</v>
      </c>
      <c r="B28" s="16" t="n">
        <f aca="false">2_Matriz_decision!B28</f>
        <v>2.666</v>
      </c>
      <c r="C28" s="21" t="n">
        <f aca="false">SQRT(SUMXMY2(5_Ponderada!C31:Q31,5_Ponderada!$C$6:$Q$6))</f>
        <v>0.0198207980532318</v>
      </c>
      <c r="D28" s="21" t="n">
        <f aca="false">SQRT(SUMXMY2(5_Ponderada!C31:Q31,5_Ponderada!$C$7:$Q$7))</f>
        <v>0.0070866211643162</v>
      </c>
      <c r="E28" s="21" t="n">
        <f aca="false">D28/(C28+D28)</f>
        <v>0.263370526434381</v>
      </c>
      <c r="F28" s="15" t="n">
        <f aca="false">MIN(5,INT(E28/0.2)+1)</f>
        <v>2</v>
      </c>
      <c r="G28" s="21" t="n">
        <v>0.263370526434381</v>
      </c>
      <c r="H28" s="28" t="n">
        <f aca="false">ABS(E28-G28)</f>
        <v>0</v>
      </c>
      <c r="I28" s="15" t="n">
        <v>2</v>
      </c>
      <c r="J28" s="21" t="n">
        <f aca="false">(SUMPRODUCT(2_Matriz_decision!C28:Q28,5_Ponderada!$C$5:$Q$5)-1)/4</f>
        <v>0.235422456927708</v>
      </c>
      <c r="K28" s="15" t="n">
        <f aca="false">MIN(5,INT(J28/0.2)+1)</f>
        <v>2</v>
      </c>
      <c r="L28" s="21" t="n">
        <v>0.235422456927708</v>
      </c>
    </row>
    <row r="29" customFormat="false" ht="15" hidden="false" customHeight="false" outlineLevel="0" collapsed="false">
      <c r="A29" s="15" t="n">
        <f aca="false">2_Matriz_decision!A29</f>
        <v>25</v>
      </c>
      <c r="B29" s="16" t="n">
        <f aca="false">2_Matriz_decision!B29</f>
        <v>2.766</v>
      </c>
      <c r="C29" s="21" t="n">
        <f aca="false">SQRT(SUMXMY2(5_Ponderada!C32:Q32,5_Ponderada!$C$6:$Q$6))</f>
        <v>0.0198203729724546</v>
      </c>
      <c r="D29" s="21" t="n">
        <f aca="false">SQRT(SUMXMY2(5_Ponderada!C32:Q32,5_Ponderada!$C$7:$Q$7))</f>
        <v>0.00708784434180694</v>
      </c>
      <c r="E29" s="21" t="n">
        <f aca="false">D29/(C29+D29)</f>
        <v>0.263408172270495</v>
      </c>
      <c r="F29" s="15" t="n">
        <f aca="false">MIN(5,INT(E29/0.2)+1)</f>
        <v>2</v>
      </c>
      <c r="G29" s="21" t="n">
        <v>0.263408172270495</v>
      </c>
      <c r="H29" s="28" t="n">
        <f aca="false">ABS(E29-G29)</f>
        <v>0</v>
      </c>
      <c r="I29" s="15" t="n">
        <v>2</v>
      </c>
      <c r="J29" s="21" t="n">
        <f aca="false">(SUMPRODUCT(2_Matriz_decision!C29:Q29,5_Ponderada!$C$5:$Q$5)-1)/4</f>
        <v>0.235581818509957</v>
      </c>
      <c r="K29" s="15" t="n">
        <f aca="false">MIN(5,INT(J29/0.2)+1)</f>
        <v>2</v>
      </c>
      <c r="L29" s="21" t="n">
        <v>0.235581818509958</v>
      </c>
    </row>
    <row r="30" customFormat="false" ht="15" hidden="false" customHeight="false" outlineLevel="0" collapsed="false">
      <c r="A30" s="15" t="n">
        <f aca="false">2_Matriz_decision!A30</f>
        <v>26</v>
      </c>
      <c r="B30" s="16" t="n">
        <f aca="false">2_Matriz_decision!B30</f>
        <v>2.865</v>
      </c>
      <c r="C30" s="21" t="n">
        <f aca="false">SQRT(SUMXMY2(5_Ponderada!C33:Q33,5_Ponderada!$C$6:$Q$6))</f>
        <v>0.0198370759431388</v>
      </c>
      <c r="D30" s="21" t="n">
        <f aca="false">SQRT(SUMXMY2(5_Ponderada!C33:Q33,5_Ponderada!$C$7:$Q$7))</f>
        <v>0.00701025290572752</v>
      </c>
      <c r="E30" s="21" t="n">
        <f aca="false">D30/(C30+D30)</f>
        <v>0.261115470562858</v>
      </c>
      <c r="F30" s="15" t="n">
        <f aca="false">MIN(5,INT(E30/0.2)+1)</f>
        <v>2</v>
      </c>
      <c r="G30" s="21" t="n">
        <v>0.261115470562858</v>
      </c>
      <c r="H30" s="28" t="n">
        <f aca="false">ABS(E30-G30)</f>
        <v>0</v>
      </c>
      <c r="I30" s="15" t="n">
        <v>2</v>
      </c>
      <c r="J30" s="21" t="n">
        <f aca="false">(SUMPRODUCT(2_Matriz_decision!C30:Q30,5_Ponderada!$C$5:$Q$5)-1)/4</f>
        <v>0.223846871452907</v>
      </c>
      <c r="K30" s="15" t="n">
        <f aca="false">MIN(5,INT(J30/0.2)+1)</f>
        <v>2</v>
      </c>
      <c r="L30" s="21" t="n">
        <v>0.223846871452908</v>
      </c>
    </row>
    <row r="31" customFormat="false" ht="15" hidden="false" customHeight="false" outlineLevel="0" collapsed="false">
      <c r="A31" s="15" t="n">
        <f aca="false">2_Matriz_decision!A31</f>
        <v>27</v>
      </c>
      <c r="B31" s="16" t="n">
        <f aca="false">2_Matriz_decision!B31</f>
        <v>2.964</v>
      </c>
      <c r="C31" s="21" t="n">
        <f aca="false">SQRT(SUMXMY2(5_Ponderada!C34:Q34,5_Ponderada!$C$6:$Q$6))</f>
        <v>0.0198370759431388</v>
      </c>
      <c r="D31" s="21" t="n">
        <f aca="false">SQRT(SUMXMY2(5_Ponderada!C34:Q34,5_Ponderada!$C$7:$Q$7))</f>
        <v>0.00701025290572752</v>
      </c>
      <c r="E31" s="21" t="n">
        <f aca="false">D31/(C31+D31)</f>
        <v>0.261115470562858</v>
      </c>
      <c r="F31" s="15" t="n">
        <f aca="false">MIN(5,INT(E31/0.2)+1)</f>
        <v>2</v>
      </c>
      <c r="G31" s="21" t="n">
        <v>0.261115470562858</v>
      </c>
      <c r="H31" s="28" t="n">
        <f aca="false">ABS(E31-G31)</f>
        <v>0</v>
      </c>
      <c r="I31" s="15" t="n">
        <v>2</v>
      </c>
      <c r="J31" s="21" t="n">
        <f aca="false">(SUMPRODUCT(2_Matriz_decision!C31:Q31,5_Ponderada!$C$5:$Q$5)-1)/4</f>
        <v>0.223846871452907</v>
      </c>
      <c r="K31" s="15" t="n">
        <f aca="false">MIN(5,INT(J31/0.2)+1)</f>
        <v>2</v>
      </c>
      <c r="L31" s="21" t="n">
        <v>0.223846871452908</v>
      </c>
    </row>
    <row r="32" customFormat="false" ht="15" hidden="false" customHeight="false" outlineLevel="0" collapsed="false">
      <c r="A32" s="15" t="n">
        <f aca="false">2_Matriz_decision!A32</f>
        <v>28</v>
      </c>
      <c r="B32" s="16" t="n">
        <f aca="false">2_Matriz_decision!B32</f>
        <v>3.062</v>
      </c>
      <c r="C32" s="21" t="n">
        <f aca="false">SQRT(SUMXMY2(5_Ponderada!C35:Q35,5_Ponderada!$C$6:$Q$6))</f>
        <v>0.0198366514266198</v>
      </c>
      <c r="D32" s="21" t="n">
        <f aca="false">SQRT(SUMXMY2(5_Ponderada!C35:Q35,5_Ponderada!$C$7:$Q$7))</f>
        <v>0.00701149001543596</v>
      </c>
      <c r="E32" s="21" t="n">
        <f aca="false">D32/(C32+D32)</f>
        <v>0.261153645609634</v>
      </c>
      <c r="F32" s="15" t="n">
        <f aca="false">MIN(5,INT(E32/0.2)+1)</f>
        <v>2</v>
      </c>
      <c r="G32" s="21" t="n">
        <v>0.261153645609634</v>
      </c>
      <c r="H32" s="28" t="n">
        <f aca="false">ABS(E32-G32)</f>
        <v>0</v>
      </c>
      <c r="I32" s="15" t="n">
        <v>2</v>
      </c>
      <c r="J32" s="21" t="n">
        <f aca="false">(SUMPRODUCT(2_Matriz_decision!C32:Q32,5_Ponderada!$C$5:$Q$5)-1)/4</f>
        <v>0.224006233035157</v>
      </c>
      <c r="K32" s="15" t="n">
        <f aca="false">MIN(5,INT(J32/0.2)+1)</f>
        <v>2</v>
      </c>
      <c r="L32" s="21" t="n">
        <v>0.224006233035157</v>
      </c>
    </row>
    <row r="33" customFormat="false" ht="15" hidden="false" customHeight="false" outlineLevel="0" collapsed="false">
      <c r="A33" s="15" t="n">
        <f aca="false">2_Matriz_decision!A33</f>
        <v>29</v>
      </c>
      <c r="B33" s="16" t="n">
        <f aca="false">2_Matriz_decision!B33</f>
        <v>3.159</v>
      </c>
      <c r="C33" s="21" t="n">
        <f aca="false">SQRT(SUMXMY2(5_Ponderada!C36:Q36,5_Ponderada!$C$6:$Q$6))</f>
        <v>0.0198201539747414</v>
      </c>
      <c r="D33" s="21" t="n">
        <f aca="false">SQRT(SUMXMY2(5_Ponderada!C36:Q36,5_Ponderada!$C$7:$Q$7))</f>
        <v>0.00714967873315621</v>
      </c>
      <c r="E33" s="21" t="n">
        <f aca="false">D33/(C33+D33)</f>
        <v>0.26509911316812</v>
      </c>
      <c r="F33" s="15" t="n">
        <f aca="false">MIN(5,INT(E33/0.2)+1)</f>
        <v>2</v>
      </c>
      <c r="G33" s="21" t="n">
        <v>0.26509911316812</v>
      </c>
      <c r="H33" s="28" t="n">
        <f aca="false">ABS(E33-G33)</f>
        <v>0</v>
      </c>
      <c r="I33" s="15" t="n">
        <v>2</v>
      </c>
      <c r="J33" s="21" t="n">
        <f aca="false">(SUMPRODUCT(2_Matriz_decision!C33:Q33,5_Ponderada!$C$5:$Q$5)-1)/4</f>
        <v>0.244452486909352</v>
      </c>
      <c r="K33" s="15" t="n">
        <f aca="false">MIN(5,INT(J33/0.2)+1)</f>
        <v>2</v>
      </c>
      <c r="L33" s="21" t="n">
        <v>0.244452486909353</v>
      </c>
    </row>
    <row r="34" customFormat="false" ht="15" hidden="false" customHeight="false" outlineLevel="0" collapsed="false">
      <c r="A34" s="15" t="n">
        <f aca="false">2_Matriz_decision!A34</f>
        <v>30</v>
      </c>
      <c r="B34" s="16" t="n">
        <f aca="false">2_Matriz_decision!B34</f>
        <v>3.256</v>
      </c>
      <c r="C34" s="21" t="n">
        <f aca="false">SQRT(SUMXMY2(5_Ponderada!C37:Q37,5_Ponderada!$C$6:$Q$6))</f>
        <v>0.0198246350264846</v>
      </c>
      <c r="D34" s="21" t="n">
        <f aca="false">SQRT(SUMXMY2(5_Ponderada!C37:Q37,5_Ponderada!$C$7:$Q$7))</f>
        <v>0.0070684391192978</v>
      </c>
      <c r="E34" s="21" t="n">
        <f aca="false">D34/(C34+D34)</f>
        <v>0.262834924746093</v>
      </c>
      <c r="F34" s="15" t="n">
        <f aca="false">MIN(5,INT(E34/0.2)+1)</f>
        <v>2</v>
      </c>
      <c r="G34" s="21" t="n">
        <v>0.262834924746093</v>
      </c>
      <c r="H34" s="28" t="n">
        <f aca="false">ABS(E34-G34)</f>
        <v>0</v>
      </c>
      <c r="I34" s="15" t="n">
        <v>2</v>
      </c>
      <c r="J34" s="21" t="n">
        <f aca="false">(SUMPRODUCT(2_Matriz_decision!C34:Q34,5_Ponderada!$C$5:$Q$5)-1)/4</f>
        <v>0.234102808127527</v>
      </c>
      <c r="K34" s="15" t="n">
        <f aca="false">MIN(5,INT(J34/0.2)+1)</f>
        <v>2</v>
      </c>
      <c r="L34" s="21" t="n">
        <v>0.234102808127527</v>
      </c>
    </row>
    <row r="35" customFormat="false" ht="15" hidden="false" customHeight="false" outlineLevel="0" collapsed="false">
      <c r="A35" s="15" t="n">
        <f aca="false">2_Matriz_decision!A35</f>
        <v>31</v>
      </c>
      <c r="B35" s="16" t="n">
        <f aca="false">2_Matriz_decision!B35</f>
        <v>3.353</v>
      </c>
      <c r="C35" s="21" t="n">
        <f aca="false">SQRT(SUMXMY2(5_Ponderada!C38:Q38,5_Ponderada!$C$6:$Q$6))</f>
        <v>0.0198249363133356</v>
      </c>
      <c r="D35" s="21" t="n">
        <f aca="false">SQRT(SUMXMY2(5_Ponderada!C38:Q38,5_Ponderada!$C$7:$Q$7))</f>
        <v>0.00706757697924283</v>
      </c>
      <c r="E35" s="21" t="n">
        <f aca="false">D35/(C35+D35)</f>
        <v>0.262808347525974</v>
      </c>
      <c r="F35" s="15" t="n">
        <f aca="false">MIN(5,INT(E35/0.2)+1)</f>
        <v>2</v>
      </c>
      <c r="G35" s="21" t="n">
        <v>0.262808347525974</v>
      </c>
      <c r="H35" s="28" t="n">
        <f aca="false">ABS(E35-G35)</f>
        <v>0</v>
      </c>
      <c r="I35" s="15" t="n">
        <v>2</v>
      </c>
      <c r="J35" s="21" t="n">
        <f aca="false">(SUMPRODUCT(2_Matriz_decision!C35:Q35,5_Ponderada!$C$5:$Q$5)-1)/4</f>
        <v>0.23399031759888</v>
      </c>
      <c r="K35" s="15" t="n">
        <f aca="false">MIN(5,INT(J35/0.2)+1)</f>
        <v>2</v>
      </c>
      <c r="L35" s="21" t="n">
        <v>0.233990317598881</v>
      </c>
    </row>
    <row r="36" customFormat="false" ht="15" hidden="false" customHeight="false" outlineLevel="0" collapsed="false">
      <c r="A36" s="15" t="n">
        <f aca="false">2_Matriz_decision!A36</f>
        <v>32</v>
      </c>
      <c r="B36" s="16" t="n">
        <f aca="false">2_Matriz_decision!B36</f>
        <v>3.45</v>
      </c>
      <c r="C36" s="21" t="n">
        <f aca="false">SQRT(SUMXMY2(5_Ponderada!C39:Q39,5_Ponderada!$C$6:$Q$6))</f>
        <v>0.0198369507061028</v>
      </c>
      <c r="D36" s="21" t="n">
        <f aca="false">SQRT(SUMXMY2(5_Ponderada!C39:Q39,5_Ponderada!$C$7:$Q$7))</f>
        <v>0.00701061570844539</v>
      </c>
      <c r="E36" s="21" t="n">
        <f aca="false">D36/(C36+D36)</f>
        <v>0.261126673464396</v>
      </c>
      <c r="F36" s="15" t="n">
        <f aca="false">MIN(5,INT(E36/0.2)+1)</f>
        <v>2</v>
      </c>
      <c r="G36" s="21" t="n">
        <v>0.261126673464396</v>
      </c>
      <c r="H36" s="28" t="n">
        <f aca="false">ABS(E36-G36)</f>
        <v>0</v>
      </c>
      <c r="I36" s="15" t="n">
        <v>2</v>
      </c>
      <c r="J36" s="21" t="n">
        <f aca="false">(SUMPRODUCT(2_Matriz_decision!C36:Q36,5_Ponderada!$C$5:$Q$5)-1)/4</f>
        <v>0.22389374250651</v>
      </c>
      <c r="K36" s="15" t="n">
        <f aca="false">MIN(5,INT(J36/0.2)+1)</f>
        <v>2</v>
      </c>
      <c r="L36" s="21" t="n">
        <v>0.223893742506511</v>
      </c>
    </row>
    <row r="37" customFormat="false" ht="15" hidden="false" customHeight="false" outlineLevel="0" collapsed="false">
      <c r="A37" s="15" t="n">
        <f aca="false">2_Matriz_decision!A37</f>
        <v>33</v>
      </c>
      <c r="B37" s="16" t="n">
        <f aca="false">2_Matriz_decision!B37</f>
        <v>3.547</v>
      </c>
      <c r="C37" s="21" t="n">
        <f aca="false">SQRT(SUMXMY2(5_Ponderada!C40:Q40,5_Ponderada!$C$6:$Q$6))</f>
        <v>0.0197927230049848</v>
      </c>
      <c r="D37" s="21" t="n">
        <f aca="false">SQRT(SUMXMY2(5_Ponderada!C40:Q40,5_Ponderada!$C$7:$Q$7))</f>
        <v>0.00708194923675744</v>
      </c>
      <c r="E37" s="21" t="n">
        <f aca="false">D37/(C37+D37)</f>
        <v>0.263517603975003</v>
      </c>
      <c r="F37" s="15" t="n">
        <f aca="false">MIN(5,INT(E37/0.2)+1)</f>
        <v>2</v>
      </c>
      <c r="G37" s="21" t="n">
        <v>0.263517603975003</v>
      </c>
      <c r="H37" s="28" t="n">
        <f aca="false">ABS(E37-G37)</f>
        <v>0</v>
      </c>
      <c r="I37" s="15" t="n">
        <v>2</v>
      </c>
      <c r="J37" s="21" t="n">
        <f aca="false">(SUMPRODUCT(2_Matriz_decision!C37:Q37,5_Ponderada!$C$5:$Q$5)-1)/4</f>
        <v>0.246240101506559</v>
      </c>
      <c r="K37" s="15" t="n">
        <f aca="false">MIN(5,INT(J37/0.2)+1)</f>
        <v>2</v>
      </c>
      <c r="L37" s="21" t="n">
        <v>0.24624010150656</v>
      </c>
    </row>
    <row r="38" customFormat="false" ht="15" hidden="false" customHeight="false" outlineLevel="0" collapsed="false">
      <c r="A38" s="15" t="n">
        <f aca="false">2_Matriz_decision!A38</f>
        <v>34</v>
      </c>
      <c r="B38" s="16" t="n">
        <f aca="false">2_Matriz_decision!B38</f>
        <v>3.645</v>
      </c>
      <c r="C38" s="21" t="n">
        <f aca="false">SQRT(SUMXMY2(5_Ponderada!C41:Q41,5_Ponderada!$C$6:$Q$6))</f>
        <v>0.0198196774508478</v>
      </c>
      <c r="D38" s="21" t="n">
        <f aca="false">SQRT(SUMXMY2(5_Ponderada!C41:Q41,5_Ponderada!$C$7:$Q$7))</f>
        <v>0.0070368838916533</v>
      </c>
      <c r="E38" s="21" t="n">
        <f aca="false">D38/(C38+D38)</f>
        <v>0.262017307499351</v>
      </c>
      <c r="F38" s="15" t="n">
        <f aca="false">MIN(5,INT(E38/0.2)+1)</f>
        <v>2</v>
      </c>
      <c r="G38" s="21" t="n">
        <v>0.262017307499351</v>
      </c>
      <c r="H38" s="28" t="n">
        <f aca="false">ABS(E38-G38)</f>
        <v>0</v>
      </c>
      <c r="I38" s="15" t="n">
        <v>2</v>
      </c>
      <c r="J38" s="21" t="n">
        <f aca="false">(SUMPRODUCT(2_Matriz_decision!C38:Q38,5_Ponderada!$C$5:$Q$5)-1)/4</f>
        <v>0.234748883928244</v>
      </c>
      <c r="K38" s="15" t="n">
        <f aca="false">MIN(5,INT(J38/0.2)+1)</f>
        <v>2</v>
      </c>
      <c r="L38" s="21" t="n">
        <v>0.234748883928244</v>
      </c>
    </row>
    <row r="39" customFormat="false" ht="15" hidden="false" customHeight="false" outlineLevel="0" collapsed="false">
      <c r="A39" s="15" t="n">
        <f aca="false">2_Matriz_decision!A39</f>
        <v>35</v>
      </c>
      <c r="B39" s="16" t="n">
        <f aca="false">2_Matriz_decision!B39</f>
        <v>3.742</v>
      </c>
      <c r="C39" s="21" t="n">
        <f aca="false">SQRT(SUMXMY2(5_Ponderada!C42:Q42,5_Ponderada!$C$6:$Q$6))</f>
        <v>0.0198199308663797</v>
      </c>
      <c r="D39" s="21" t="n">
        <f aca="false">SQRT(SUMXMY2(5_Ponderada!C42:Q42,5_Ponderada!$C$7:$Q$7))</f>
        <v>0.00715032599208591</v>
      </c>
      <c r="E39" s="21" t="n">
        <f aca="false">D39/(C39+D39)</f>
        <v>0.265118943049351</v>
      </c>
      <c r="F39" s="15" t="n">
        <f aca="false">MIN(5,INT(E39/0.2)+1)</f>
        <v>2</v>
      </c>
      <c r="G39" s="21" t="n">
        <v>0.265118943049351</v>
      </c>
      <c r="H39" s="28" t="n">
        <f aca="false">ABS(E39-G39)</f>
        <v>0</v>
      </c>
      <c r="I39" s="15" t="n">
        <v>2</v>
      </c>
      <c r="J39" s="21" t="n">
        <f aca="false">(SUMPRODUCT(2_Matriz_decision!C39:Q39,5_Ponderada!$C$5:$Q$5)-1)/4</f>
        <v>0.244536854805837</v>
      </c>
      <c r="K39" s="15" t="n">
        <f aca="false">MIN(5,INT(J39/0.2)+1)</f>
        <v>2</v>
      </c>
      <c r="L39" s="21" t="n">
        <v>0.244536854805838</v>
      </c>
    </row>
    <row r="40" customFormat="false" ht="15" hidden="false" customHeight="false" outlineLevel="0" collapsed="false">
      <c r="A40" s="15" t="n">
        <f aca="false">2_Matriz_decision!A40</f>
        <v>36</v>
      </c>
      <c r="B40" s="16" t="n">
        <f aca="false">2_Matriz_decision!B40</f>
        <v>3.84</v>
      </c>
      <c r="C40" s="21" t="n">
        <f aca="false">SQRT(SUMXMY2(5_Ponderada!C43:Q43,5_Ponderada!$C$6:$Q$6))</f>
        <v>0.0198203282119944</v>
      </c>
      <c r="D40" s="21" t="n">
        <f aca="false">SQRT(SUMXMY2(5_Ponderada!C43:Q43,5_Ponderada!$C$7:$Q$7))</f>
        <v>0.00714917723815985</v>
      </c>
      <c r="E40" s="21" t="n">
        <f aca="false">D40/(C40+D40)</f>
        <v>0.265083735086398</v>
      </c>
      <c r="F40" s="15" t="n">
        <f aca="false">MIN(5,INT(E40/0.2)+1)</f>
        <v>2</v>
      </c>
      <c r="G40" s="21" t="n">
        <v>0.265083735086398</v>
      </c>
      <c r="H40" s="28" t="n">
        <f aca="false">ABS(E40-G40)</f>
        <v>0</v>
      </c>
      <c r="I40" s="15" t="n">
        <v>2</v>
      </c>
      <c r="J40" s="21" t="n">
        <f aca="false">(SUMPRODUCT(2_Matriz_decision!C40:Q40,5_Ponderada!$C$5:$Q$5)-1)/4</f>
        <v>0.244386867434308</v>
      </c>
      <c r="K40" s="15" t="n">
        <f aca="false">MIN(5,INT(J40/0.2)+1)</f>
        <v>2</v>
      </c>
      <c r="L40" s="21" t="n">
        <v>0.244386867434309</v>
      </c>
    </row>
    <row r="41" customFormat="false" ht="15" hidden="false" customHeight="false" outlineLevel="0" collapsed="false">
      <c r="A41" s="15" t="n">
        <f aca="false">2_Matriz_decision!A41</f>
        <v>37</v>
      </c>
      <c r="B41" s="16" t="n">
        <f aca="false">2_Matriz_decision!B41</f>
        <v>3.937</v>
      </c>
      <c r="C41" s="21" t="n">
        <f aca="false">SQRT(SUMXMY2(5_Ponderada!C44:Q44,5_Ponderada!$C$6:$Q$6))</f>
        <v>0.0198245599893692</v>
      </c>
      <c r="D41" s="21" t="n">
        <f aca="false">SQRT(SUMXMY2(5_Ponderada!C44:Q44,5_Ponderada!$C$7:$Q$7))</f>
        <v>0.00706865543806201</v>
      </c>
      <c r="E41" s="21" t="n">
        <f aca="false">D41/(C41+D41)</f>
        <v>0.262841587579444</v>
      </c>
      <c r="F41" s="15" t="n">
        <f aca="false">MIN(5,INT(E41/0.2)+1)</f>
        <v>2</v>
      </c>
      <c r="G41" s="21" t="n">
        <v>0.262841587579444</v>
      </c>
      <c r="H41" s="28" t="n">
        <f aca="false">ABS(E41-G41)</f>
        <v>0</v>
      </c>
      <c r="I41" s="15" t="n">
        <v>2</v>
      </c>
      <c r="J41" s="21" t="n">
        <f aca="false">(SUMPRODUCT(2_Matriz_decision!C41:Q41,5_Ponderada!$C$5:$Q$5)-1)/4</f>
        <v>0.234130930759689</v>
      </c>
      <c r="K41" s="15" t="n">
        <f aca="false">MIN(5,INT(J41/0.2)+1)</f>
        <v>2</v>
      </c>
      <c r="L41" s="21" t="n">
        <v>0.234130930759689</v>
      </c>
    </row>
    <row r="42" customFormat="false" ht="15" hidden="false" customHeight="false" outlineLevel="0" collapsed="false">
      <c r="A42" s="15" t="n">
        <f aca="false">2_Matriz_decision!A42</f>
        <v>38</v>
      </c>
      <c r="B42" s="16" t="n">
        <f aca="false">2_Matriz_decision!B42</f>
        <v>4.034</v>
      </c>
      <c r="C42" s="21" t="n">
        <f aca="false">SQRT(SUMXMY2(5_Ponderada!C45:Q45,5_Ponderada!$C$6:$Q$6))</f>
        <v>0.0198246600641543</v>
      </c>
      <c r="D42" s="21" t="n">
        <f aca="false">SQRT(SUMXMY2(5_Ponderada!C45:Q45,5_Ponderada!$C$7:$Q$7))</f>
        <v>0.00706836708270197</v>
      </c>
      <c r="E42" s="21" t="n">
        <f aca="false">D42/(C42+D42)</f>
        <v>0.262832705448269</v>
      </c>
      <c r="F42" s="15" t="n">
        <f aca="false">MIN(5,INT(E42/0.2)+1)</f>
        <v>2</v>
      </c>
      <c r="G42" s="21" t="n">
        <v>0.262832705448269</v>
      </c>
      <c r="H42" s="28" t="n">
        <f aca="false">ABS(E42-G42)</f>
        <v>0</v>
      </c>
      <c r="I42" s="15" t="n">
        <v>2</v>
      </c>
      <c r="J42" s="21" t="n">
        <f aca="false">(SUMPRODUCT(2_Matriz_decision!C42:Q42,5_Ponderada!$C$5:$Q$5)-1)/4</f>
        <v>0.234093433916806</v>
      </c>
      <c r="K42" s="15" t="n">
        <f aca="false">MIN(5,INT(J42/0.2)+1)</f>
        <v>2</v>
      </c>
      <c r="L42" s="21" t="n">
        <v>0.234093433916807</v>
      </c>
    </row>
    <row r="43" customFormat="false" ht="15" hidden="false" customHeight="false" outlineLevel="0" collapsed="false">
      <c r="A43" s="15" t="n">
        <f aca="false">2_Matriz_decision!A43</f>
        <v>39</v>
      </c>
      <c r="B43" s="16" t="n">
        <f aca="false">2_Matriz_decision!B43</f>
        <v>4.132</v>
      </c>
      <c r="C43" s="21" t="n">
        <f aca="false">SQRT(SUMXMY2(5_Ponderada!C46:Q46,5_Ponderada!$C$6:$Q$6))</f>
        <v>0.0198204030748823</v>
      </c>
      <c r="D43" s="21" t="n">
        <f aca="false">SQRT(SUMXMY2(5_Ponderada!C46:Q46,5_Ponderada!$C$7:$Q$7))</f>
        <v>0.00714896282842474</v>
      </c>
      <c r="E43" s="21" t="n">
        <f aca="false">D43/(C43+D43)</f>
        <v>0.26507715658039</v>
      </c>
      <c r="F43" s="15" t="n">
        <f aca="false">MIN(5,INT(E43/0.2)+1)</f>
        <v>2</v>
      </c>
      <c r="G43" s="21" t="n">
        <v>0.26507715658039</v>
      </c>
      <c r="H43" s="28" t="n">
        <f aca="false">ABS(E43-G43)</f>
        <v>0</v>
      </c>
      <c r="I43" s="15" t="n">
        <v>2</v>
      </c>
      <c r="J43" s="21" t="n">
        <f aca="false">(SUMPRODUCT(2_Matriz_decision!C43:Q43,5_Ponderada!$C$5:$Q$5)-1)/4</f>
        <v>0.244358744802147</v>
      </c>
      <c r="K43" s="15" t="n">
        <f aca="false">MIN(5,INT(J43/0.2)+1)</f>
        <v>2</v>
      </c>
      <c r="L43" s="21" t="n">
        <v>0.244358744802147</v>
      </c>
    </row>
    <row r="44" customFormat="false" ht="15" hidden="false" customHeight="false" outlineLevel="0" collapsed="false">
      <c r="A44" s="15" t="n">
        <f aca="false">2_Matriz_decision!A44</f>
        <v>40</v>
      </c>
      <c r="B44" s="16" t="n">
        <f aca="false">2_Matriz_decision!B44</f>
        <v>4.23</v>
      </c>
      <c r="C44" s="21" t="n">
        <f aca="false">SQRT(SUMXMY2(5_Ponderada!C47:Q47,5_Ponderada!$C$6:$Q$6))</f>
        <v>0.0198206534401992</v>
      </c>
      <c r="D44" s="21" t="n">
        <f aca="false">SQRT(SUMXMY2(5_Ponderada!C47:Q47,5_Ponderada!$C$7:$Q$7))</f>
        <v>0.00714825036875352</v>
      </c>
      <c r="E44" s="21" t="n">
        <f aca="false">D44/(C44+D44)</f>
        <v>0.265055280681469</v>
      </c>
      <c r="F44" s="15" t="n">
        <f aca="false">MIN(5,INT(E44/0.2)+1)</f>
        <v>2</v>
      </c>
      <c r="G44" s="21" t="n">
        <v>0.265055280681469</v>
      </c>
      <c r="H44" s="28" t="n">
        <f aca="false">ABS(E44-G44)</f>
        <v>0</v>
      </c>
      <c r="I44" s="15" t="n">
        <v>2</v>
      </c>
      <c r="J44" s="21" t="n">
        <f aca="false">(SUMPRODUCT(2_Matriz_decision!C44:Q44,5_Ponderada!$C$5:$Q$5)-1)/4</f>
        <v>0.244265002694941</v>
      </c>
      <c r="K44" s="15" t="n">
        <f aca="false">MIN(5,INT(J44/0.2)+1)</f>
        <v>2</v>
      </c>
      <c r="L44" s="21" t="n">
        <v>0.244265002694942</v>
      </c>
    </row>
    <row r="45" customFormat="false" ht="15" hidden="false" customHeight="false" outlineLevel="0" collapsed="false">
      <c r="A45" s="15" t="n">
        <f aca="false">2_Matriz_decision!A45</f>
        <v>41</v>
      </c>
      <c r="B45" s="16" t="n">
        <f aca="false">2_Matriz_decision!B45</f>
        <v>4.328</v>
      </c>
      <c r="C45" s="21" t="n">
        <f aca="false">SQRT(SUMXMY2(5_Ponderada!C48:Q48,5_Ponderada!$C$6:$Q$6))</f>
        <v>0.0198219499813557</v>
      </c>
      <c r="D45" s="21" t="n">
        <f aca="false">SQRT(SUMXMY2(5_Ponderada!C48:Q48,5_Ponderada!$C$7:$Q$7))</f>
        <v>0.00714467045009499</v>
      </c>
      <c r="E45" s="21" t="n">
        <f aca="false">D45/(C45+D45)</f>
        <v>0.264944970329403</v>
      </c>
      <c r="F45" s="15" t="n">
        <f aca="false">MIN(5,INT(E45/0.2)+1)</f>
        <v>2</v>
      </c>
      <c r="G45" s="21" t="n">
        <v>0.264944970329403</v>
      </c>
      <c r="H45" s="28" t="n">
        <f aca="false">ABS(E45-G45)</f>
        <v>0</v>
      </c>
      <c r="I45" s="15" t="n">
        <v>2</v>
      </c>
      <c r="J45" s="21" t="n">
        <f aca="false">(SUMPRODUCT(2_Matriz_decision!C45:Q45,5_Ponderada!$C$5:$Q$5)-1)/4</f>
        <v>0.243786917948193</v>
      </c>
      <c r="K45" s="15" t="n">
        <f aca="false">MIN(5,INT(J45/0.2)+1)</f>
        <v>2</v>
      </c>
      <c r="L45" s="21" t="n">
        <v>0.243786917948193</v>
      </c>
    </row>
    <row r="46" customFormat="false" ht="15" hidden="false" customHeight="false" outlineLevel="0" collapsed="false">
      <c r="A46" s="15" t="n">
        <f aca="false">2_Matriz_decision!A46</f>
        <v>42</v>
      </c>
      <c r="B46" s="16" t="n">
        <f aca="false">2_Matriz_decision!B46</f>
        <v>4.426</v>
      </c>
      <c r="C46" s="21" t="n">
        <f aca="false">SQRT(SUMXMY2(5_Ponderada!C49:Q49,5_Ponderada!$C$6:$Q$6))</f>
        <v>0.0198289644692461</v>
      </c>
      <c r="D46" s="21" t="n">
        <f aca="false">SQRT(SUMXMY2(5_Ponderada!C49:Q49,5_Ponderada!$C$7:$Q$7))</f>
        <v>0.00705695884050287</v>
      </c>
      <c r="E46" s="21" t="n">
        <f aca="false">D46/(C46+D46)</f>
        <v>0.262477831213034</v>
      </c>
      <c r="F46" s="15" t="n">
        <f aca="false">MIN(5,INT(E46/0.2)+1)</f>
        <v>2</v>
      </c>
      <c r="G46" s="21" t="n">
        <v>0.262477831213034</v>
      </c>
      <c r="H46" s="28" t="n">
        <f aca="false">ABS(E46-G46)</f>
        <v>0</v>
      </c>
      <c r="I46" s="15" t="n">
        <v>2</v>
      </c>
      <c r="J46" s="21" t="n">
        <f aca="false">(SUMPRODUCT(2_Matriz_decision!C46:Q46,5_Ponderada!$C$5:$Q$5)-1)/4</f>
        <v>0.232546689147915</v>
      </c>
      <c r="K46" s="15" t="n">
        <f aca="false">MIN(5,INT(J46/0.2)+1)</f>
        <v>2</v>
      </c>
      <c r="L46" s="21" t="n">
        <v>0.232546689147915</v>
      </c>
    </row>
    <row r="47" customFormat="false" ht="15" hidden="false" customHeight="false" outlineLevel="0" collapsed="false">
      <c r="A47" s="15" t="n">
        <f aca="false">2_Matriz_decision!A47</f>
        <v>43</v>
      </c>
      <c r="B47" s="16" t="n">
        <f aca="false">2_Matriz_decision!B47</f>
        <v>4.526</v>
      </c>
      <c r="C47" s="21" t="n">
        <f aca="false">SQRT(SUMXMY2(5_Ponderada!C50:Q50,5_Ponderada!$C$6:$Q$6))</f>
        <v>0.0198287478306583</v>
      </c>
      <c r="D47" s="21" t="n">
        <f aca="false">SQRT(SUMXMY2(5_Ponderada!C50:Q50,5_Ponderada!$C$7:$Q$7))</f>
        <v>0.00705749002355352</v>
      </c>
      <c r="E47" s="21" t="n">
        <f aca="false">D47/(C47+D47)</f>
        <v>0.262494517151196</v>
      </c>
      <c r="F47" s="15" t="n">
        <f aca="false">MIN(5,INT(E47/0.2)+1)</f>
        <v>2</v>
      </c>
      <c r="G47" s="21" t="n">
        <v>0.262494517151196</v>
      </c>
      <c r="H47" s="28" t="n">
        <f aca="false">ABS(E47-G47)</f>
        <v>0</v>
      </c>
      <c r="I47" s="15" t="n">
        <v>2</v>
      </c>
      <c r="J47" s="21" t="n">
        <f aca="false">(SUMPRODUCT(2_Matriz_decision!C47:Q47,5_Ponderada!$C$5:$Q$5)-1)/4</f>
        <v>0.23262168283368</v>
      </c>
      <c r="K47" s="15" t="n">
        <f aca="false">MIN(5,INT(J47/0.2)+1)</f>
        <v>2</v>
      </c>
      <c r="L47" s="21" t="n">
        <v>0.23262168283368</v>
      </c>
    </row>
    <row r="48" customFormat="false" ht="15" hidden="false" customHeight="false" outlineLevel="0" collapsed="false">
      <c r="A48" s="15" t="n">
        <f aca="false">2_Matriz_decision!A48</f>
        <v>44</v>
      </c>
      <c r="B48" s="16" t="n">
        <f aca="false">2_Matriz_decision!B48</f>
        <v>4.626</v>
      </c>
      <c r="C48" s="21" t="n">
        <f aca="false">SQRT(SUMXMY2(5_Ponderada!C51:Q51,5_Ponderada!$C$6:$Q$6))</f>
        <v>0.0198281830036314</v>
      </c>
      <c r="D48" s="21" t="n">
        <f aca="false">SQRT(SUMXMY2(5_Ponderada!C51:Q51,5_Ponderada!$C$7:$Q$7))</f>
        <v>0.00705889503297465</v>
      </c>
      <c r="E48" s="21" t="n">
        <f aca="false">D48/(C48+D48)</f>
        <v>0.262538570511981</v>
      </c>
      <c r="F48" s="15" t="n">
        <f aca="false">MIN(5,INT(E48/0.2)+1)</f>
        <v>2</v>
      </c>
      <c r="G48" s="21" t="n">
        <v>0.262538570511981</v>
      </c>
      <c r="H48" s="28" t="n">
        <f aca="false">ABS(E48-G48)</f>
        <v>0</v>
      </c>
      <c r="I48" s="15" t="n">
        <v>2</v>
      </c>
      <c r="J48" s="21" t="n">
        <f aca="false">(SUMPRODUCT(2_Matriz_decision!C48:Q48,5_Ponderada!$C$5:$Q$5)-1)/4</f>
        <v>0.232818541258811</v>
      </c>
      <c r="K48" s="15" t="n">
        <f aca="false">MIN(5,INT(J48/0.2)+1)</f>
        <v>2</v>
      </c>
      <c r="L48" s="21" t="n">
        <v>0.232818541258811</v>
      </c>
    </row>
    <row r="49" customFormat="false" ht="15" hidden="false" customHeight="false" outlineLevel="0" collapsed="false">
      <c r="A49" s="15" t="n">
        <f aca="false">2_Matriz_decision!A49</f>
        <v>45</v>
      </c>
      <c r="B49" s="16" t="n">
        <f aca="false">2_Matriz_decision!B49</f>
        <v>4.726</v>
      </c>
      <c r="C49" s="21" t="n">
        <f aca="false">SQRT(SUMXMY2(5_Ponderada!C52:Q52,5_Ponderada!$C$6:$Q$6))</f>
        <v>0.0197927230049848</v>
      </c>
      <c r="D49" s="21" t="n">
        <f aca="false">SQRT(SUMXMY2(5_Ponderada!C52:Q52,5_Ponderada!$C$7:$Q$7))</f>
        <v>0.00708194923675744</v>
      </c>
      <c r="E49" s="21" t="n">
        <f aca="false">D49/(C49+D49)</f>
        <v>0.263517603975003</v>
      </c>
      <c r="F49" s="15" t="n">
        <f aca="false">MIN(5,INT(E49/0.2)+1)</f>
        <v>2</v>
      </c>
      <c r="G49" s="21" t="n">
        <v>0.263517603975003</v>
      </c>
      <c r="H49" s="28" t="n">
        <f aca="false">ABS(E49-G49)</f>
        <v>0</v>
      </c>
      <c r="I49" s="15" t="n">
        <v>2</v>
      </c>
      <c r="J49" s="21" t="n">
        <f aca="false">(SUMPRODUCT(2_Matriz_decision!C49:Q49,5_Ponderada!$C$5:$Q$5)-1)/4</f>
        <v>0.246240101506559</v>
      </c>
      <c r="K49" s="15" t="n">
        <f aca="false">MIN(5,INT(J49/0.2)+1)</f>
        <v>2</v>
      </c>
      <c r="L49" s="21" t="n">
        <v>0.24624010150656</v>
      </c>
    </row>
    <row r="50" customFormat="false" ht="15" hidden="false" customHeight="false" outlineLevel="0" collapsed="false">
      <c r="A50" s="15" t="n">
        <f aca="false">2_Matriz_decision!A50</f>
        <v>46</v>
      </c>
      <c r="B50" s="16" t="n">
        <f aca="false">2_Matriz_decision!B50</f>
        <v>4.826</v>
      </c>
      <c r="C50" s="21" t="n">
        <f aca="false">SQRT(SUMXMY2(5_Ponderada!C53:Q53,5_Ponderada!$C$6:$Q$6))</f>
        <v>0.0197655710362211</v>
      </c>
      <c r="D50" s="21" t="n">
        <f aca="false">SQRT(SUMXMY2(5_Ponderada!C53:Q53,5_Ponderada!$C$7:$Q$7))</f>
        <v>0.00720055391198518</v>
      </c>
      <c r="E50" s="21" t="n">
        <f aca="false">D50/(C50+D50)</f>
        <v>0.267022196396971</v>
      </c>
      <c r="F50" s="15" t="n">
        <f aca="false">MIN(5,INT(E50/0.2)+1)</f>
        <v>2</v>
      </c>
      <c r="G50" s="21" t="n">
        <v>0.26702219639697</v>
      </c>
      <c r="H50" s="28" t="n">
        <f aca="false">ABS(E50-G50)</f>
        <v>0</v>
      </c>
      <c r="I50" s="15" t="n">
        <v>2</v>
      </c>
      <c r="J50" s="21" t="n">
        <f aca="false">(SUMPRODUCT(2_Matriz_decision!C50:Q50,5_Ponderada!$C$5:$Q$5)-1)/4</f>
        <v>0.268633331560211</v>
      </c>
      <c r="K50" s="15" t="n">
        <f aca="false">MIN(5,INT(J50/0.2)+1)</f>
        <v>2</v>
      </c>
      <c r="L50" s="21" t="n">
        <v>0.268633331560211</v>
      </c>
    </row>
    <row r="51" customFormat="false" ht="15" hidden="false" customHeight="false" outlineLevel="0" collapsed="false">
      <c r="A51" s="15" t="n">
        <f aca="false">2_Matriz_decision!A51</f>
        <v>47</v>
      </c>
      <c r="B51" s="16" t="n">
        <f aca="false">2_Matriz_decision!B51</f>
        <v>4.925</v>
      </c>
      <c r="C51" s="21" t="n">
        <f aca="false">SQRT(SUMXMY2(5_Ponderada!C54:Q54,5_Ponderada!$C$6:$Q$6))</f>
        <v>0.0197591110381268</v>
      </c>
      <c r="D51" s="21" t="n">
        <f aca="false">SQRT(SUMXMY2(5_Ponderada!C54:Q54,5_Ponderada!$C$7:$Q$7))</f>
        <v>0.00718120801871666</v>
      </c>
      <c r="E51" s="21" t="n">
        <f aca="false">D51/(C51+D51)</f>
        <v>0.266559872715853</v>
      </c>
      <c r="F51" s="15" t="n">
        <f aca="false">MIN(5,INT(E51/0.2)+1)</f>
        <v>2</v>
      </c>
      <c r="G51" s="21" t="n">
        <v>0.266559872715853</v>
      </c>
      <c r="H51" s="28" t="n">
        <f aca="false">ABS(E51-G51)</f>
        <v>0</v>
      </c>
      <c r="I51" s="15" t="n">
        <v>2</v>
      </c>
      <c r="J51" s="21" t="n">
        <f aca="false">(SUMPRODUCT(2_Matriz_decision!C51:Q51,5_Ponderada!$C$5:$Q$5)-1)/4</f>
        <v>0.267937525055473</v>
      </c>
      <c r="K51" s="15" t="n">
        <f aca="false">MIN(5,INT(J51/0.2)+1)</f>
        <v>2</v>
      </c>
      <c r="L51" s="21" t="n">
        <v>0.267937525055473</v>
      </c>
    </row>
    <row r="52" customFormat="false" ht="15" hidden="false" customHeight="false" outlineLevel="0" collapsed="false">
      <c r="A52" s="15" t="n">
        <f aca="false">2_Matriz_decision!A52</f>
        <v>48</v>
      </c>
      <c r="B52" s="16" t="n">
        <f aca="false">2_Matriz_decision!B52</f>
        <v>5.023</v>
      </c>
      <c r="C52" s="21" t="n">
        <f aca="false">SQRT(SUMXMY2(5_Ponderada!C55:Q55,5_Ponderada!$C$6:$Q$6))</f>
        <v>0.0197863908304693</v>
      </c>
      <c r="D52" s="21" t="n">
        <f aca="false">SQRT(SUMXMY2(5_Ponderada!C55:Q55,5_Ponderada!$C$7:$Q$7))</f>
        <v>0.0070843750745453</v>
      </c>
      <c r="E52" s="21" t="n">
        <f aca="false">D52/(C52+D52)</f>
        <v>0.263646190792918</v>
      </c>
      <c r="F52" s="15" t="n">
        <f aca="false">MIN(5,INT(E52/0.2)+1)</f>
        <v>2</v>
      </c>
      <c r="G52" s="21" t="n">
        <v>0.263646190792918</v>
      </c>
      <c r="H52" s="28" t="n">
        <f aca="false">ABS(E52-G52)</f>
        <v>0</v>
      </c>
      <c r="I52" s="15" t="n">
        <v>2</v>
      </c>
      <c r="J52" s="21" t="n">
        <f aca="false">(SUMPRODUCT(2_Matriz_decision!C52:Q52,5_Ponderada!$C$5:$Q$5)-1)/4</f>
        <v>0.252921604246229</v>
      </c>
      <c r="K52" s="15" t="n">
        <f aca="false">MIN(5,INT(J52/0.2)+1)</f>
        <v>2</v>
      </c>
      <c r="L52" s="21" t="n">
        <v>0.252921604246229</v>
      </c>
    </row>
    <row r="53" customFormat="false" ht="15" hidden="false" customHeight="false" outlineLevel="0" collapsed="false">
      <c r="A53" s="15" t="n">
        <f aca="false">2_Matriz_decision!A53</f>
        <v>49</v>
      </c>
      <c r="B53" s="16" t="n">
        <f aca="false">2_Matriz_decision!B53</f>
        <v>5.12</v>
      </c>
      <c r="C53" s="21" t="n">
        <f aca="false">SQRT(SUMXMY2(5_Ponderada!C56:Q56,5_Ponderada!$C$6:$Q$6))</f>
        <v>0.0197821449231468</v>
      </c>
      <c r="D53" s="21" t="n">
        <f aca="false">SQRT(SUMXMY2(5_Ponderada!C56:Q56,5_Ponderada!$C$7:$Q$7))</f>
        <v>0.00716267936612662</v>
      </c>
      <c r="E53" s="21" t="n">
        <f aca="false">D53/(C53+D53)</f>
        <v>0.26582765169406</v>
      </c>
      <c r="F53" s="15" t="n">
        <f aca="false">MIN(5,INT(E53/0.2)+1)</f>
        <v>2</v>
      </c>
      <c r="G53" s="21" t="n">
        <v>0.26582765169406</v>
      </c>
      <c r="H53" s="28" t="n">
        <f aca="false">ABS(E53-G53)</f>
        <v>0</v>
      </c>
      <c r="I53" s="15" t="n">
        <v>2</v>
      </c>
      <c r="J53" s="21" t="n">
        <f aca="false">(SUMPRODUCT(2_Matriz_decision!C53:Q53,5_Ponderada!$C$5:$Q$5)-1)/4</f>
        <v>0.262616818934628</v>
      </c>
      <c r="K53" s="15" t="n">
        <f aca="false">MIN(5,INT(J53/0.2)+1)</f>
        <v>2</v>
      </c>
      <c r="L53" s="21" t="n">
        <v>0.262616818934629</v>
      </c>
    </row>
    <row r="54" customFormat="false" ht="15" hidden="false" customHeight="false" outlineLevel="0" collapsed="false">
      <c r="A54" s="15" t="n">
        <f aca="false">2_Matriz_decision!A54</f>
        <v>50</v>
      </c>
      <c r="B54" s="16" t="n">
        <f aca="false">2_Matriz_decision!B54</f>
        <v>5.216</v>
      </c>
      <c r="C54" s="21" t="n">
        <f aca="false">SQRT(SUMXMY2(5_Ponderada!C57:Q57,5_Ponderada!$C$6:$Q$6))</f>
        <v>0.0197868011886366</v>
      </c>
      <c r="D54" s="21" t="n">
        <f aca="false">SQRT(SUMXMY2(5_Ponderada!C57:Q57,5_Ponderada!$C$7:$Q$7))</f>
        <v>0.0070768661390617</v>
      </c>
      <c r="E54" s="21" t="n">
        <f aca="false">D54/(C54+D54)</f>
        <v>0.263436337739522</v>
      </c>
      <c r="F54" s="15" t="n">
        <f aca="false">MIN(5,INT(E54/0.2)+1)</f>
        <v>2</v>
      </c>
      <c r="G54" s="21" t="n">
        <v>0.263436337739522</v>
      </c>
      <c r="H54" s="28" t="n">
        <f aca="false">ABS(E54-G54)</f>
        <v>0</v>
      </c>
      <c r="I54" s="15" t="n">
        <v>2</v>
      </c>
      <c r="J54" s="21" t="n">
        <f aca="false">(SUMPRODUCT(2_Matriz_decision!C54:Q54,5_Ponderada!$C$5:$Q$5)-1)/4</f>
        <v>0.2505525532274</v>
      </c>
      <c r="K54" s="15" t="n">
        <f aca="false">MIN(5,INT(J54/0.2)+1)</f>
        <v>2</v>
      </c>
      <c r="L54" s="21" t="n">
        <v>0.2505525532274</v>
      </c>
    </row>
    <row r="55" customFormat="false" ht="15" hidden="false" customHeight="false" outlineLevel="0" collapsed="false">
      <c r="A55" s="15" t="n">
        <f aca="false">2_Matriz_decision!A55</f>
        <v>51</v>
      </c>
      <c r="B55" s="16" t="n">
        <f aca="false">2_Matriz_decision!B55</f>
        <v>5.31</v>
      </c>
      <c r="C55" s="21" t="n">
        <f aca="false">SQRT(SUMXMY2(5_Ponderada!C58:Q58,5_Ponderada!$C$6:$Q$6))</f>
        <v>0.0197750713051167</v>
      </c>
      <c r="D55" s="21" t="n">
        <f aca="false">SQRT(SUMXMY2(5_Ponderada!C58:Q58,5_Ponderada!$C$7:$Q$7))</f>
        <v>0.00710050206277252</v>
      </c>
      <c r="E55" s="21" t="n">
        <f aca="false">D55/(C55+D55)</f>
        <v>0.264199091330128</v>
      </c>
      <c r="F55" s="15" t="n">
        <f aca="false">MIN(5,INT(E55/0.2)+1)</f>
        <v>2</v>
      </c>
      <c r="G55" s="21" t="n">
        <v>0.264199091330128</v>
      </c>
      <c r="H55" s="28" t="n">
        <f aca="false">ABS(E55-G55)</f>
        <v>0</v>
      </c>
      <c r="I55" s="15" t="n">
        <v>2</v>
      </c>
      <c r="J55" s="21" t="n">
        <f aca="false">(SUMPRODUCT(2_Matriz_decision!C55:Q55,5_Ponderada!$C$5:$Q$5)-1)/4</f>
        <v>0.253811985142713</v>
      </c>
      <c r="K55" s="15" t="n">
        <f aca="false">MIN(5,INT(J55/0.2)+1)</f>
        <v>2</v>
      </c>
      <c r="L55" s="21" t="n">
        <v>0.253811985142713</v>
      </c>
    </row>
    <row r="56" customFormat="false" ht="15" hidden="false" customHeight="false" outlineLevel="0" collapsed="false">
      <c r="A56" s="15" t="n">
        <f aca="false">2_Matriz_decision!A56</f>
        <v>52</v>
      </c>
      <c r="B56" s="16" t="n">
        <f aca="false">2_Matriz_decision!B56</f>
        <v>5.403</v>
      </c>
      <c r="C56" s="21" t="n">
        <f aca="false">SQRT(SUMXMY2(5_Ponderada!C59:Q59,5_Ponderada!$C$6:$Q$6))</f>
        <v>0.0197798704163331</v>
      </c>
      <c r="D56" s="21" t="n">
        <f aca="false">SQRT(SUMXMY2(5_Ponderada!C59:Q59,5_Ponderada!$C$7:$Q$7))</f>
        <v>0.00708802646373057</v>
      </c>
      <c r="E56" s="21" t="n">
        <f aca="false">D56/(C56+D56)</f>
        <v>0.263810245192283</v>
      </c>
      <c r="F56" s="15" t="n">
        <f aca="false">MIN(5,INT(E56/0.2)+1)</f>
        <v>2</v>
      </c>
      <c r="G56" s="21" t="n">
        <v>0.263810245192283</v>
      </c>
      <c r="H56" s="28" t="n">
        <f aca="false">ABS(E56-G56)</f>
        <v>0</v>
      </c>
      <c r="I56" s="15" t="n">
        <v>2</v>
      </c>
      <c r="J56" s="21" t="n">
        <f aca="false">(SUMPRODUCT(2_Matriz_decision!C56:Q56,5_Ponderada!$C$5:$Q$5)-1)/4</f>
        <v>0.250743989814112</v>
      </c>
      <c r="K56" s="15" t="n">
        <f aca="false">MIN(5,INT(J56/0.2)+1)</f>
        <v>2</v>
      </c>
      <c r="L56" s="21" t="n">
        <v>0.250743989814112</v>
      </c>
    </row>
    <row r="57" customFormat="false" ht="15" hidden="false" customHeight="false" outlineLevel="0" collapsed="false">
      <c r="A57" s="15" t="n">
        <f aca="false">2_Matriz_decision!A57</f>
        <v>53</v>
      </c>
      <c r="B57" s="16" t="n">
        <f aca="false">2_Matriz_decision!B57</f>
        <v>5.496</v>
      </c>
      <c r="C57" s="21" t="n">
        <f aca="false">SQRT(SUMXMY2(5_Ponderada!C60:Q60,5_Ponderada!$C$6:$Q$6))</f>
        <v>0.0197906835752476</v>
      </c>
      <c r="D57" s="21" t="n">
        <f aca="false">SQRT(SUMXMY2(5_Ponderada!C60:Q60,5_Ponderada!$C$7:$Q$7))</f>
        <v>0.00707000089775508</v>
      </c>
      <c r="E57" s="21" t="n">
        <f aca="false">D57/(C57+D57)</f>
        <v>0.263210005123326</v>
      </c>
      <c r="F57" s="15" t="n">
        <f aca="false">MIN(5,INT(E57/0.2)+1)</f>
        <v>2</v>
      </c>
      <c r="G57" s="21" t="n">
        <v>0.263210005123326</v>
      </c>
      <c r="H57" s="28" t="n">
        <f aca="false">ABS(E57-G57)</f>
        <v>0</v>
      </c>
      <c r="I57" s="15" t="n">
        <v>2</v>
      </c>
      <c r="J57" s="21" t="n">
        <f aca="false">(SUMPRODUCT(2_Matriz_decision!C57:Q57,5_Ponderada!$C$5:$Q$5)-1)/4</f>
        <v>0.248238316533297</v>
      </c>
      <c r="K57" s="15" t="n">
        <f aca="false">MIN(5,INT(J57/0.2)+1)</f>
        <v>2</v>
      </c>
      <c r="L57" s="21" t="n">
        <v>0.248238316533298</v>
      </c>
    </row>
    <row r="58" customFormat="false" ht="15" hidden="false" customHeight="false" outlineLevel="0" collapsed="false">
      <c r="A58" s="15" t="n">
        <f aca="false">2_Matriz_decision!A58</f>
        <v>54</v>
      </c>
      <c r="B58" s="16" t="n">
        <f aca="false">2_Matriz_decision!B58</f>
        <v>5.589</v>
      </c>
      <c r="C58" s="21" t="n">
        <f aca="false">SQRT(SUMXMY2(5_Ponderada!C61:Q61,5_Ponderada!$C$6:$Q$6))</f>
        <v>0.0198161020051014</v>
      </c>
      <c r="D58" s="21" t="n">
        <f aca="false">SQRT(SUMXMY2(5_Ponderada!C61:Q61,5_Ponderada!$C$7:$Q$7))</f>
        <v>0.00703046410179612</v>
      </c>
      <c r="E58" s="21" t="n">
        <f aca="false">D58/(C58+D58)</f>
        <v>0.261875730169819</v>
      </c>
      <c r="F58" s="15" t="n">
        <f aca="false">MIN(5,INT(E58/0.2)+1)</f>
        <v>2</v>
      </c>
      <c r="G58" s="21" t="n">
        <v>0.261875730169819</v>
      </c>
      <c r="H58" s="28" t="n">
        <f aca="false">ABS(E58-G58)</f>
        <v>0</v>
      </c>
      <c r="I58" s="15" t="n">
        <v>2</v>
      </c>
      <c r="J58" s="21" t="n">
        <f aca="false">(SUMPRODUCT(2_Matriz_decision!C58:Q58,5_Ponderada!$C$5:$Q$5)-1)/4</f>
        <v>0.238406920453218</v>
      </c>
      <c r="K58" s="15" t="n">
        <f aca="false">MIN(5,INT(J58/0.2)+1)</f>
        <v>2</v>
      </c>
      <c r="L58" s="21" t="n">
        <v>0.238406920453218</v>
      </c>
    </row>
    <row r="59" customFormat="false" ht="15" hidden="false" customHeight="false" outlineLevel="0" collapsed="false">
      <c r="A59" s="15" t="n">
        <f aca="false">2_Matriz_decision!A59</f>
        <v>55</v>
      </c>
      <c r="B59" s="16" t="n">
        <f aca="false">2_Matriz_decision!B59</f>
        <v>5.682</v>
      </c>
      <c r="C59" s="21" t="n">
        <f aca="false">SQRT(SUMXMY2(5_Ponderada!C62:Q62,5_Ponderada!$C$6:$Q$6))</f>
        <v>0.0198153977569039</v>
      </c>
      <c r="D59" s="21" t="n">
        <f aca="false">SQRT(SUMXMY2(5_Ponderada!C62:Q62,5_Ponderada!$C$7:$Q$7))</f>
        <v>0.00703332900737264</v>
      </c>
      <c r="E59" s="21" t="n">
        <f aca="false">D59/(C59+D59)</f>
        <v>0.261961361114927</v>
      </c>
      <c r="F59" s="15" t="n">
        <f aca="false">MIN(5,INT(E59/0.2)+1)</f>
        <v>2</v>
      </c>
      <c r="G59" s="21" t="n">
        <v>0.261961361114927</v>
      </c>
      <c r="H59" s="28" t="n">
        <f aca="false">ABS(E59-G59)</f>
        <v>0</v>
      </c>
      <c r="I59" s="15" t="n">
        <v>2</v>
      </c>
      <c r="J59" s="21" t="n">
        <f aca="false">(SUMPRODUCT(2_Matriz_decision!C59:Q59,5_Ponderada!$C$5:$Q$5)-1)/4</f>
        <v>0.239141102960747</v>
      </c>
      <c r="K59" s="15" t="n">
        <f aca="false">MIN(5,INT(J59/0.2)+1)</f>
        <v>2</v>
      </c>
      <c r="L59" s="21" t="n">
        <v>0.239141102960747</v>
      </c>
    </row>
    <row r="60" customFormat="false" ht="15" hidden="false" customHeight="false" outlineLevel="0" collapsed="false">
      <c r="A60" s="15" t="n">
        <f aca="false">2_Matriz_decision!A60</f>
        <v>56</v>
      </c>
      <c r="B60" s="16" t="n">
        <f aca="false">2_Matriz_decision!B60</f>
        <v>5.777</v>
      </c>
      <c r="C60" s="21" t="n">
        <f aca="false">SQRT(SUMXMY2(5_Ponderada!C63:Q63,5_Ponderada!$C$6:$Q$6))</f>
        <v>0.0198177003204435</v>
      </c>
      <c r="D60" s="21" t="n">
        <f aca="false">SQRT(SUMXMY2(5_Ponderada!C63:Q63,5_Ponderada!$C$7:$Q$7))</f>
        <v>0.00702886947578323</v>
      </c>
      <c r="E60" s="21" t="n">
        <f aca="false">D60/(C60+D60)</f>
        <v>0.261816296425741</v>
      </c>
      <c r="F60" s="15" t="n">
        <f aca="false">MIN(5,INT(E60/0.2)+1)</f>
        <v>2</v>
      </c>
      <c r="G60" s="21" t="n">
        <v>0.261816296425741</v>
      </c>
      <c r="H60" s="28" t="n">
        <f aca="false">ABS(E60-G60)</f>
        <v>0</v>
      </c>
      <c r="I60" s="15" t="n">
        <v>2</v>
      </c>
      <c r="J60" s="21" t="n">
        <f aca="false">(SUMPRODUCT(2_Matriz_decision!C60:Q60,5_Ponderada!$C$5:$Q$5)-1)/4</f>
        <v>0.238195235711442</v>
      </c>
      <c r="K60" s="15" t="n">
        <f aca="false">MIN(5,INT(J60/0.2)+1)</f>
        <v>2</v>
      </c>
      <c r="L60" s="21" t="n">
        <v>0.238195235711442</v>
      </c>
    </row>
    <row r="61" customFormat="false" ht="15" hidden="false" customHeight="false" outlineLevel="0" collapsed="false">
      <c r="A61" s="15" t="n">
        <f aca="false">2_Matriz_decision!A61</f>
        <v>57</v>
      </c>
      <c r="B61" s="16" t="n">
        <f aca="false">2_Matriz_decision!B61</f>
        <v>5.872</v>
      </c>
      <c r="C61" s="21" t="n">
        <f aca="false">SQRT(SUMXMY2(5_Ponderada!C64:Q64,5_Ponderada!$C$6:$Q$6))</f>
        <v>0.0198194250392872</v>
      </c>
      <c r="D61" s="21" t="n">
        <f aca="false">SQRT(SUMXMY2(5_Ponderada!C64:Q64,5_Ponderada!$C$7:$Q$7))</f>
        <v>0.00710319565903109</v>
      </c>
      <c r="E61" s="21" t="n">
        <f aca="false">D61/(C61+D61)</f>
        <v>0.263837452476341</v>
      </c>
      <c r="F61" s="15" t="n">
        <f aca="false">MIN(5,INT(E61/0.2)+1)</f>
        <v>2</v>
      </c>
      <c r="G61" s="21" t="n">
        <v>0.263837452476341</v>
      </c>
      <c r="H61" s="28" t="n">
        <f aca="false">ABS(E61-G61)</f>
        <v>0</v>
      </c>
      <c r="I61" s="15" t="n">
        <v>2</v>
      </c>
      <c r="J61" s="21" t="n">
        <f aca="false">(SUMPRODUCT(2_Matriz_decision!C61:Q61,5_Ponderada!$C$5:$Q$5)-1)/4</f>
        <v>0.247193874378165</v>
      </c>
      <c r="K61" s="15" t="n">
        <f aca="false">MIN(5,INT(J61/0.2)+1)</f>
        <v>2</v>
      </c>
      <c r="L61" s="21" t="n">
        <v>0.247193874378165</v>
      </c>
    </row>
    <row r="62" customFormat="false" ht="15" hidden="false" customHeight="false" outlineLevel="0" collapsed="false">
      <c r="A62" s="15" t="n">
        <f aca="false">2_Matriz_decision!A62</f>
        <v>58</v>
      </c>
      <c r="B62" s="16" t="n">
        <f aca="false">2_Matriz_decision!B62</f>
        <v>5.969</v>
      </c>
      <c r="C62" s="21" t="n">
        <f aca="false">SQRT(SUMXMY2(5_Ponderada!C65:Q65,5_Ponderada!$C$6:$Q$6))</f>
        <v>0.0198137192013677</v>
      </c>
      <c r="D62" s="21" t="n">
        <f aca="false">SQRT(SUMXMY2(5_Ponderada!C65:Q65,5_Ponderada!$C$7:$Q$7))</f>
        <v>0.0070786963502619</v>
      </c>
      <c r="E62" s="21" t="n">
        <f aca="false">D62/(C62+D62)</f>
        <v>0.263222778804374</v>
      </c>
      <c r="F62" s="15" t="n">
        <f aca="false">MIN(5,INT(E62/0.2)+1)</f>
        <v>2</v>
      </c>
      <c r="G62" s="21" t="n">
        <v>0.263222778804374</v>
      </c>
      <c r="H62" s="28" t="n">
        <f aca="false">ABS(E62-G62)</f>
        <v>0</v>
      </c>
      <c r="I62" s="15" t="n">
        <v>2</v>
      </c>
      <c r="J62" s="21" t="n">
        <f aca="false">(SUMPRODUCT(2_Matriz_decision!C62:Q62,5_Ponderada!$C$5:$Q$5)-1)/4</f>
        <v>0.247165651114011</v>
      </c>
      <c r="K62" s="15" t="n">
        <f aca="false">MIN(5,INT(J62/0.2)+1)</f>
        <v>2</v>
      </c>
      <c r="L62" s="21" t="n">
        <v>0.247165651114012</v>
      </c>
    </row>
    <row r="63" customFormat="false" ht="15" hidden="false" customHeight="false" outlineLevel="0" collapsed="false">
      <c r="A63" s="15" t="n">
        <f aca="false">2_Matriz_decision!A63</f>
        <v>59</v>
      </c>
      <c r="B63" s="16" t="n">
        <f aca="false">2_Matriz_decision!B63</f>
        <v>6.066</v>
      </c>
      <c r="C63" s="21" t="n">
        <f aca="false">SQRT(SUMXMY2(5_Ponderada!C66:Q66,5_Ponderada!$C$6:$Q$6))</f>
        <v>0.0198067686019915</v>
      </c>
      <c r="D63" s="21" t="n">
        <f aca="false">SQRT(SUMXMY2(5_Ponderada!C66:Q66,5_Ponderada!$C$7:$Q$7))</f>
        <v>0.00708536738976298</v>
      </c>
      <c r="E63" s="21" t="n">
        <f aca="false">D63/(C63+D63)</f>
        <v>0.263473581716806</v>
      </c>
      <c r="F63" s="15" t="n">
        <f aca="false">MIN(5,INT(E63/0.2)+1)</f>
        <v>2</v>
      </c>
      <c r="G63" s="21" t="n">
        <v>0.263473581716806</v>
      </c>
      <c r="H63" s="28" t="n">
        <f aca="false">ABS(E63-G63)</f>
        <v>0</v>
      </c>
      <c r="I63" s="15" t="n">
        <v>2</v>
      </c>
      <c r="J63" s="21" t="n">
        <f aca="false">(SUMPRODUCT(2_Matriz_decision!C63:Q63,5_Ponderada!$C$5:$Q$5)-1)/4</f>
        <v>0.248470371979196</v>
      </c>
      <c r="K63" s="15" t="n">
        <f aca="false">MIN(5,INT(J63/0.2)+1)</f>
        <v>2</v>
      </c>
      <c r="L63" s="21" t="n">
        <v>0.248470371979196</v>
      </c>
    </row>
    <row r="64" customFormat="false" ht="15" hidden="false" customHeight="false" outlineLevel="0" collapsed="false">
      <c r="A64" s="15" t="n">
        <f aca="false">2_Matriz_decision!A64</f>
        <v>60</v>
      </c>
      <c r="B64" s="16" t="n">
        <f aca="false">2_Matriz_decision!B64</f>
        <v>6.164</v>
      </c>
      <c r="C64" s="21" t="n">
        <f aca="false">SQRT(SUMXMY2(5_Ponderada!C67:Q67,5_Ponderada!$C$6:$Q$6))</f>
        <v>0.0198128075847227</v>
      </c>
      <c r="D64" s="21" t="n">
        <f aca="false">SQRT(SUMXMY2(5_Ponderada!C67:Q67,5_Ponderada!$C$7:$Q$7))</f>
        <v>0.00707854464235839</v>
      </c>
      <c r="E64" s="21" t="n">
        <f aca="false">D64/(C64+D64)</f>
        <v>0.263227545516655</v>
      </c>
      <c r="F64" s="15" t="n">
        <f aca="false">MIN(5,INT(E64/0.2)+1)</f>
        <v>2</v>
      </c>
      <c r="G64" s="21" t="n">
        <v>0.263227545516655</v>
      </c>
      <c r="H64" s="28" t="n">
        <f aca="false">ABS(E64-G64)</f>
        <v>0</v>
      </c>
      <c r="I64" s="15" t="n">
        <v>2</v>
      </c>
      <c r="J64" s="21" t="n">
        <f aca="false">(SUMPRODUCT(2_Matriz_decision!C64:Q64,5_Ponderada!$C$5:$Q$5)-1)/4</f>
        <v>0.247049589628368</v>
      </c>
      <c r="K64" s="15" t="n">
        <f aca="false">MIN(5,INT(J64/0.2)+1)</f>
        <v>2</v>
      </c>
      <c r="L64" s="21" t="n">
        <v>0.247049589628368</v>
      </c>
    </row>
    <row r="65" customFormat="false" ht="15" hidden="false" customHeight="false" outlineLevel="0" collapsed="false">
      <c r="A65" s="15" t="n">
        <f aca="false">2_Matriz_decision!A65</f>
        <v>61</v>
      </c>
      <c r="B65" s="16" t="n">
        <f aca="false">2_Matriz_decision!B65</f>
        <v>6.262</v>
      </c>
      <c r="C65" s="21" t="n">
        <f aca="false">SQRT(SUMXMY2(5_Ponderada!C68:Q68,5_Ponderada!$C$6:$Q$6))</f>
        <v>0.0171305734610467</v>
      </c>
      <c r="D65" s="21" t="n">
        <f aca="false">SQRT(SUMXMY2(5_Ponderada!C68:Q68,5_Ponderada!$C$7:$Q$7))</f>
        <v>0.00913255182022258</v>
      </c>
      <c r="E65" s="21" t="n">
        <f aca="false">D65/(C65+D65)</f>
        <v>0.34773286584959</v>
      </c>
      <c r="F65" s="15" t="n">
        <f aca="false">MIN(5,INT(E65/0.2)+1)</f>
        <v>2</v>
      </c>
      <c r="G65" s="21" t="n">
        <v>0.34773286584959</v>
      </c>
      <c r="H65" s="28" t="n">
        <f aca="false">ABS(E65-G65)</f>
        <v>0</v>
      </c>
      <c r="I65" s="15" t="n">
        <v>2</v>
      </c>
      <c r="J65" s="21" t="n">
        <f aca="false">(SUMPRODUCT(2_Matriz_decision!C65:Q65,5_Ponderada!$C$5:$Q$5)-1)/4</f>
        <v>0.36446248094694</v>
      </c>
      <c r="K65" s="15" t="n">
        <f aca="false">MIN(5,INT(J65/0.2)+1)</f>
        <v>2</v>
      </c>
      <c r="L65" s="21" t="n">
        <v>0.36446248094694</v>
      </c>
    </row>
    <row r="66" customFormat="false" ht="15" hidden="false" customHeight="false" outlineLevel="0" collapsed="false">
      <c r="A66" s="15" t="n">
        <f aca="false">2_Matriz_decision!A66</f>
        <v>62</v>
      </c>
      <c r="B66" s="16" t="n">
        <f aca="false">2_Matriz_decision!B66</f>
        <v>6.36</v>
      </c>
      <c r="C66" s="21" t="n">
        <f aca="false">SQRT(SUMXMY2(5_Ponderada!C69:Q69,5_Ponderada!$C$6:$Q$6))</f>
        <v>0.0171209162987162</v>
      </c>
      <c r="D66" s="21" t="n">
        <f aca="false">SQRT(SUMXMY2(5_Ponderada!C69:Q69,5_Ponderada!$C$7:$Q$7))</f>
        <v>0.00913964462493968</v>
      </c>
      <c r="E66" s="21" t="n">
        <f aca="false">D66/(C66+D66)</f>
        <v>0.348036915567427</v>
      </c>
      <c r="F66" s="15" t="n">
        <f aca="false">MIN(5,INT(E66/0.2)+1)</f>
        <v>2</v>
      </c>
      <c r="G66" s="21" t="n">
        <v>0.348036915567427</v>
      </c>
      <c r="H66" s="28" t="n">
        <f aca="false">ABS(E66-G66)</f>
        <v>0</v>
      </c>
      <c r="I66" s="15" t="n">
        <v>2</v>
      </c>
      <c r="J66" s="21" t="n">
        <f aca="false">(SUMPRODUCT(2_Matriz_decision!C66:Q66,5_Ponderada!$C$5:$Q$5)-1)/4</f>
        <v>0.367303504426349</v>
      </c>
      <c r="K66" s="15" t="n">
        <f aca="false">MIN(5,INT(J66/0.2)+1)</f>
        <v>2</v>
      </c>
      <c r="L66" s="21" t="n">
        <v>0.36730350442635</v>
      </c>
    </row>
    <row r="67" customFormat="false" ht="15" hidden="false" customHeight="false" outlineLevel="0" collapsed="false">
      <c r="A67" s="15" t="n">
        <f aca="false">2_Matriz_decision!A67</f>
        <v>63</v>
      </c>
      <c r="B67" s="16" t="n">
        <f aca="false">2_Matriz_decision!B67</f>
        <v>6.46</v>
      </c>
      <c r="C67" s="21" t="n">
        <f aca="false">SQRT(SUMXMY2(5_Ponderada!C70:Q70,5_Ponderada!$C$6:$Q$6))</f>
        <v>0.0171088134348189</v>
      </c>
      <c r="D67" s="21" t="n">
        <f aca="false">SQRT(SUMXMY2(5_Ponderada!C70:Q70,5_Ponderada!$C$7:$Q$7))</f>
        <v>0.00915290447205291</v>
      </c>
      <c r="E67" s="21" t="n">
        <f aca="false">D67/(C67+D67)</f>
        <v>0.348526494135324</v>
      </c>
      <c r="F67" s="15" t="n">
        <f aca="false">MIN(5,INT(E67/0.2)+1)</f>
        <v>2</v>
      </c>
      <c r="G67" s="21" t="n">
        <v>0.348526494135324</v>
      </c>
      <c r="H67" s="28" t="n">
        <f aca="false">ABS(E67-G67)</f>
        <v>0</v>
      </c>
      <c r="I67" s="15" t="n">
        <v>2</v>
      </c>
      <c r="J67" s="21" t="n">
        <f aca="false">(SUMPRODUCT(2_Matriz_decision!C67:Q67,5_Ponderada!$C$5:$Q$5)-1)/4</f>
        <v>0.370303502676783</v>
      </c>
      <c r="K67" s="15" t="n">
        <f aca="false">MIN(5,INT(J67/0.2)+1)</f>
        <v>2</v>
      </c>
      <c r="L67" s="21" t="n">
        <v>0.370303502676784</v>
      </c>
    </row>
    <row r="68" customFormat="false" ht="15" hidden="false" customHeight="false" outlineLevel="0" collapsed="false">
      <c r="A68" s="15" t="n">
        <f aca="false">2_Matriz_decision!A68</f>
        <v>64</v>
      </c>
      <c r="B68" s="16" t="n">
        <f aca="false">2_Matriz_decision!B68</f>
        <v>6.564</v>
      </c>
      <c r="C68" s="21" t="n">
        <f aca="false">SQRT(SUMXMY2(5_Ponderada!C71:Q71,5_Ponderada!$C$6:$Q$6))</f>
        <v>0.0171128822869445</v>
      </c>
      <c r="D68" s="21" t="n">
        <f aca="false">SQRT(SUMXMY2(5_Ponderada!C71:Q71,5_Ponderada!$C$7:$Q$7))</f>
        <v>0.00914849474347246</v>
      </c>
      <c r="E68" s="21" t="n">
        <f aca="false">D68/(C68+D68)</f>
        <v>0.348363101176161</v>
      </c>
      <c r="F68" s="15" t="n">
        <f aca="false">MIN(5,INT(E68/0.2)+1)</f>
        <v>2</v>
      </c>
      <c r="G68" s="21" t="n">
        <v>0.348363101176161</v>
      </c>
      <c r="H68" s="28" t="n">
        <f aca="false">ABS(E68-G68)</f>
        <v>0</v>
      </c>
      <c r="I68" s="15" t="n">
        <v>2</v>
      </c>
      <c r="J68" s="21" t="n">
        <f aca="false">(SUMPRODUCT(2_Matriz_decision!C68:Q68,5_Ponderada!$C$5:$Q$5)-1)/4</f>
        <v>0.369580459434002</v>
      </c>
      <c r="K68" s="15" t="n">
        <f aca="false">MIN(5,INT(J68/0.2)+1)</f>
        <v>2</v>
      </c>
      <c r="L68" s="21" t="n">
        <v>0.369580459434002</v>
      </c>
    </row>
    <row r="69" customFormat="false" ht="15" hidden="false" customHeight="false" outlineLevel="0" collapsed="false">
      <c r="A69" s="15" t="n">
        <f aca="false">2_Matriz_decision!A69</f>
        <v>65</v>
      </c>
      <c r="B69" s="16" t="n">
        <f aca="false">2_Matriz_decision!B69</f>
        <v>6.671</v>
      </c>
      <c r="C69" s="21" t="n">
        <f aca="false">SQRT(SUMXMY2(5_Ponderada!C72:Q72,5_Ponderada!$C$6:$Q$6))</f>
        <v>0.0171240161200965</v>
      </c>
      <c r="D69" s="21" t="n">
        <f aca="false">SQRT(SUMXMY2(5_Ponderada!C72:Q72,5_Ponderada!$C$7:$Q$7))</f>
        <v>0.00913700268062439</v>
      </c>
      <c r="E69" s="21" t="n">
        <f aca="false">D69/(C69+D69)</f>
        <v>0.347930244060964</v>
      </c>
      <c r="F69" s="15" t="n">
        <f aca="false">MIN(5,INT(E69/0.2)+1)</f>
        <v>2</v>
      </c>
      <c r="G69" s="21" t="n">
        <v>0.347930244060964</v>
      </c>
      <c r="H69" s="28" t="n">
        <f aca="false">ABS(E69-G69)</f>
        <v>0</v>
      </c>
      <c r="I69" s="15" t="n">
        <v>2</v>
      </c>
      <c r="J69" s="21" t="n">
        <f aca="false">(SUMPRODUCT(2_Matriz_decision!C69:Q69,5_Ponderada!$C$5:$Q$5)-1)/4</f>
        <v>0.366623711116202</v>
      </c>
      <c r="K69" s="15" t="n">
        <f aca="false">MIN(5,INT(J69/0.2)+1)</f>
        <v>2</v>
      </c>
      <c r="L69" s="21" t="n">
        <v>0.366623711116202</v>
      </c>
    </row>
    <row r="70" customFormat="false" ht="15" hidden="false" customHeight="false" outlineLevel="0" collapsed="false">
      <c r="A70" s="15" t="n">
        <f aca="false">2_Matriz_decision!A70</f>
        <v>66</v>
      </c>
      <c r="B70" s="16" t="n">
        <f aca="false">2_Matriz_decision!B70</f>
        <v>6.782</v>
      </c>
      <c r="C70" s="21" t="n">
        <f aca="false">SQRT(SUMXMY2(5_Ponderada!C73:Q73,5_Ponderada!$C$6:$Q$6))</f>
        <v>0.0198113381120908</v>
      </c>
      <c r="D70" s="21" t="n">
        <f aca="false">SQRT(SUMXMY2(5_Ponderada!C73:Q73,5_Ponderada!$C$7:$Q$7))</f>
        <v>0.00705429400160166</v>
      </c>
      <c r="E70" s="21" t="n">
        <f aca="false">D70/(C70+D70)</f>
        <v>0.262576885284092</v>
      </c>
      <c r="F70" s="15" t="n">
        <f aca="false">MIN(5,INT(E70/0.2)+1)</f>
        <v>2</v>
      </c>
      <c r="G70" s="21" t="n">
        <v>0.262576885284092</v>
      </c>
      <c r="H70" s="28" t="n">
        <f aca="false">ABS(E70-G70)</f>
        <v>0</v>
      </c>
      <c r="I70" s="15" t="n">
        <v>2</v>
      </c>
      <c r="J70" s="21" t="n">
        <f aca="false">(SUMPRODUCT(2_Matriz_decision!C70:Q70,5_Ponderada!$C$5:$Q$5)-1)/4</f>
        <v>0.24581338484248</v>
      </c>
      <c r="K70" s="15" t="n">
        <f aca="false">MIN(5,INT(J70/0.2)+1)</f>
        <v>2</v>
      </c>
      <c r="L70" s="21" t="n">
        <v>0.24581338484248</v>
      </c>
    </row>
    <row r="71" customFormat="false" ht="15" hidden="false" customHeight="false" outlineLevel="0" collapsed="false">
      <c r="A71" s="15" t="n">
        <f aca="false">2_Matriz_decision!A71</f>
        <v>67</v>
      </c>
      <c r="B71" s="16" t="n">
        <f aca="false">2_Matriz_decision!B71</f>
        <v>6.894</v>
      </c>
      <c r="C71" s="21" t="n">
        <f aca="false">SQRT(SUMXMY2(5_Ponderada!C74:Q74,5_Ponderada!$C$6:$Q$6))</f>
        <v>0.0198138628842565</v>
      </c>
      <c r="D71" s="21" t="n">
        <f aca="false">SQRT(SUMXMY2(5_Ponderada!C74:Q74,5_Ponderada!$C$7:$Q$7))</f>
        <v>0.00711223355845124</v>
      </c>
      <c r="E71" s="21" t="n">
        <f aca="false">D71/(C71+D71)</f>
        <v>0.264139050886354</v>
      </c>
      <c r="F71" s="15" t="n">
        <f aca="false">MIN(5,INT(E71/0.2)+1)</f>
        <v>2</v>
      </c>
      <c r="G71" s="21" t="n">
        <v>0.264139050886354</v>
      </c>
      <c r="H71" s="28" t="n">
        <f aca="false">ABS(E71-G71)</f>
        <v>0</v>
      </c>
      <c r="I71" s="15" t="n">
        <v>2</v>
      </c>
      <c r="J71" s="21" t="n">
        <f aca="false">(SUMPRODUCT(2_Matriz_decision!C71:Q71,5_Ponderada!$C$5:$Q$5)-1)/4</f>
        <v>0.255047240575709</v>
      </c>
      <c r="K71" s="15" t="n">
        <f aca="false">MIN(5,INT(J71/0.2)+1)</f>
        <v>2</v>
      </c>
      <c r="L71" s="21" t="n">
        <v>0.25504724057571</v>
      </c>
    </row>
    <row r="72" customFormat="false" ht="15" hidden="false" customHeight="false" outlineLevel="0" collapsed="false">
      <c r="A72" s="15" t="n">
        <f aca="false">2_Matriz_decision!A72</f>
        <v>68</v>
      </c>
      <c r="B72" s="16" t="n">
        <f aca="false">2_Matriz_decision!B72</f>
        <v>7.004</v>
      </c>
      <c r="C72" s="21" t="n">
        <f aca="false">SQRT(SUMXMY2(5_Ponderada!C75:Q75,5_Ponderada!$C$6:$Q$6))</f>
        <v>0.0198166631600959</v>
      </c>
      <c r="D72" s="21" t="n">
        <f aca="false">SQRT(SUMXMY2(5_Ponderada!C75:Q75,5_Ponderada!$C$7:$Q$7))</f>
        <v>0.00711141096409432</v>
      </c>
      <c r="E72" s="21" t="n">
        <f aca="false">D72/(C72+D72)</f>
        <v>0.264089103858562</v>
      </c>
      <c r="F72" s="15" t="n">
        <f aca="false">MIN(5,INT(E72/0.2)+1)</f>
        <v>2</v>
      </c>
      <c r="G72" s="21" t="n">
        <v>0.264089103858562</v>
      </c>
      <c r="H72" s="28" t="n">
        <f aca="false">ABS(E72-G72)</f>
        <v>0</v>
      </c>
      <c r="I72" s="15" t="n">
        <v>2</v>
      </c>
      <c r="J72" s="21" t="n">
        <f aca="false">(SUMPRODUCT(2_Matriz_decision!C72:Q72,5_Ponderada!$C$5:$Q$5)-1)/4</f>
        <v>0.254475413721755</v>
      </c>
      <c r="K72" s="15" t="n">
        <f aca="false">MIN(5,INT(J72/0.2)+1)</f>
        <v>2</v>
      </c>
      <c r="L72" s="21" t="n">
        <v>0.254475413721756</v>
      </c>
    </row>
    <row r="73" customFormat="false" ht="15" hidden="false" customHeight="false" outlineLevel="0" collapsed="false">
      <c r="A73" s="15" t="n">
        <f aca="false">2_Matriz_decision!A73</f>
        <v>69</v>
      </c>
      <c r="B73" s="16" t="n">
        <f aca="false">2_Matriz_decision!B73</f>
        <v>7.111</v>
      </c>
      <c r="C73" s="21" t="n">
        <f aca="false">SQRT(SUMXMY2(5_Ponderada!C76:Q76,5_Ponderada!$C$6:$Q$6))</f>
        <v>0.0198069070860713</v>
      </c>
      <c r="D73" s="21" t="n">
        <f aca="false">SQRT(SUMXMY2(5_Ponderada!C76:Q76,5_Ponderada!$C$7:$Q$7))</f>
        <v>0.00720056813180908</v>
      </c>
      <c r="E73" s="21" t="n">
        <f aca="false">D73/(C73+D73)</f>
        <v>0.266613893883792</v>
      </c>
      <c r="F73" s="15" t="n">
        <f aca="false">MIN(5,INT(E73/0.2)+1)</f>
        <v>2</v>
      </c>
      <c r="G73" s="21" t="n">
        <v>0.266613893883792</v>
      </c>
      <c r="H73" s="28" t="n">
        <f aca="false">ABS(E73-G73)</f>
        <v>0</v>
      </c>
      <c r="I73" s="15" t="n">
        <v>2</v>
      </c>
      <c r="J73" s="21" t="n">
        <f aca="false">(SUMPRODUCT(2_Matriz_decision!C73:Q73,5_Ponderada!$C$5:$Q$5)-1)/4</f>
        <v>0.267578250805005</v>
      </c>
      <c r="K73" s="15" t="n">
        <f aca="false">MIN(5,INT(J73/0.2)+1)</f>
        <v>2</v>
      </c>
      <c r="L73" s="21" t="n">
        <v>0.267578250805005</v>
      </c>
    </row>
    <row r="74" customFormat="false" ht="15" hidden="false" customHeight="false" outlineLevel="0" collapsed="false">
      <c r="A74" s="15" t="n">
        <f aca="false">2_Matriz_decision!A74</f>
        <v>70</v>
      </c>
      <c r="B74" s="16" t="n">
        <f aca="false">2_Matriz_decision!B74</f>
        <v>7.215</v>
      </c>
      <c r="C74" s="21" t="n">
        <f aca="false">SQRT(SUMXMY2(5_Ponderada!C77:Q77,5_Ponderada!$C$6:$Q$6))</f>
        <v>0.0197955464138925</v>
      </c>
      <c r="D74" s="21" t="n">
        <f aca="false">SQRT(SUMXMY2(5_Ponderada!C77:Q77,5_Ponderada!$C$7:$Q$7))</f>
        <v>0.00720605221185512</v>
      </c>
      <c r="E74" s="21" t="n">
        <f aca="false">D74/(C74+D74)</f>
        <v>0.266875021428684</v>
      </c>
      <c r="F74" s="15" t="n">
        <f aca="false">MIN(5,INT(E74/0.2)+1)</f>
        <v>2</v>
      </c>
      <c r="G74" s="21" t="n">
        <v>0.266875021428684</v>
      </c>
      <c r="H74" s="28" t="n">
        <f aca="false">ABS(E74-G74)</f>
        <v>0</v>
      </c>
      <c r="I74" s="15" t="n">
        <v>2</v>
      </c>
      <c r="J74" s="21" t="n">
        <f aca="false">(SUMPRODUCT(2_Matriz_decision!C74:Q74,5_Ponderada!$C$5:$Q$5)-1)/4</f>
        <v>0.27004366822451</v>
      </c>
      <c r="K74" s="15" t="n">
        <f aca="false">MIN(5,INT(J74/0.2)+1)</f>
        <v>2</v>
      </c>
      <c r="L74" s="21" t="n">
        <v>0.270043668224511</v>
      </c>
    </row>
    <row r="75" customFormat="false" ht="15" hidden="false" customHeight="false" outlineLevel="0" collapsed="false">
      <c r="A75" s="15" t="n">
        <f aca="false">2_Matriz_decision!A75</f>
        <v>71</v>
      </c>
      <c r="B75" s="16" t="n">
        <f aca="false">2_Matriz_decision!B75</f>
        <v>7.316</v>
      </c>
      <c r="C75" s="21" t="n">
        <f aca="false">SQRT(SUMXMY2(5_Ponderada!C78:Q78,5_Ponderada!$C$6:$Q$6))</f>
        <v>0.0197887595110404</v>
      </c>
      <c r="D75" s="21" t="n">
        <f aca="false">SQRT(SUMXMY2(5_Ponderada!C78:Q78,5_Ponderada!$C$7:$Q$7))</f>
        <v>0.00728641290784779</v>
      </c>
      <c r="E75" s="21" t="n">
        <f aca="false">D75/(C75+D75)</f>
        <v>0.269117876522354</v>
      </c>
      <c r="F75" s="15" t="n">
        <f aca="false">MIN(5,INT(E75/0.2)+1)</f>
        <v>2</v>
      </c>
      <c r="G75" s="21" t="n">
        <v>0.269117876522354</v>
      </c>
      <c r="H75" s="28" t="n">
        <f aca="false">ABS(E75-G75)</f>
        <v>0</v>
      </c>
      <c r="I75" s="15" t="n">
        <v>2</v>
      </c>
      <c r="J75" s="21" t="n">
        <f aca="false">(SUMPRODUCT(2_Matriz_decision!C75:Q75,5_Ponderada!$C$5:$Q$5)-1)/4</f>
        <v>0.280862057542363</v>
      </c>
      <c r="K75" s="15" t="n">
        <f aca="false">MIN(5,INT(J75/0.2)+1)</f>
        <v>2</v>
      </c>
      <c r="L75" s="21" t="n">
        <v>0.280862057542364</v>
      </c>
    </row>
    <row r="76" customFormat="false" ht="15" hidden="false" customHeight="false" outlineLevel="0" collapsed="false">
      <c r="A76" s="15" t="n">
        <f aca="false">2_Matriz_decision!A76</f>
        <v>72</v>
      </c>
      <c r="B76" s="16" t="n">
        <f aca="false">2_Matriz_decision!B76</f>
        <v>7.416</v>
      </c>
      <c r="C76" s="21" t="n">
        <f aca="false">SQRT(SUMXMY2(5_Ponderada!C79:Q79,5_Ponderada!$C$6:$Q$6))</f>
        <v>0.0197722733225224</v>
      </c>
      <c r="D76" s="21" t="n">
        <f aca="false">SQRT(SUMXMY2(5_Ponderada!C79:Q79,5_Ponderada!$C$7:$Q$7))</f>
        <v>0.00730153524486145</v>
      </c>
      <c r="E76" s="21" t="n">
        <f aca="false">D76/(C76+D76)</f>
        <v>0.269689993067975</v>
      </c>
      <c r="F76" s="15" t="n">
        <f aca="false">MIN(5,INT(E76/0.2)+1)</f>
        <v>2</v>
      </c>
      <c r="G76" s="21" t="n">
        <v>0.269689993067975</v>
      </c>
      <c r="H76" s="28" t="n">
        <f aca="false">ABS(E76-G76)</f>
        <v>0</v>
      </c>
      <c r="I76" s="15" t="n">
        <v>2</v>
      </c>
      <c r="J76" s="21" t="n">
        <f aca="false">(SUMPRODUCT(2_Matriz_decision!C76:Q76,5_Ponderada!$C$5:$Q$5)-1)/4</f>
        <v>0.284930464995084</v>
      </c>
      <c r="K76" s="15" t="n">
        <f aca="false">MIN(5,INT(J76/0.2)+1)</f>
        <v>2</v>
      </c>
      <c r="L76" s="21" t="n">
        <v>0.284930464995084</v>
      </c>
    </row>
    <row r="77" customFormat="false" ht="15" hidden="false" customHeight="false" outlineLevel="0" collapsed="false">
      <c r="A77" s="15" t="n">
        <f aca="false">2_Matriz_decision!A77</f>
        <v>73</v>
      </c>
      <c r="B77" s="16" t="n">
        <f aca="false">2_Matriz_decision!B77</f>
        <v>7.515</v>
      </c>
      <c r="C77" s="21" t="n">
        <f aca="false">SQRT(SUMXMY2(5_Ponderada!C80:Q80,5_Ponderada!$C$6:$Q$6))</f>
        <v>0.0197663986371034</v>
      </c>
      <c r="D77" s="21" t="n">
        <f aca="false">SQRT(SUMXMY2(5_Ponderada!C80:Q80,5_Ponderada!$C$7:$Q$7))</f>
        <v>0.00730931239778214</v>
      </c>
      <c r="E77" s="21" t="n">
        <f aca="false">D77/(C77+D77)</f>
        <v>0.269958280628882</v>
      </c>
      <c r="F77" s="15" t="n">
        <f aca="false">MIN(5,INT(E77/0.2)+1)</f>
        <v>2</v>
      </c>
      <c r="G77" s="21" t="n">
        <v>0.269958280628882</v>
      </c>
      <c r="H77" s="28" t="n">
        <f aca="false">ABS(E77-G77)</f>
        <v>0</v>
      </c>
      <c r="I77" s="15" t="n">
        <v>2</v>
      </c>
      <c r="J77" s="21" t="n">
        <f aca="false">(SUMPRODUCT(2_Matriz_decision!C77:Q77,5_Ponderada!$C$5:$Q$5)-1)/4</f>
        <v>0.286542829239019</v>
      </c>
      <c r="K77" s="15" t="n">
        <f aca="false">MIN(5,INT(J77/0.2)+1)</f>
        <v>2</v>
      </c>
      <c r="L77" s="21" t="n">
        <v>0.286542829239019</v>
      </c>
    </row>
    <row r="78" customFormat="false" ht="15" hidden="false" customHeight="false" outlineLevel="0" collapsed="false">
      <c r="A78" s="15" t="n">
        <f aca="false">2_Matriz_decision!A78</f>
        <v>74</v>
      </c>
      <c r="B78" s="16" t="n">
        <f aca="false">2_Matriz_decision!B78</f>
        <v>7.616</v>
      </c>
      <c r="C78" s="21" t="n">
        <f aca="false">SQRT(SUMXMY2(5_Ponderada!C81:Q81,5_Ponderada!$C$6:$Q$6))</f>
        <v>0.018238250362317</v>
      </c>
      <c r="D78" s="21" t="n">
        <f aca="false">SQRT(SUMXMY2(5_Ponderada!C81:Q81,5_Ponderada!$C$7:$Q$7))</f>
        <v>0.00785549105143332</v>
      </c>
      <c r="E78" s="21" t="n">
        <f aca="false">D78/(C78+D78)</f>
        <v>0.30104885791862</v>
      </c>
      <c r="F78" s="15" t="n">
        <f aca="false">MIN(5,INT(E78/0.2)+1)</f>
        <v>2</v>
      </c>
      <c r="G78" s="21" t="n">
        <v>0.30104885791862</v>
      </c>
      <c r="H78" s="28" t="n">
        <f aca="false">ABS(E78-G78)</f>
        <v>0</v>
      </c>
      <c r="I78" s="15" t="n">
        <v>2</v>
      </c>
      <c r="J78" s="21" t="n">
        <f aca="false">(SUMPRODUCT(2_Matriz_decision!C78:Q78,5_Ponderada!$C$5:$Q$5)-1)/4</f>
        <v>0.342650687258145</v>
      </c>
      <c r="K78" s="15" t="n">
        <f aca="false">MIN(5,INT(J78/0.2)+1)</f>
        <v>2</v>
      </c>
      <c r="L78" s="21" t="n">
        <v>0.342650687258145</v>
      </c>
    </row>
    <row r="79" customFormat="false" ht="15" hidden="false" customHeight="false" outlineLevel="0" collapsed="false">
      <c r="A79" s="15" t="n">
        <f aca="false">2_Matriz_decision!A79</f>
        <v>75</v>
      </c>
      <c r="B79" s="16" t="n">
        <f aca="false">2_Matriz_decision!B79</f>
        <v>7.718</v>
      </c>
      <c r="C79" s="21" t="n">
        <f aca="false">SQRT(SUMXMY2(5_Ponderada!C82:Q82,5_Ponderada!$C$6:$Q$6))</f>
        <v>0.0153815425907657</v>
      </c>
      <c r="D79" s="21" t="n">
        <f aca="false">SQRT(SUMXMY2(5_Ponderada!C82:Q82,5_Ponderada!$C$7:$Q$7))</f>
        <v>0.00974897473906268</v>
      </c>
      <c r="E79" s="21" t="n">
        <f aca="false">D79/(C79+D79)</f>
        <v>0.387933706700549</v>
      </c>
      <c r="F79" s="15" t="n">
        <f aca="false">MIN(5,INT(E79/0.2)+1)</f>
        <v>2</v>
      </c>
      <c r="G79" s="21" t="n">
        <v>0.387933706700549</v>
      </c>
      <c r="H79" s="28" t="n">
        <f aca="false">ABS(E79-G79)</f>
        <v>0</v>
      </c>
      <c r="I79" s="15" t="n">
        <v>2</v>
      </c>
      <c r="J79" s="21" t="n">
        <f aca="false">(SUMPRODUCT(2_Matriz_decision!C79:Q79,5_Ponderada!$C$5:$Q$5)-1)/4</f>
        <v>0.450516427003756</v>
      </c>
      <c r="K79" s="15" t="n">
        <f aca="false">MIN(5,INT(J79/0.2)+1)</f>
        <v>3</v>
      </c>
      <c r="L79" s="21" t="n">
        <v>0.450516427003757</v>
      </c>
    </row>
    <row r="80" customFormat="false" ht="15" hidden="false" customHeight="false" outlineLevel="0" collapsed="false">
      <c r="A80" s="15" t="n">
        <f aca="false">2_Matriz_decision!A80</f>
        <v>76</v>
      </c>
      <c r="B80" s="16" t="n">
        <f aca="false">2_Matriz_decision!B80</f>
        <v>7.821</v>
      </c>
      <c r="C80" s="21" t="n">
        <f aca="false">SQRT(SUMXMY2(5_Ponderada!C83:Q83,5_Ponderada!$C$6:$Q$6))</f>
        <v>0.0140506457026605</v>
      </c>
      <c r="D80" s="21" t="n">
        <f aca="false">SQRT(SUMXMY2(5_Ponderada!C83:Q83,5_Ponderada!$C$7:$Q$7))</f>
        <v>0.0108895280947261</v>
      </c>
      <c r="E80" s="21" t="n">
        <f aca="false">D80/(C80+D80)</f>
        <v>0.436625990788693</v>
      </c>
      <c r="F80" s="15" t="n">
        <f aca="false">MIN(5,INT(E80/0.2)+1)</f>
        <v>3</v>
      </c>
      <c r="G80" s="21" t="n">
        <v>0.436625990788693</v>
      </c>
      <c r="H80" s="28" t="n">
        <f aca="false">ABS(E80-G80)</f>
        <v>0</v>
      </c>
      <c r="I80" s="15" t="n">
        <v>3</v>
      </c>
      <c r="J80" s="21" t="n">
        <f aca="false">(SUMPRODUCT(2_Matriz_decision!C80:Q80,5_Ponderada!$C$5:$Q$5)-1)/4</f>
        <v>0.495832739760799</v>
      </c>
      <c r="K80" s="15" t="n">
        <f aca="false">MIN(5,INT(J80/0.2)+1)</f>
        <v>3</v>
      </c>
      <c r="L80" s="21" t="n">
        <v>0.495832739760799</v>
      </c>
    </row>
    <row r="81" customFormat="false" ht="15" hidden="false" customHeight="false" outlineLevel="0" collapsed="false">
      <c r="A81" s="15" t="n">
        <f aca="false">2_Matriz_decision!A81</f>
        <v>77</v>
      </c>
      <c r="B81" s="16" t="n">
        <f aca="false">2_Matriz_decision!B81</f>
        <v>7.924</v>
      </c>
      <c r="C81" s="21" t="n">
        <f aca="false">SQRT(SUMXMY2(5_Ponderada!C84:Q84,5_Ponderada!$C$6:$Q$6))</f>
        <v>0.0131755575777387</v>
      </c>
      <c r="D81" s="21" t="n">
        <f aca="false">SQRT(SUMXMY2(5_Ponderada!C84:Q84,5_Ponderada!$C$7:$Q$7))</f>
        <v>0.0125711203371993</v>
      </c>
      <c r="E81" s="21" t="n">
        <f aca="false">D81/(C81+D81)</f>
        <v>0.488261840177279</v>
      </c>
      <c r="F81" s="15" t="n">
        <f aca="false">MIN(5,INT(E81/0.2)+1)</f>
        <v>3</v>
      </c>
      <c r="G81" s="21" t="n">
        <v>0.488261840177278</v>
      </c>
      <c r="H81" s="28" t="n">
        <f aca="false">ABS(E81-G81)</f>
        <v>0</v>
      </c>
      <c r="I81" s="15" t="n">
        <v>3</v>
      </c>
      <c r="J81" s="21" t="n">
        <f aca="false">(SUMPRODUCT(2_Matriz_decision!C81:Q81,5_Ponderada!$C$5:$Q$5)-1)/4</f>
        <v>0.53421267103012</v>
      </c>
      <c r="K81" s="15" t="n">
        <f aca="false">MIN(5,INT(J81/0.2)+1)</f>
        <v>3</v>
      </c>
      <c r="L81" s="21" t="n">
        <v>0.53421267103012</v>
      </c>
    </row>
    <row r="82" customFormat="false" ht="15" hidden="false" customHeight="false" outlineLevel="0" collapsed="false">
      <c r="A82" s="15" t="n">
        <f aca="false">2_Matriz_decision!A82</f>
        <v>78</v>
      </c>
      <c r="B82" s="16" t="n">
        <f aca="false">2_Matriz_decision!B82</f>
        <v>8.026</v>
      </c>
      <c r="C82" s="21" t="n">
        <f aca="false">SQRT(SUMXMY2(5_Ponderada!C85:Q85,5_Ponderada!$C$6:$Q$6))</f>
        <v>0.0172310251419637</v>
      </c>
      <c r="D82" s="21" t="n">
        <f aca="false">SQRT(SUMXMY2(5_Ponderada!C85:Q85,5_Ponderada!$C$7:$Q$7))</f>
        <v>0.00912416350432585</v>
      </c>
      <c r="E82" s="21" t="n">
        <f aca="false">D82/(C82+D82)</f>
        <v>0.346199893568601</v>
      </c>
      <c r="F82" s="15" t="n">
        <f aca="false">MIN(5,INT(E82/0.2)+1)</f>
        <v>2</v>
      </c>
      <c r="G82" s="21" t="n">
        <v>0.346199893568601</v>
      </c>
      <c r="H82" s="28" t="n">
        <f aca="false">ABS(E82-G82)</f>
        <v>0</v>
      </c>
      <c r="I82" s="15" t="n">
        <v>2</v>
      </c>
      <c r="J82" s="21" t="n">
        <f aca="false">(SUMPRODUCT(2_Matriz_decision!C82:Q82,5_Ponderada!$C$5:$Q$5)-1)/4</f>
        <v>0.361848278780939</v>
      </c>
      <c r="K82" s="15" t="n">
        <f aca="false">MIN(5,INT(J82/0.2)+1)</f>
        <v>2</v>
      </c>
      <c r="L82" s="21" t="n">
        <v>0.36184827878094</v>
      </c>
    </row>
    <row r="83" customFormat="false" ht="15" hidden="false" customHeight="false" outlineLevel="0" collapsed="false">
      <c r="A83" s="15" t="n">
        <f aca="false">2_Matriz_decision!A83</f>
        <v>79</v>
      </c>
      <c r="B83" s="16" t="n">
        <f aca="false">2_Matriz_decision!B83</f>
        <v>8.125</v>
      </c>
      <c r="C83" s="21" t="n">
        <f aca="false">SQRT(SUMXMY2(5_Ponderada!C86:Q86,5_Ponderada!$C$6:$Q$6))</f>
        <v>0.0197766293250859</v>
      </c>
      <c r="D83" s="21" t="n">
        <f aca="false">SQRT(SUMXMY2(5_Ponderada!C86:Q86,5_Ponderada!$C$7:$Q$7))</f>
        <v>0.00719769213539992</v>
      </c>
      <c r="E83" s="21" t="n">
        <f aca="false">D83/(C83+D83)</f>
        <v>0.266834965466831</v>
      </c>
      <c r="F83" s="15" t="n">
        <f aca="false">MIN(5,INT(E83/0.2)+1)</f>
        <v>2</v>
      </c>
      <c r="G83" s="21" t="n">
        <v>0.266834965466831</v>
      </c>
      <c r="H83" s="28" t="n">
        <f aca="false">ABS(E83-G83)</f>
        <v>0</v>
      </c>
      <c r="I83" s="15" t="n">
        <v>2</v>
      </c>
      <c r="J83" s="21" t="n">
        <f aca="false">(SUMPRODUCT(2_Matriz_decision!C83:Q83,5_Ponderada!$C$5:$Q$5)-1)/4</f>
        <v>0.270926566968686</v>
      </c>
      <c r="K83" s="15" t="n">
        <f aca="false">MIN(5,INT(J83/0.2)+1)</f>
        <v>2</v>
      </c>
      <c r="L83" s="21" t="n">
        <v>0.270926566968687</v>
      </c>
    </row>
    <row r="84" customFormat="false" ht="15" hidden="false" customHeight="false" outlineLevel="0" collapsed="false">
      <c r="A84" s="15" t="n">
        <f aca="false">2_Matriz_decision!A84</f>
        <v>80</v>
      </c>
      <c r="B84" s="16" t="n">
        <f aca="false">2_Matriz_decision!B84</f>
        <v>8.223</v>
      </c>
      <c r="C84" s="21" t="n">
        <f aca="false">SQRT(SUMXMY2(5_Ponderada!C87:Q87,5_Ponderada!$C$6:$Q$6))</f>
        <v>0.0197910900946913</v>
      </c>
      <c r="D84" s="21" t="n">
        <f aca="false">SQRT(SUMXMY2(5_Ponderada!C87:Q87,5_Ponderada!$C$7:$Q$7))</f>
        <v>0.00712198780242951</v>
      </c>
      <c r="E84" s="21" t="n">
        <f aca="false">D84/(C84+D84)</f>
        <v>0.264629256811664</v>
      </c>
      <c r="F84" s="15" t="n">
        <f aca="false">MIN(5,INT(E84/0.2)+1)</f>
        <v>2</v>
      </c>
      <c r="G84" s="21" t="n">
        <v>0.264629256811664</v>
      </c>
      <c r="H84" s="28" t="n">
        <f aca="false">ABS(E84-G84)</f>
        <v>0</v>
      </c>
      <c r="I84" s="15" t="n">
        <v>2</v>
      </c>
      <c r="J84" s="21" t="n">
        <f aca="false">(SUMPRODUCT(2_Matriz_decision!C84:Q84,5_Ponderada!$C$5:$Q$5)-1)/4</f>
        <v>0.259235521975899</v>
      </c>
      <c r="K84" s="15" t="n">
        <f aca="false">MIN(5,INT(J84/0.2)+1)</f>
        <v>2</v>
      </c>
      <c r="L84" s="21" t="n">
        <v>0.2592355219759</v>
      </c>
    </row>
    <row r="85" customFormat="false" ht="15" hidden="false" customHeight="false" outlineLevel="0" collapsed="false">
      <c r="A85" s="15" t="n">
        <f aca="false">2_Matriz_decision!A85</f>
        <v>81</v>
      </c>
      <c r="B85" s="16" t="n">
        <f aca="false">2_Matriz_decision!B85</f>
        <v>8.319</v>
      </c>
      <c r="C85" s="21" t="n">
        <f aca="false">SQRT(SUMXMY2(5_Ponderada!C88:Q88,5_Ponderada!$C$6:$Q$6))</f>
        <v>0.0198205286224424</v>
      </c>
      <c r="D85" s="21" t="n">
        <f aca="false">SQRT(SUMXMY2(5_Ponderada!C88:Q88,5_Ponderada!$C$7:$Q$7))</f>
        <v>0.00715483810208982</v>
      </c>
      <c r="E85" s="21" t="n">
        <f aca="false">D85/(C85+D85)</f>
        <v>0.265235990122166</v>
      </c>
      <c r="F85" s="15" t="n">
        <f aca="false">MIN(5,INT(E85/0.2)+1)</f>
        <v>2</v>
      </c>
      <c r="G85" s="21" t="n">
        <v>0.265235990122166</v>
      </c>
      <c r="H85" s="28" t="n">
        <f aca="false">ABS(E85-G85)</f>
        <v>0</v>
      </c>
      <c r="I85" s="15" t="n">
        <v>2</v>
      </c>
      <c r="J85" s="21" t="n">
        <f aca="false">(SUMPRODUCT(2_Matriz_decision!C85:Q85,5_Ponderada!$C$5:$Q$5)-1)/4</f>
        <v>0.257228897102634</v>
      </c>
      <c r="K85" s="15" t="n">
        <f aca="false">MIN(5,INT(J85/0.2)+1)</f>
        <v>2</v>
      </c>
      <c r="L85" s="21" t="n">
        <v>0.257228897102634</v>
      </c>
    </row>
    <row r="86" customFormat="false" ht="15" hidden="false" customHeight="false" outlineLevel="0" collapsed="false">
      <c r="A86" s="15" t="n">
        <f aca="false">2_Matriz_decision!A86</f>
        <v>82</v>
      </c>
      <c r="B86" s="16" t="n">
        <f aca="false">2_Matriz_decision!B86</f>
        <v>8.413</v>
      </c>
      <c r="C86" s="21" t="n">
        <f aca="false">SQRT(SUMXMY2(5_Ponderada!C89:Q89,5_Ponderada!$C$6:$Q$6))</f>
        <v>0.0198021055275376</v>
      </c>
      <c r="D86" s="21" t="n">
        <f aca="false">SQRT(SUMXMY2(5_Ponderada!C89:Q89,5_Ponderada!$C$7:$Q$7))</f>
        <v>0.00717273981509277</v>
      </c>
      <c r="E86" s="21" t="n">
        <f aca="false">D86/(C86+D86)</f>
        <v>0.265904761417007</v>
      </c>
      <c r="F86" s="15" t="n">
        <f aca="false">MIN(5,INT(E86/0.2)+1)</f>
        <v>2</v>
      </c>
      <c r="G86" s="21" t="n">
        <v>0.265904761417007</v>
      </c>
      <c r="H86" s="28" t="n">
        <f aca="false">ABS(E86-G86)</f>
        <v>0</v>
      </c>
      <c r="I86" s="15" t="n">
        <v>2</v>
      </c>
      <c r="J86" s="21" t="n">
        <f aca="false">(SUMPRODUCT(2_Matriz_decision!C86:Q86,5_Ponderada!$C$5:$Q$5)-1)/4</f>
        <v>0.261836284048808</v>
      </c>
      <c r="K86" s="15" t="n">
        <f aca="false">MIN(5,INT(J86/0.2)+1)</f>
        <v>2</v>
      </c>
      <c r="L86" s="21" t="n">
        <v>0.261836284048808</v>
      </c>
    </row>
    <row r="87" customFormat="false" ht="15" hidden="false" customHeight="false" outlineLevel="0" collapsed="false">
      <c r="A87" s="15" t="n">
        <f aca="false">2_Matriz_decision!A87</f>
        <v>83</v>
      </c>
      <c r="B87" s="16" t="n">
        <f aca="false">2_Matriz_decision!B87</f>
        <v>8.508</v>
      </c>
      <c r="C87" s="21" t="n">
        <f aca="false">SQRT(SUMXMY2(5_Ponderada!C90:Q90,5_Ponderada!$C$6:$Q$6))</f>
        <v>0.0198012130019105</v>
      </c>
      <c r="D87" s="21" t="n">
        <f aca="false">SQRT(SUMXMY2(5_Ponderada!C90:Q90,5_Ponderada!$C$7:$Q$7))</f>
        <v>0.00717392067877747</v>
      </c>
      <c r="E87" s="21" t="n">
        <f aca="false">D87/(C87+D87)</f>
        <v>0.265945695161223</v>
      </c>
      <c r="F87" s="15" t="n">
        <f aca="false">MIN(5,INT(E87/0.2)+1)</f>
        <v>2</v>
      </c>
      <c r="G87" s="21" t="n">
        <v>0.265945695161223</v>
      </c>
      <c r="H87" s="28" t="n">
        <f aca="false">ABS(E87-G87)</f>
        <v>0</v>
      </c>
      <c r="I87" s="15" t="n">
        <v>2</v>
      </c>
      <c r="J87" s="21" t="n">
        <f aca="false">(SUMPRODUCT(2_Matriz_decision!C87:Q87,5_Ponderada!$C$5:$Q$5)-1)/4</f>
        <v>0.262080013527542</v>
      </c>
      <c r="K87" s="15" t="n">
        <f aca="false">MIN(5,INT(J87/0.2)+1)</f>
        <v>2</v>
      </c>
      <c r="L87" s="21" t="n">
        <v>0.262080013527542</v>
      </c>
    </row>
    <row r="88" customFormat="false" ht="15" hidden="false" customHeight="false" outlineLevel="0" collapsed="false">
      <c r="A88" s="15" t="n">
        <f aca="false">2_Matriz_decision!A88</f>
        <v>84</v>
      </c>
      <c r="B88" s="16" t="n">
        <f aca="false">2_Matriz_decision!B88</f>
        <v>8.604</v>
      </c>
      <c r="C88" s="21" t="n">
        <f aca="false">SQRT(SUMXMY2(5_Ponderada!C91:Q91,5_Ponderada!$C$6:$Q$6))</f>
        <v>0.0198019332246277</v>
      </c>
      <c r="D88" s="21" t="n">
        <f aca="false">SQRT(SUMXMY2(5_Ponderada!C91:Q91,5_Ponderada!$C$7:$Q$7))</f>
        <v>0.00717296507942445</v>
      </c>
      <c r="E88" s="21" t="n">
        <f aca="false">D88/(C88+D88)</f>
        <v>0.26591259023753</v>
      </c>
      <c r="F88" s="15" t="n">
        <f aca="false">MIN(5,INT(E88/0.2)+1)</f>
        <v>2</v>
      </c>
      <c r="G88" s="21" t="n">
        <v>0.26591259023753</v>
      </c>
      <c r="H88" s="28" t="n">
        <f aca="false">ABS(E88-G88)</f>
        <v>0</v>
      </c>
      <c r="I88" s="15" t="n">
        <v>2</v>
      </c>
      <c r="J88" s="21" t="n">
        <f aca="false">(SUMPRODUCT(2_Matriz_decision!C88:Q88,5_Ponderada!$C$5:$Q$5)-1)/4</f>
        <v>0.26188315510241</v>
      </c>
      <c r="K88" s="15" t="n">
        <f aca="false">MIN(5,INT(J88/0.2)+1)</f>
        <v>2</v>
      </c>
      <c r="L88" s="21" t="n">
        <v>0.261883155102411</v>
      </c>
    </row>
    <row r="89" customFormat="false" ht="15" hidden="false" customHeight="false" outlineLevel="0" collapsed="false">
      <c r="A89" s="15" t="n">
        <f aca="false">2_Matriz_decision!A89</f>
        <v>85</v>
      </c>
      <c r="B89" s="16" t="n">
        <f aca="false">2_Matriz_decision!B89</f>
        <v>8.703</v>
      </c>
      <c r="C89" s="21" t="n">
        <f aca="false">SQRT(SUMXMY2(5_Ponderada!C92:Q92,5_Ponderada!$C$6:$Q$6))</f>
        <v>0.0198065879041371</v>
      </c>
      <c r="D89" s="21" t="n">
        <f aca="false">SQRT(SUMXMY2(5_Ponderada!C92:Q92,5_Ponderada!$C$7:$Q$7))</f>
        <v>0.00716730972403467</v>
      </c>
      <c r="E89" s="21" t="n">
        <f aca="false">D89/(C89+D89)</f>
        <v>0.265712794748248</v>
      </c>
      <c r="F89" s="15" t="n">
        <f aca="false">MIN(5,INT(E89/0.2)+1)</f>
        <v>2</v>
      </c>
      <c r="G89" s="21" t="n">
        <v>0.265712794748248</v>
      </c>
      <c r="H89" s="28" t="n">
        <f aca="false">ABS(E89-G89)</f>
        <v>0</v>
      </c>
      <c r="I89" s="15" t="n">
        <v>2</v>
      </c>
      <c r="J89" s="21" t="n">
        <f aca="false">(SUMPRODUCT(2_Matriz_decision!C89:Q89,5_Ponderada!$C$5:$Q$5)-1)/4</f>
        <v>0.260645759287297</v>
      </c>
      <c r="K89" s="15" t="n">
        <f aca="false">MIN(5,INT(J89/0.2)+1)</f>
        <v>2</v>
      </c>
      <c r="L89" s="21" t="n">
        <v>0.260645759287298</v>
      </c>
    </row>
    <row r="90" customFormat="false" ht="15" hidden="false" customHeight="false" outlineLevel="0" collapsed="false">
      <c r="A90" s="15" t="n">
        <f aca="false">2_Matriz_decision!A90</f>
        <v>86</v>
      </c>
      <c r="B90" s="16" t="n">
        <f aca="false">2_Matriz_decision!B90</f>
        <v>8.803</v>
      </c>
      <c r="C90" s="21" t="n">
        <f aca="false">SQRT(SUMXMY2(5_Ponderada!C93:Q93,5_Ponderada!$C$6:$Q$6))</f>
        <v>0.0198283581349997</v>
      </c>
      <c r="D90" s="21" t="n">
        <f aca="false">SQRT(SUMXMY2(5_Ponderada!C93:Q93,5_Ponderada!$C$7:$Q$7))</f>
        <v>0.00701954980935499</v>
      </c>
      <c r="E90" s="21" t="n">
        <f aca="false">D90/(C90+D90)</f>
        <v>0.26145611881208</v>
      </c>
      <c r="F90" s="15" t="n">
        <f aca="false">MIN(5,INT(E90/0.2)+1)</f>
        <v>2</v>
      </c>
      <c r="G90" s="21" t="n">
        <v>0.26145611881208</v>
      </c>
      <c r="H90" s="28" t="n">
        <f aca="false">ABS(E90-G90)</f>
        <v>0</v>
      </c>
      <c r="I90" s="15" t="n">
        <v>2</v>
      </c>
      <c r="J90" s="21" t="n">
        <f aca="false">(SUMPRODUCT(2_Matriz_decision!C90:Q90,5_Ponderada!$C$5:$Q$5)-1)/4</f>
        <v>0.237361979215193</v>
      </c>
      <c r="K90" s="15" t="n">
        <f aca="false">MIN(5,INT(J90/0.2)+1)</f>
        <v>2</v>
      </c>
      <c r="L90" s="21" t="n">
        <v>0.237361979215193</v>
      </c>
    </row>
    <row r="91" customFormat="false" ht="15" hidden="false" customHeight="false" outlineLevel="0" collapsed="false">
      <c r="A91" s="15" t="n">
        <f aca="false">2_Matriz_decision!A91</f>
        <v>87</v>
      </c>
      <c r="B91" s="16" t="n">
        <f aca="false">2_Matriz_decision!B91</f>
        <v>8.906</v>
      </c>
      <c r="C91" s="21" t="n">
        <f aca="false">SQRT(SUMXMY2(5_Ponderada!C94:Q94,5_Ponderada!$C$6:$Q$6))</f>
        <v>0.0198447511202134</v>
      </c>
      <c r="D91" s="21" t="n">
        <f aca="false">SQRT(SUMXMY2(5_Ponderada!C94:Q94,5_Ponderada!$C$7:$Q$7))</f>
        <v>0.00695749199613648</v>
      </c>
      <c r="E91" s="21" t="n">
        <f aca="false">D91/(C91+D91)</f>
        <v>0.25958618336285</v>
      </c>
      <c r="F91" s="15" t="n">
        <f aca="false">MIN(5,INT(E91/0.2)+1)</f>
        <v>2</v>
      </c>
      <c r="G91" s="21" t="n">
        <v>0.25958618336285</v>
      </c>
      <c r="H91" s="28" t="n">
        <f aca="false">ABS(E91-G91)</f>
        <v>0</v>
      </c>
      <c r="I91" s="15" t="n">
        <v>2</v>
      </c>
      <c r="J91" s="21" t="n">
        <f aca="false">(SUMPRODUCT(2_Matriz_decision!C91:Q91,5_Ponderada!$C$5:$Q$5)-1)/4</f>
        <v>0.226149873047077</v>
      </c>
      <c r="K91" s="15" t="n">
        <f aca="false">MIN(5,INT(J91/0.2)+1)</f>
        <v>2</v>
      </c>
      <c r="L91" s="21" t="n">
        <v>0.226149873047077</v>
      </c>
    </row>
    <row r="92" customFormat="false" ht="15" hidden="false" customHeight="false" outlineLevel="0" collapsed="false">
      <c r="A92" s="15" t="n">
        <f aca="false">2_Matriz_decision!A92</f>
        <v>88</v>
      </c>
      <c r="B92" s="16" t="n">
        <f aca="false">2_Matriz_decision!B92</f>
        <v>9.011</v>
      </c>
      <c r="C92" s="21" t="n">
        <f aca="false">SQRT(SUMXMY2(5_Ponderada!C95:Q95,5_Ponderada!$C$6:$Q$6))</f>
        <v>0.0198241014839391</v>
      </c>
      <c r="D92" s="21" t="n">
        <f aca="false">SQRT(SUMXMY2(5_Ponderada!C95:Q95,5_Ponderada!$C$7:$Q$7))</f>
        <v>0.00707516522029503</v>
      </c>
      <c r="E92" s="21" t="n">
        <f aca="false">D92/(C92+D92)</f>
        <v>0.263024464498928</v>
      </c>
      <c r="F92" s="15" t="n">
        <f aca="false">MIN(5,INT(E92/0.2)+1)</f>
        <v>2</v>
      </c>
      <c r="G92" s="21" t="n">
        <v>0.263024464498928</v>
      </c>
      <c r="H92" s="28" t="n">
        <f aca="false">ABS(E92-G92)</f>
        <v>0</v>
      </c>
      <c r="I92" s="15" t="n">
        <v>2</v>
      </c>
      <c r="J92" s="21" t="n">
        <f aca="false">(SUMPRODUCT(2_Matriz_decision!C92:Q92,5_Ponderada!$C$5:$Q$5)-1)/4</f>
        <v>0.247155719914086</v>
      </c>
      <c r="K92" s="15" t="n">
        <f aca="false">MIN(5,INT(J92/0.2)+1)</f>
        <v>2</v>
      </c>
      <c r="L92" s="21" t="n">
        <v>0.247155719914087</v>
      </c>
    </row>
    <row r="93" customFormat="false" ht="15" hidden="false" customHeight="false" outlineLevel="0" collapsed="false">
      <c r="A93" s="15" t="n">
        <f aca="false">2_Matriz_decision!A93</f>
        <v>89</v>
      </c>
      <c r="B93" s="16" t="n">
        <f aca="false">2_Matriz_decision!B93</f>
        <v>9.116</v>
      </c>
      <c r="C93" s="21" t="n">
        <f aca="false">SQRT(SUMXMY2(5_Ponderada!C96:Q96,5_Ponderada!$C$6:$Q$6))</f>
        <v>0.0198288425761247</v>
      </c>
      <c r="D93" s="21" t="n">
        <f aca="false">SQRT(SUMXMY2(5_Ponderada!C96:Q96,5_Ponderada!$C$7:$Q$7))</f>
        <v>0.00707210615181436</v>
      </c>
      <c r="E93" s="21" t="n">
        <f aca="false">D93/(C93+D93)</f>
        <v>0.262894302477493</v>
      </c>
      <c r="F93" s="15" t="n">
        <f aca="false">MIN(5,INT(E93/0.2)+1)</f>
        <v>2</v>
      </c>
      <c r="G93" s="21" t="n">
        <v>0.262894302477493</v>
      </c>
      <c r="H93" s="28" t="n">
        <f aca="false">ABS(E93-G93)</f>
        <v>0</v>
      </c>
      <c r="I93" s="15" t="n">
        <v>2</v>
      </c>
      <c r="J93" s="21" t="n">
        <f aca="false">(SUMPRODUCT(2_Matriz_decision!C93:Q93,5_Ponderada!$C$5:$Q$5)-1)/4</f>
        <v>0.246077685681223</v>
      </c>
      <c r="K93" s="15" t="n">
        <f aca="false">MIN(5,INT(J93/0.2)+1)</f>
        <v>2</v>
      </c>
      <c r="L93" s="21" t="n">
        <v>0.246077685681223</v>
      </c>
    </row>
    <row r="94" customFormat="false" ht="15" hidden="false" customHeight="false" outlineLevel="0" collapsed="false">
      <c r="A94" s="15" t="n">
        <f aca="false">2_Matriz_decision!A94</f>
        <v>90</v>
      </c>
      <c r="B94" s="16" t="n">
        <f aca="false">2_Matriz_decision!B94</f>
        <v>9.222</v>
      </c>
      <c r="C94" s="21" t="n">
        <f aca="false">SQRT(SUMXMY2(5_Ponderada!C97:Q97,5_Ponderada!$C$6:$Q$6))</f>
        <v>0.0198306156179704</v>
      </c>
      <c r="D94" s="21" t="n">
        <f aca="false">SQRT(SUMXMY2(5_Ponderada!C97:Q97,5_Ponderada!$C$7:$Q$7))</f>
        <v>0.00707110581032547</v>
      </c>
      <c r="E94" s="21" t="n">
        <f aca="false">D94/(C94+D94)</f>
        <v>0.262849566306486</v>
      </c>
      <c r="F94" s="15" t="n">
        <f aca="false">MIN(5,INT(E94/0.2)+1)</f>
        <v>2</v>
      </c>
      <c r="G94" s="21" t="n">
        <v>0.262849566306486</v>
      </c>
      <c r="H94" s="28" t="n">
        <f aca="false">ABS(E94-G94)</f>
        <v>0</v>
      </c>
      <c r="I94" s="15" t="n">
        <v>2</v>
      </c>
      <c r="J94" s="21" t="n">
        <f aca="false">(SUMPRODUCT(2_Matriz_decision!C94:Q94,5_Ponderada!$C$5:$Q$5)-1)/4</f>
        <v>0.245683968830959</v>
      </c>
      <c r="K94" s="15" t="n">
        <f aca="false">MIN(5,INT(J94/0.2)+1)</f>
        <v>2</v>
      </c>
      <c r="L94" s="21" t="n">
        <v>0.24568396883096</v>
      </c>
    </row>
    <row r="95" customFormat="false" ht="15" hidden="false" customHeight="false" outlineLevel="0" collapsed="false">
      <c r="A95" s="15" t="n">
        <f aca="false">2_Matriz_decision!A95</f>
        <v>91</v>
      </c>
      <c r="B95" s="16" t="n">
        <f aca="false">2_Matriz_decision!B95</f>
        <v>9.326</v>
      </c>
      <c r="C95" s="21" t="n">
        <f aca="false">SQRT(SUMXMY2(5_Ponderada!C98:Q98,5_Ponderada!$C$6:$Q$6))</f>
        <v>0.016447528273483</v>
      </c>
      <c r="D95" s="21" t="n">
        <f aca="false">SQRT(SUMXMY2(5_Ponderada!C98:Q98,5_Ponderada!$C$7:$Q$7))</f>
        <v>0.0111378971816709</v>
      </c>
      <c r="E95" s="21" t="n">
        <f aca="false">D95/(C95+D95)</f>
        <v>0.403760210252256</v>
      </c>
      <c r="F95" s="15" t="n">
        <f aca="false">MIN(5,INT(E95/0.2)+1)</f>
        <v>3</v>
      </c>
      <c r="G95" s="21" t="n">
        <v>0.403760210252256</v>
      </c>
      <c r="H95" s="28" t="n">
        <f aca="false">ABS(E95-G95)</f>
        <v>0</v>
      </c>
      <c r="I95" s="15" t="n">
        <v>3</v>
      </c>
      <c r="J95" s="21" t="n">
        <f aca="false">(SUMPRODUCT(2_Matriz_decision!C95:Q95,5_Ponderada!$C$5:$Q$5)-1)/4</f>
        <v>0.408826180040287</v>
      </c>
      <c r="K95" s="15" t="n">
        <f aca="false">MIN(5,INT(J95/0.2)+1)</f>
        <v>3</v>
      </c>
      <c r="L95" s="21" t="n">
        <v>0.408826180040287</v>
      </c>
    </row>
    <row r="96" customFormat="false" ht="15" hidden="false" customHeight="false" outlineLevel="0" collapsed="false">
      <c r="A96" s="15" t="n">
        <f aca="false">2_Matriz_decision!A96</f>
        <v>92</v>
      </c>
      <c r="B96" s="16" t="n">
        <f aca="false">2_Matriz_decision!B96</f>
        <v>9.429</v>
      </c>
      <c r="C96" s="21" t="n">
        <f aca="false">SQRT(SUMXMY2(5_Ponderada!C99:Q99,5_Ponderada!$C$6:$Q$6))</f>
        <v>0.0161735581172778</v>
      </c>
      <c r="D96" s="21" t="n">
        <f aca="false">SQRT(SUMXMY2(5_Ponderada!C99:Q99,5_Ponderada!$C$7:$Q$7))</f>
        <v>0.013473162207551</v>
      </c>
      <c r="E96" s="21" t="n">
        <f aca="false">D96/(C96+D96)</f>
        <v>0.4544570886739</v>
      </c>
      <c r="F96" s="15" t="n">
        <f aca="false">MIN(5,INT(E96/0.2)+1)</f>
        <v>3</v>
      </c>
      <c r="G96" s="21" t="n">
        <v>0.4544570886739</v>
      </c>
      <c r="H96" s="28" t="n">
        <f aca="false">ABS(E96-G96)</f>
        <v>0</v>
      </c>
      <c r="I96" s="15" t="n">
        <v>3</v>
      </c>
      <c r="J96" s="21" t="n">
        <f aca="false">(SUMPRODUCT(2_Matriz_decision!C96:Q96,5_Ponderada!$C$5:$Q$5)-1)/4</f>
        <v>0.464175141512956</v>
      </c>
      <c r="K96" s="15" t="n">
        <f aca="false">MIN(5,INT(J96/0.2)+1)</f>
        <v>3</v>
      </c>
      <c r="L96" s="21" t="n">
        <v>0.464175141512956</v>
      </c>
    </row>
    <row r="97" customFormat="false" ht="15" hidden="false" customHeight="false" outlineLevel="0" collapsed="false">
      <c r="A97" s="15" t="n">
        <f aca="false">2_Matriz_decision!A97</f>
        <v>93</v>
      </c>
      <c r="B97" s="16" t="n">
        <f aca="false">2_Matriz_decision!B97</f>
        <v>9.531</v>
      </c>
      <c r="C97" s="21" t="n">
        <f aca="false">SQRT(SUMXMY2(5_Ponderada!C100:Q100,5_Ponderada!$C$6:$Q$6))</f>
        <v>0.0164178832043779</v>
      </c>
      <c r="D97" s="21" t="n">
        <f aca="false">SQRT(SUMXMY2(5_Ponderada!C100:Q100,5_Ponderada!$C$7:$Q$7))</f>
        <v>0.0111549719562186</v>
      </c>
      <c r="E97" s="21" t="n">
        <f aca="false">D97/(C97+D97)</f>
        <v>0.404563542340723</v>
      </c>
      <c r="F97" s="15" t="n">
        <f aca="false">MIN(5,INT(E97/0.2)+1)</f>
        <v>3</v>
      </c>
      <c r="G97" s="21" t="n">
        <v>0.404563542340722</v>
      </c>
      <c r="H97" s="28" t="n">
        <f aca="false">ABS(E97-G97)</f>
        <v>0</v>
      </c>
      <c r="I97" s="15" t="n">
        <v>3</v>
      </c>
      <c r="J97" s="21" t="n">
        <f aca="false">(SUMPRODUCT(2_Matriz_decision!C97:Q97,5_Ponderada!$C$5:$Q$5)-1)/4</f>
        <v>0.412078650801025</v>
      </c>
      <c r="K97" s="15" t="n">
        <f aca="false">MIN(5,INT(J97/0.2)+1)</f>
        <v>3</v>
      </c>
      <c r="L97" s="21" t="n">
        <v>0.412078650801026</v>
      </c>
    </row>
    <row r="98" customFormat="false" ht="15" hidden="false" customHeight="false" outlineLevel="0" collapsed="false">
      <c r="A98" s="15" t="n">
        <f aca="false">2_Matriz_decision!A98</f>
        <v>94</v>
      </c>
      <c r="B98" s="16" t="n">
        <f aca="false">2_Matriz_decision!B98</f>
        <v>9.632</v>
      </c>
      <c r="C98" s="21" t="n">
        <f aca="false">SQRT(SUMXMY2(5_Ponderada!C101:Q101,5_Ponderada!$C$6:$Q$6))</f>
        <v>0.0182988537074369</v>
      </c>
      <c r="D98" s="21" t="n">
        <f aca="false">SQRT(SUMXMY2(5_Ponderada!C101:Q101,5_Ponderada!$C$7:$Q$7))</f>
        <v>0.0076884172245903</v>
      </c>
      <c r="E98" s="21" t="n">
        <f aca="false">D98/(C98+D98)</f>
        <v>0.295853198463982</v>
      </c>
      <c r="F98" s="15" t="n">
        <f aca="false">MIN(5,INT(E98/0.2)+1)</f>
        <v>2</v>
      </c>
      <c r="G98" s="21" t="n">
        <v>0.295853198463982</v>
      </c>
      <c r="H98" s="28" t="n">
        <f aca="false">ABS(E98-G98)</f>
        <v>0</v>
      </c>
      <c r="I98" s="15" t="n">
        <v>2</v>
      </c>
      <c r="J98" s="21" t="n">
        <f aca="false">(SUMPRODUCT(2_Matriz_decision!C98:Q98,5_Ponderada!$C$5:$Q$5)-1)/4</f>
        <v>0.306293517624867</v>
      </c>
      <c r="K98" s="15" t="n">
        <f aca="false">MIN(5,INT(J98/0.2)+1)</f>
        <v>2</v>
      </c>
      <c r="L98" s="21" t="n">
        <v>0.306293517624867</v>
      </c>
    </row>
    <row r="99" customFormat="false" ht="15" hidden="false" customHeight="false" outlineLevel="0" collapsed="false">
      <c r="A99" s="15" t="n">
        <f aca="false">2_Matriz_decision!A99</f>
        <v>95</v>
      </c>
      <c r="B99" s="16" t="n">
        <f aca="false">2_Matriz_decision!B99</f>
        <v>9.733</v>
      </c>
      <c r="C99" s="21" t="n">
        <f aca="false">SQRT(SUMXMY2(5_Ponderada!C102:Q102,5_Ponderada!$C$6:$Q$6))</f>
        <v>0.0198178901769942</v>
      </c>
      <c r="D99" s="21" t="n">
        <f aca="false">SQRT(SUMXMY2(5_Ponderada!C102:Q102,5_Ponderada!$C$7:$Q$7))</f>
        <v>0.00711167607229175</v>
      </c>
      <c r="E99" s="21" t="n">
        <f aca="false">D99/(C99+D99)</f>
        <v>0.264084315597928</v>
      </c>
      <c r="F99" s="15" t="n">
        <f aca="false">MIN(5,INT(E99/0.2)+1)</f>
        <v>2</v>
      </c>
      <c r="G99" s="21" t="n">
        <v>0.264084315597928</v>
      </c>
      <c r="H99" s="28" t="n">
        <f aca="false">ABS(E99-G99)</f>
        <v>0</v>
      </c>
      <c r="I99" s="15" t="n">
        <v>2</v>
      </c>
      <c r="J99" s="21" t="n">
        <f aca="false">(SUMPRODUCT(2_Matriz_decision!C99:Q99,5_Ponderada!$C$5:$Q$5)-1)/4</f>
        <v>0.250225174879327</v>
      </c>
      <c r="K99" s="15" t="n">
        <f aca="false">MIN(5,INT(J99/0.2)+1)</f>
        <v>2</v>
      </c>
      <c r="L99" s="21" t="n">
        <v>0.250225174879328</v>
      </c>
    </row>
    <row r="100" customFormat="false" ht="15" hidden="false" customHeight="false" outlineLevel="0" collapsed="false">
      <c r="A100" s="15" t="n">
        <f aca="false">2_Matriz_decision!A100</f>
        <v>96</v>
      </c>
      <c r="B100" s="16" t="n">
        <f aca="false">2_Matriz_decision!B100</f>
        <v>9.834</v>
      </c>
      <c r="C100" s="21" t="n">
        <f aca="false">SQRT(SUMXMY2(5_Ponderada!C103:Q103,5_Ponderada!$C$6:$Q$6))</f>
        <v>0.0198415145289709</v>
      </c>
      <c r="D100" s="21" t="n">
        <f aca="false">SQRT(SUMXMY2(5_Ponderada!C103:Q103,5_Ponderada!$C$7:$Q$7))</f>
        <v>0.00715258044610656</v>
      </c>
      <c r="E100" s="21" t="n">
        <f aca="false">D100/(C100+D100)</f>
        <v>0.264968336694016</v>
      </c>
      <c r="F100" s="15" t="n">
        <f aca="false">MIN(5,INT(E100/0.2)+1)</f>
        <v>2</v>
      </c>
      <c r="G100" s="21" t="n">
        <v>0.264968336694016</v>
      </c>
      <c r="H100" s="28" t="n">
        <f aca="false">ABS(E100-G100)</f>
        <v>0</v>
      </c>
      <c r="I100" s="15" t="n">
        <v>2</v>
      </c>
      <c r="J100" s="21" t="n">
        <f aca="false">(SUMPRODUCT(2_Matriz_decision!C100:Q100,5_Ponderada!$C$5:$Q$5)-1)/4</f>
        <v>0.254287736572028</v>
      </c>
      <c r="K100" s="15" t="n">
        <f aca="false">MIN(5,INT(J100/0.2)+1)</f>
        <v>2</v>
      </c>
      <c r="L100" s="21" t="n">
        <v>0.254287736572028</v>
      </c>
    </row>
    <row r="101" customFormat="false" ht="15" hidden="false" customHeight="false" outlineLevel="0" collapsed="false">
      <c r="A101" s="15" t="n">
        <f aca="false">2_Matriz_decision!A101</f>
        <v>97</v>
      </c>
      <c r="B101" s="16" t="n">
        <f aca="false">2_Matriz_decision!B101</f>
        <v>9.936</v>
      </c>
      <c r="C101" s="21" t="n">
        <f aca="false">SQRT(SUMXMY2(5_Ponderada!C104:Q104,5_Ponderada!$C$6:$Q$6))</f>
        <v>0.0198773709818334</v>
      </c>
      <c r="D101" s="21" t="n">
        <f aca="false">SQRT(SUMXMY2(5_Ponderada!C104:Q104,5_Ponderada!$C$7:$Q$7))</f>
        <v>0.0071323590974685</v>
      </c>
      <c r="E101" s="21" t="n">
        <f aca="false">D101/(C101+D101)</f>
        <v>0.264066285613649</v>
      </c>
      <c r="F101" s="15" t="n">
        <f aca="false">MIN(5,INT(E101/0.2)+1)</f>
        <v>2</v>
      </c>
      <c r="G101" s="21" t="n">
        <v>0.264066285613649</v>
      </c>
      <c r="H101" s="28" t="n">
        <f aca="false">ABS(E101-G101)</f>
        <v>0</v>
      </c>
      <c r="I101" s="15" t="n">
        <v>2</v>
      </c>
      <c r="J101" s="21" t="n">
        <f aca="false">(SUMPRODUCT(2_Matriz_decision!C101:Q101,5_Ponderada!$C$5:$Q$5)-1)/4</f>
        <v>0.241412014478136</v>
      </c>
      <c r="K101" s="15" t="n">
        <f aca="false">MIN(5,INT(J101/0.2)+1)</f>
        <v>2</v>
      </c>
      <c r="L101" s="21" t="n">
        <v>0.241412014478136</v>
      </c>
    </row>
    <row r="102" customFormat="false" ht="15" hidden="false" customHeight="false" outlineLevel="0" collapsed="false">
      <c r="A102" s="15" t="n">
        <f aca="false">2_Matriz_decision!A102</f>
        <v>98</v>
      </c>
      <c r="B102" s="16" t="n">
        <f aca="false">2_Matriz_decision!B102</f>
        <v>10.038</v>
      </c>
      <c r="C102" s="21" t="n">
        <f aca="false">SQRT(SUMXMY2(5_Ponderada!C105:Q105,5_Ponderada!$C$6:$Q$6))</f>
        <v>0.0198709736730314</v>
      </c>
      <c r="D102" s="21" t="n">
        <f aca="false">SQRT(SUMXMY2(5_Ponderada!C105:Q105,5_Ponderada!$C$7:$Q$7))</f>
        <v>0.00713619702545559</v>
      </c>
      <c r="E102" s="21" t="n">
        <f aca="false">D102/(C102+D102)</f>
        <v>0.264233418047577</v>
      </c>
      <c r="F102" s="15" t="n">
        <f aca="false">MIN(5,INT(E102/0.2)+1)</f>
        <v>2</v>
      </c>
      <c r="G102" s="21" t="n">
        <v>0.264233418047577</v>
      </c>
      <c r="H102" s="28" t="n">
        <f aca="false">ABS(E102-G102)</f>
        <v>0</v>
      </c>
      <c r="I102" s="15" t="n">
        <v>2</v>
      </c>
      <c r="J102" s="21" t="n">
        <f aca="false">(SUMPRODUCT(2_Matriz_decision!C102:Q102,5_Ponderada!$C$5:$Q$5)-1)/4</f>
        <v>0.243191735005828</v>
      </c>
      <c r="K102" s="15" t="n">
        <f aca="false">MIN(5,INT(J102/0.2)+1)</f>
        <v>2</v>
      </c>
      <c r="L102" s="21" t="n">
        <v>0.243191735005828</v>
      </c>
    </row>
    <row r="103" customFormat="false" ht="15" hidden="false" customHeight="false" outlineLevel="0" collapsed="false">
      <c r="A103" s="15" t="n">
        <f aca="false">2_Matriz_decision!A103</f>
        <v>99</v>
      </c>
      <c r="B103" s="16" t="n">
        <f aca="false">2_Matriz_decision!B103</f>
        <v>10.141</v>
      </c>
      <c r="C103" s="21" t="n">
        <f aca="false">SQRT(SUMXMY2(5_Ponderada!C106:Q106,5_Ponderada!$C$6:$Q$6))</f>
        <v>0.0198447299408545</v>
      </c>
      <c r="D103" s="21" t="n">
        <f aca="false">SQRT(SUMXMY2(5_Ponderada!C106:Q106,5_Ponderada!$C$7:$Q$7))</f>
        <v>0.00709643357340977</v>
      </c>
      <c r="E103" s="21" t="n">
        <f aca="false">D103/(C103+D103)</f>
        <v>0.263404866298833</v>
      </c>
      <c r="F103" s="15" t="n">
        <f aca="false">MIN(5,INT(E103/0.2)+1)</f>
        <v>2</v>
      </c>
      <c r="G103" s="21" t="n">
        <v>0.263404866298833</v>
      </c>
      <c r="H103" s="28" t="n">
        <f aca="false">ABS(E103-G103)</f>
        <v>0</v>
      </c>
      <c r="I103" s="15" t="n">
        <v>2</v>
      </c>
      <c r="J103" s="21" t="n">
        <f aca="false">(SUMPRODUCT(2_Matriz_decision!C103:Q103,5_Ponderada!$C$5:$Q$5)-1)/4</f>
        <v>0.244465084813928</v>
      </c>
      <c r="K103" s="15" t="n">
        <f aca="false">MIN(5,INT(J103/0.2)+1)</f>
        <v>2</v>
      </c>
      <c r="L103" s="21" t="n">
        <v>0.244465084813928</v>
      </c>
    </row>
    <row r="104" customFormat="false" ht="15" hidden="false" customHeight="false" outlineLevel="0" collapsed="false">
      <c r="A104" s="15" t="n">
        <f aca="false">2_Matriz_decision!A104</f>
        <v>100</v>
      </c>
      <c r="B104" s="16" t="n">
        <f aca="false">2_Matriz_decision!B104</f>
        <v>10.243</v>
      </c>
      <c r="C104" s="21" t="n">
        <f aca="false">SQRT(SUMXMY2(5_Ponderada!C107:Q107,5_Ponderada!$C$6:$Q$6))</f>
        <v>0.0198745185448282</v>
      </c>
      <c r="D104" s="21" t="n">
        <f aca="false">SQRT(SUMXMY2(5_Ponderada!C107:Q107,5_Ponderada!$C$7:$Q$7))</f>
        <v>0.00708167508277912</v>
      </c>
      <c r="E104" s="21" t="n">
        <f aca="false">D104/(C104+D104)</f>
        <v>0.262710499138364</v>
      </c>
      <c r="F104" s="15" t="n">
        <f aca="false">MIN(5,INT(E104/0.2)+1)</f>
        <v>2</v>
      </c>
      <c r="G104" s="21" t="n">
        <v>0.262710499138364</v>
      </c>
      <c r="H104" s="28" t="n">
        <f aca="false">ABS(E104-G104)</f>
        <v>0</v>
      </c>
      <c r="I104" s="15" t="n">
        <v>2</v>
      </c>
      <c r="J104" s="21" t="n">
        <f aca="false">(SUMPRODUCT(2_Matriz_decision!C104:Q104,5_Ponderada!$C$5:$Q$5)-1)/4</f>
        <v>0.233679967959923</v>
      </c>
      <c r="K104" s="15" t="n">
        <f aca="false">MIN(5,INT(J104/0.2)+1)</f>
        <v>2</v>
      </c>
      <c r="L104" s="21" t="n">
        <v>0.233679967959924</v>
      </c>
    </row>
    <row r="105" customFormat="false" ht="15" hidden="false" customHeight="false" outlineLevel="0" collapsed="false">
      <c r="A105" s="15" t="n">
        <f aca="false">2_Matriz_decision!A105</f>
        <v>101</v>
      </c>
      <c r="B105" s="16" t="n">
        <f aca="false">2_Matriz_decision!B105</f>
        <v>10.346</v>
      </c>
      <c r="C105" s="21" t="n">
        <f aca="false">SQRT(SUMXMY2(5_Ponderada!C108:Q108,5_Ponderada!$C$6:$Q$6))</f>
        <v>0.0198684170108536</v>
      </c>
      <c r="D105" s="21" t="n">
        <f aca="false">SQRT(SUMXMY2(5_Ponderada!C108:Q108,5_Ponderada!$C$7:$Q$7))</f>
        <v>0.00708758230105852</v>
      </c>
      <c r="E105" s="21" t="n">
        <f aca="false">D105/(C105+D105)</f>
        <v>0.262931535909575</v>
      </c>
      <c r="F105" s="15" t="n">
        <f aca="false">MIN(5,INT(E105/0.2)+1)</f>
        <v>2</v>
      </c>
      <c r="G105" s="21" t="n">
        <v>0.262931535909575</v>
      </c>
      <c r="H105" s="28" t="n">
        <f aca="false">ABS(E105-G105)</f>
        <v>0</v>
      </c>
      <c r="I105" s="15" t="n">
        <v>2</v>
      </c>
      <c r="J105" s="21" t="n">
        <f aca="false">(SUMPRODUCT(2_Matriz_decision!C105:Q105,5_Ponderada!$C$5:$Q$5)-1)/4</f>
        <v>0.235567379041966</v>
      </c>
      <c r="K105" s="15" t="n">
        <f aca="false">MIN(5,INT(J105/0.2)+1)</f>
        <v>2</v>
      </c>
      <c r="L105" s="21" t="n">
        <v>0.235567379041966</v>
      </c>
    </row>
    <row r="106" customFormat="false" ht="15" hidden="false" customHeight="false" outlineLevel="0" collapsed="false">
      <c r="A106" s="15" t="n">
        <f aca="false">2_Matriz_decision!A106</f>
        <v>102</v>
      </c>
      <c r="B106" s="16" t="n">
        <f aca="false">2_Matriz_decision!B106</f>
        <v>10.447</v>
      </c>
      <c r="C106" s="21" t="n">
        <f aca="false">SQRT(SUMXMY2(5_Ponderada!C109:Q109,5_Ponderada!$C$6:$Q$6))</f>
        <v>0.0198118547011853</v>
      </c>
      <c r="D106" s="21" t="n">
        <f aca="false">SQRT(SUMXMY2(5_Ponderada!C109:Q109,5_Ponderada!$C$7:$Q$7))</f>
        <v>0.00716569253008773</v>
      </c>
      <c r="E106" s="21" t="n">
        <f aca="false">D106/(C106+D106)</f>
        <v>0.265616902406201</v>
      </c>
      <c r="F106" s="15" t="n">
        <f aca="false">MIN(5,INT(E106/0.2)+1)</f>
        <v>2</v>
      </c>
      <c r="G106" s="21" t="n">
        <v>0.265616902406201</v>
      </c>
      <c r="H106" s="28" t="n">
        <f aca="false">ABS(E106-G106)</f>
        <v>0</v>
      </c>
      <c r="I106" s="15" t="n">
        <v>2</v>
      </c>
      <c r="J106" s="21" t="n">
        <f aca="false">(SUMPRODUCT(2_Matriz_decision!C106:Q106,5_Ponderada!$C$5:$Q$5)-1)/4</f>
        <v>0.259024837652681</v>
      </c>
      <c r="K106" s="15" t="n">
        <f aca="false">MIN(5,INT(J106/0.2)+1)</f>
        <v>2</v>
      </c>
      <c r="L106" s="21" t="n">
        <v>0.259024837652681</v>
      </c>
    </row>
    <row r="107" customFormat="false" ht="15" hidden="false" customHeight="false" outlineLevel="0" collapsed="false">
      <c r="A107" s="15" t="n">
        <f aca="false">2_Matriz_decision!A107</f>
        <v>103</v>
      </c>
      <c r="B107" s="16" t="n">
        <f aca="false">2_Matriz_decision!B107</f>
        <v>10.548</v>
      </c>
      <c r="C107" s="21" t="n">
        <f aca="false">SQRT(SUMXMY2(5_Ponderada!C110:Q110,5_Ponderada!$C$6:$Q$6))</f>
        <v>0.0198053959686244</v>
      </c>
      <c r="D107" s="21" t="n">
        <f aca="false">SQRT(SUMXMY2(5_Ponderada!C110:Q110,5_Ponderada!$C$7:$Q$7))</f>
        <v>0.00717154415245413</v>
      </c>
      <c r="E107" s="21" t="n">
        <f aca="false">D107/(C107+D107)</f>
        <v>0.265839792069324</v>
      </c>
      <c r="F107" s="15" t="n">
        <f aca="false">MIN(5,INT(E107/0.2)+1)</f>
        <v>2</v>
      </c>
      <c r="G107" s="21" t="n">
        <v>0.265839792069324</v>
      </c>
      <c r="H107" s="28" t="n">
        <f aca="false">ABS(E107-G107)</f>
        <v>0</v>
      </c>
      <c r="I107" s="15" t="n">
        <v>2</v>
      </c>
      <c r="J107" s="21" t="n">
        <f aca="false">(SUMPRODUCT(2_Matriz_decision!C107:Q107,5_Ponderada!$C$5:$Q$5)-1)/4</f>
        <v>0.260389675723014</v>
      </c>
      <c r="K107" s="15" t="n">
        <f aca="false">MIN(5,INT(J107/0.2)+1)</f>
        <v>2</v>
      </c>
      <c r="L107" s="21" t="n">
        <v>0.260389675723014</v>
      </c>
    </row>
    <row r="108" customFormat="false" ht="15" hidden="false" customHeight="false" outlineLevel="0" collapsed="false">
      <c r="A108" s="15" t="n">
        <f aca="false">2_Matriz_decision!A108</f>
        <v>104</v>
      </c>
      <c r="B108" s="16" t="n">
        <f aca="false">2_Matriz_decision!B108</f>
        <v>10.648</v>
      </c>
      <c r="C108" s="21" t="n">
        <f aca="false">SQRT(SUMXMY2(5_Ponderada!C111:Q111,5_Ponderada!$C$6:$Q$6))</f>
        <v>0.019765717334211</v>
      </c>
      <c r="D108" s="21" t="n">
        <f aca="false">SQRT(SUMXMY2(5_Ponderada!C111:Q111,5_Ponderada!$C$7:$Q$7))</f>
        <v>0.00724253023458879</v>
      </c>
      <c r="E108" s="21" t="n">
        <f aca="false">D108/(C108+D108)</f>
        <v>0.268159946925081</v>
      </c>
      <c r="F108" s="15" t="n">
        <f aca="false">MIN(5,INT(E108/0.2)+1)</f>
        <v>2</v>
      </c>
      <c r="G108" s="21" t="n">
        <v>0.268159946925081</v>
      </c>
      <c r="H108" s="28" t="n">
        <f aca="false">ABS(E108-G108)</f>
        <v>0</v>
      </c>
      <c r="I108" s="15" t="n">
        <v>2</v>
      </c>
      <c r="J108" s="21" t="n">
        <f aca="false">(SUMPRODUCT(2_Matriz_decision!C108:Q108,5_Ponderada!$C$5:$Q$5)-1)/4</f>
        <v>0.274357959367636</v>
      </c>
      <c r="K108" s="15" t="n">
        <f aca="false">MIN(5,INT(J108/0.2)+1)</f>
        <v>2</v>
      </c>
      <c r="L108" s="21" t="n">
        <v>0.274357959367637</v>
      </c>
    </row>
    <row r="109" customFormat="false" ht="15" hidden="false" customHeight="false" outlineLevel="0" collapsed="false">
      <c r="A109" s="15" t="n">
        <f aca="false">2_Matriz_decision!A109</f>
        <v>105</v>
      </c>
      <c r="B109" s="16" t="n">
        <f aca="false">2_Matriz_decision!B109</f>
        <v>10.748</v>
      </c>
      <c r="C109" s="21" t="n">
        <f aca="false">SQRT(SUMXMY2(5_Ponderada!C112:Q112,5_Ponderada!$C$6:$Q$6))</f>
        <v>0.0182655291363439</v>
      </c>
      <c r="D109" s="21" t="n">
        <f aca="false">SQRT(SUMXMY2(5_Ponderada!C112:Q112,5_Ponderada!$C$7:$Q$7))</f>
        <v>0.00773802738252192</v>
      </c>
      <c r="E109" s="21" t="n">
        <f aca="false">D109/(C109+D109)</f>
        <v>0.297575732646721</v>
      </c>
      <c r="F109" s="15" t="n">
        <f aca="false">MIN(5,INT(E109/0.2)+1)</f>
        <v>2</v>
      </c>
      <c r="G109" s="21" t="n">
        <v>0.297575732646721</v>
      </c>
      <c r="H109" s="28" t="n">
        <f aca="false">ABS(E109-G109)</f>
        <v>0</v>
      </c>
      <c r="I109" s="15" t="n">
        <v>2</v>
      </c>
      <c r="J109" s="21" t="n">
        <f aca="false">(SUMPRODUCT(2_Matriz_decision!C109:Q109,5_Ponderada!$C$5:$Q$5)-1)/4</f>
        <v>0.318546253486289</v>
      </c>
      <c r="K109" s="15" t="n">
        <f aca="false">MIN(5,INT(J109/0.2)+1)</f>
        <v>2</v>
      </c>
      <c r="L109" s="21" t="n">
        <v>0.318546253486289</v>
      </c>
    </row>
    <row r="110" customFormat="false" ht="15" hidden="false" customHeight="false" outlineLevel="0" collapsed="false">
      <c r="A110" s="15" t="n">
        <f aca="false">2_Matriz_decision!A110</f>
        <v>106</v>
      </c>
      <c r="B110" s="16" t="n">
        <f aca="false">2_Matriz_decision!B110</f>
        <v>10.848</v>
      </c>
      <c r="C110" s="21" t="n">
        <f aca="false">SQRT(SUMXMY2(5_Ponderada!C113:Q113,5_Ponderada!$C$6:$Q$6))</f>
        <v>0.0170870312647621</v>
      </c>
      <c r="D110" s="21" t="n">
        <f aca="false">SQRT(SUMXMY2(5_Ponderada!C113:Q113,5_Ponderada!$C$7:$Q$7))</f>
        <v>0.00925021608070589</v>
      </c>
      <c r="E110" s="21" t="n">
        <f aca="false">D110/(C110+D110)</f>
        <v>0.351221825096981</v>
      </c>
      <c r="F110" s="15" t="n">
        <f aca="false">MIN(5,INT(E110/0.2)+1)</f>
        <v>2</v>
      </c>
      <c r="G110" s="21" t="n">
        <v>0.351221825096981</v>
      </c>
      <c r="H110" s="28" t="n">
        <f aca="false">ABS(E110-G110)</f>
        <v>0</v>
      </c>
      <c r="I110" s="15" t="n">
        <v>2</v>
      </c>
      <c r="J110" s="21" t="n">
        <f aca="false">(SUMPRODUCT(2_Matriz_decision!C110:Q110,5_Ponderada!$C$5:$Q$5)-1)/4</f>
        <v>0.384493041778509</v>
      </c>
      <c r="K110" s="15" t="n">
        <f aca="false">MIN(5,INT(J110/0.2)+1)</f>
        <v>2</v>
      </c>
      <c r="L110" s="21" t="n">
        <v>0.38449304177851</v>
      </c>
    </row>
    <row r="111" customFormat="false" ht="15" hidden="false" customHeight="false" outlineLevel="0" collapsed="false">
      <c r="A111" s="15" t="n">
        <f aca="false">2_Matriz_decision!A111</f>
        <v>107</v>
      </c>
      <c r="B111" s="16" t="n">
        <f aca="false">2_Matriz_decision!B111</f>
        <v>10.948</v>
      </c>
      <c r="C111" s="21" t="n">
        <f aca="false">SQRT(SUMXMY2(5_Ponderada!C114:Q114,5_Ponderada!$C$6:$Q$6))</f>
        <v>0.0182626036641147</v>
      </c>
      <c r="D111" s="21" t="n">
        <f aca="false">SQRT(SUMXMY2(5_Ponderada!C114:Q114,5_Ponderada!$C$7:$Q$7))</f>
        <v>0.00774546206078395</v>
      </c>
      <c r="E111" s="21" t="n">
        <f aca="false">D111/(C111+D111)</f>
        <v>0.297810000278832</v>
      </c>
      <c r="F111" s="15" t="n">
        <f aca="false">MIN(5,INT(E111/0.2)+1)</f>
        <v>2</v>
      </c>
      <c r="G111" s="21" t="n">
        <v>0.297810000278832</v>
      </c>
      <c r="H111" s="28" t="n">
        <f aca="false">ABS(E111-G111)</f>
        <v>0</v>
      </c>
      <c r="I111" s="15" t="n">
        <v>2</v>
      </c>
      <c r="J111" s="21" t="n">
        <f aca="false">(SUMPRODUCT(2_Matriz_decision!C111:Q111,5_Ponderada!$C$5:$Q$5)-1)/4</f>
        <v>0.318951902909814</v>
      </c>
      <c r="K111" s="15" t="n">
        <f aca="false">MIN(5,INT(J111/0.2)+1)</f>
        <v>2</v>
      </c>
      <c r="L111" s="21" t="n">
        <v>0.318951902909814</v>
      </c>
    </row>
    <row r="112" customFormat="false" ht="15" hidden="false" customHeight="false" outlineLevel="0" collapsed="false">
      <c r="A112" s="15" t="n">
        <f aca="false">2_Matriz_decision!A112</f>
        <v>108</v>
      </c>
      <c r="B112" s="16" t="n">
        <f aca="false">2_Matriz_decision!B112</f>
        <v>11.049</v>
      </c>
      <c r="C112" s="21" t="n">
        <f aca="false">SQRT(SUMXMY2(5_Ponderada!C115:Q115,5_Ponderada!$C$6:$Q$6))</f>
        <v>0.0197794544843106</v>
      </c>
      <c r="D112" s="21" t="n">
        <f aca="false">SQRT(SUMXMY2(5_Ponderada!C115:Q115,5_Ponderada!$C$7:$Q$7))</f>
        <v>0.00721617320415341</v>
      </c>
      <c r="E112" s="21" t="n">
        <f aca="false">D112/(C112+D112)</f>
        <v>0.267308961563324</v>
      </c>
      <c r="F112" s="15" t="n">
        <f aca="false">MIN(5,INT(E112/0.2)+1)</f>
        <v>2</v>
      </c>
      <c r="G112" s="21" t="n">
        <v>0.267308961563324</v>
      </c>
      <c r="H112" s="28" t="n">
        <f aca="false">ABS(E112-G112)</f>
        <v>0</v>
      </c>
      <c r="I112" s="15" t="n">
        <v>2</v>
      </c>
      <c r="J112" s="21" t="n">
        <f aca="false">(SUMPRODUCT(2_Matriz_decision!C112:Q112,5_Ponderada!$C$5:$Q$5)-1)/4</f>
        <v>0.271982931093871</v>
      </c>
      <c r="K112" s="15" t="n">
        <f aca="false">MIN(5,INT(J112/0.2)+1)</f>
        <v>2</v>
      </c>
      <c r="L112" s="21" t="n">
        <v>0.271982931093871</v>
      </c>
    </row>
    <row r="113" customFormat="false" ht="15" hidden="false" customHeight="false" outlineLevel="0" collapsed="false">
      <c r="A113" s="15" t="n">
        <f aca="false">2_Matriz_decision!A113</f>
        <v>109</v>
      </c>
      <c r="B113" s="16" t="n">
        <f aca="false">2_Matriz_decision!B113</f>
        <v>11.15</v>
      </c>
      <c r="C113" s="21" t="n">
        <f aca="false">SQRT(SUMXMY2(5_Ponderada!C116:Q116,5_Ponderada!$C$6:$Q$6))</f>
        <v>0.0197755391467415</v>
      </c>
      <c r="D113" s="21" t="n">
        <f aca="false">SQRT(SUMXMY2(5_Ponderada!C116:Q116,5_Ponderada!$C$7:$Q$7))</f>
        <v>0.00729705900330813</v>
      </c>
      <c r="E113" s="21" t="n">
        <f aca="false">D113/(C113+D113)</f>
        <v>0.26953670877336</v>
      </c>
      <c r="F113" s="15" t="n">
        <f aca="false">MIN(5,INT(E113/0.2)+1)</f>
        <v>2</v>
      </c>
      <c r="G113" s="21" t="n">
        <v>0.26953670877336</v>
      </c>
      <c r="H113" s="28" t="n">
        <f aca="false">ABS(E113-G113)</f>
        <v>0</v>
      </c>
      <c r="I113" s="15" t="n">
        <v>2</v>
      </c>
      <c r="J113" s="21" t="n">
        <f aca="false">(SUMPRODUCT(2_Matriz_decision!C113:Q113,5_Ponderada!$C$5:$Q$5)-1)/4</f>
        <v>0.282860033025673</v>
      </c>
      <c r="K113" s="15" t="n">
        <f aca="false">MIN(5,INT(J113/0.2)+1)</f>
        <v>2</v>
      </c>
      <c r="L113" s="21" t="n">
        <v>0.282860033025673</v>
      </c>
    </row>
    <row r="114" customFormat="false" ht="15" hidden="false" customHeight="false" outlineLevel="0" collapsed="false">
      <c r="A114" s="15" t="n">
        <f aca="false">2_Matriz_decision!A114</f>
        <v>110</v>
      </c>
      <c r="B114" s="16" t="n">
        <f aca="false">2_Matriz_decision!B114</f>
        <v>11.253</v>
      </c>
      <c r="C114" s="21" t="n">
        <f aca="false">SQRT(SUMXMY2(5_Ponderada!C117:Q117,5_Ponderada!$C$6:$Q$6))</f>
        <v>0.0198522571978835</v>
      </c>
      <c r="D114" s="21" t="n">
        <f aca="false">SQRT(SUMXMY2(5_Ponderada!C117:Q117,5_Ponderada!$C$7:$Q$7))</f>
        <v>0.00565131983136476</v>
      </c>
      <c r="E114" s="21" t="n">
        <f aca="false">D114/(C114+D114)</f>
        <v>0.221589301958845</v>
      </c>
      <c r="F114" s="15" t="n">
        <f aca="false">MIN(5,INT(E114/0.2)+1)</f>
        <v>2</v>
      </c>
      <c r="G114" s="21" t="n">
        <v>0.221589301958845</v>
      </c>
      <c r="H114" s="28" t="n">
        <f aca="false">ABS(E114-G114)</f>
        <v>0</v>
      </c>
      <c r="I114" s="15" t="n">
        <v>2</v>
      </c>
      <c r="J114" s="21" t="n">
        <f aca="false">(SUMPRODUCT(2_Matriz_decision!C114:Q114,5_Ponderada!$C$5:$Q$5)-1)/4</f>
        <v>0.239547033933789</v>
      </c>
      <c r="K114" s="15" t="n">
        <f aca="false">MIN(5,INT(J114/0.2)+1)</f>
        <v>2</v>
      </c>
      <c r="L114" s="21" t="n">
        <v>0.239547033933789</v>
      </c>
    </row>
    <row r="115" customFormat="false" ht="15" hidden="false" customHeight="false" outlineLevel="0" collapsed="false">
      <c r="A115" s="15" t="n">
        <f aca="false">2_Matriz_decision!A115</f>
        <v>111</v>
      </c>
      <c r="B115" s="16" t="n">
        <f aca="false">2_Matriz_decision!B115</f>
        <v>11.356</v>
      </c>
      <c r="C115" s="21" t="n">
        <f aca="false">SQRT(SUMXMY2(5_Ponderada!C118:Q118,5_Ponderada!$C$6:$Q$6))</f>
        <v>0.0198477956160194</v>
      </c>
      <c r="D115" s="21" t="n">
        <f aca="false">SQRT(SUMXMY2(5_Ponderada!C118:Q118,5_Ponderada!$C$7:$Q$7))</f>
        <v>0.00565806402957224</v>
      </c>
      <c r="E115" s="21" t="n">
        <f aca="false">D115/(C115+D115)</f>
        <v>0.221833888690365</v>
      </c>
      <c r="F115" s="15" t="n">
        <f aca="false">MIN(5,INT(E115/0.2)+1)</f>
        <v>2</v>
      </c>
      <c r="G115" s="21" t="n">
        <v>0.221833888690365</v>
      </c>
      <c r="H115" s="28" t="n">
        <f aca="false">ABS(E115-G115)</f>
        <v>0</v>
      </c>
      <c r="I115" s="15" t="n">
        <v>2</v>
      </c>
      <c r="J115" s="21" t="n">
        <f aca="false">(SUMPRODUCT(2_Matriz_decision!C115:Q115,5_Ponderada!$C$5:$Q$5)-1)/4</f>
        <v>0.240728184484579</v>
      </c>
      <c r="K115" s="15" t="n">
        <f aca="false">MIN(5,INT(J115/0.2)+1)</f>
        <v>2</v>
      </c>
      <c r="L115" s="21" t="n">
        <v>0.240728184484579</v>
      </c>
    </row>
    <row r="116" customFormat="false" ht="15" hidden="false" customHeight="false" outlineLevel="0" collapsed="false">
      <c r="A116" s="15" t="n">
        <f aca="false">2_Matriz_decision!A116</f>
        <v>112</v>
      </c>
      <c r="B116" s="16" t="n">
        <f aca="false">2_Matriz_decision!B116</f>
        <v>11.459</v>
      </c>
      <c r="C116" s="21" t="n">
        <f aca="false">SQRT(SUMXMY2(5_Ponderada!C119:Q119,5_Ponderada!$C$6:$Q$6))</f>
        <v>0.0198464376525113</v>
      </c>
      <c r="D116" s="21" t="n">
        <f aca="false">SQRT(SUMXMY2(5_Ponderada!C119:Q119,5_Ponderada!$C$7:$Q$7))</f>
        <v>0.00565851968248792</v>
      </c>
      <c r="E116" s="21" t="n">
        <f aca="false">D116/(C116+D116)</f>
        <v>0.221859601965419</v>
      </c>
      <c r="F116" s="15" t="n">
        <f aca="false">MIN(5,INT(E116/0.2)+1)</f>
        <v>2</v>
      </c>
      <c r="G116" s="21" t="n">
        <v>0.221859601965419</v>
      </c>
      <c r="H116" s="28" t="n">
        <f aca="false">ABS(E116-G116)</f>
        <v>0</v>
      </c>
      <c r="I116" s="15" t="n">
        <v>2</v>
      </c>
      <c r="J116" s="21" t="n">
        <f aca="false">(SUMPRODUCT(2_Matriz_decision!C116:Q116,5_Ponderada!$C$5:$Q$5)-1)/4</f>
        <v>0.240701290869716</v>
      </c>
      <c r="K116" s="15" t="n">
        <f aca="false">MIN(5,INT(J116/0.2)+1)</f>
        <v>2</v>
      </c>
      <c r="L116" s="21" t="n">
        <v>0.240701290869717</v>
      </c>
    </row>
    <row r="117" customFormat="false" ht="15" hidden="false" customHeight="false" outlineLevel="0" collapsed="false">
      <c r="A117" s="15" t="n">
        <f aca="false">2_Matriz_decision!A117</f>
        <v>113</v>
      </c>
      <c r="B117" s="16" t="n">
        <f aca="false">2_Matriz_decision!B117</f>
        <v>11.562</v>
      </c>
      <c r="C117" s="21" t="n">
        <f aca="false">SQRT(SUMXMY2(5_Ponderada!C120:Q120,5_Ponderada!$C$6:$Q$6))</f>
        <v>0.0198572117270874</v>
      </c>
      <c r="D117" s="21" t="n">
        <f aca="false">SQRT(SUMXMY2(5_Ponderada!C120:Q120,5_Ponderada!$C$7:$Q$7))</f>
        <v>0.0056407815038589</v>
      </c>
      <c r="E117" s="21" t="n">
        <f aca="false">D117/(C117+D117)</f>
        <v>0.221224527466453</v>
      </c>
      <c r="F117" s="15" t="n">
        <f aca="false">MIN(5,INT(E117/0.2)+1)</f>
        <v>2</v>
      </c>
      <c r="G117" s="21" t="n">
        <v>0.221224527466453</v>
      </c>
      <c r="H117" s="28" t="n">
        <f aca="false">ABS(E117-G117)</f>
        <v>0</v>
      </c>
      <c r="I117" s="15" t="n">
        <v>2</v>
      </c>
      <c r="J117" s="21" t="n">
        <f aca="false">(SUMPRODUCT(2_Matriz_decision!C117:Q117,5_Ponderada!$C$5:$Q$5)-1)/4</f>
        <v>0.237403073615223</v>
      </c>
      <c r="K117" s="15" t="n">
        <f aca="false">MIN(5,INT(J117/0.2)+1)</f>
        <v>2</v>
      </c>
      <c r="L117" s="21" t="n">
        <v>0.237403073615224</v>
      </c>
    </row>
    <row r="118" customFormat="false" ht="15" hidden="false" customHeight="false" outlineLevel="0" collapsed="false">
      <c r="A118" s="15" t="n">
        <f aca="false">2_Matriz_decision!A118</f>
        <v>114</v>
      </c>
      <c r="B118" s="16" t="n">
        <f aca="false">2_Matriz_decision!B118</f>
        <v>11.665</v>
      </c>
      <c r="C118" s="21" t="n">
        <f aca="false">SQRT(SUMXMY2(5_Ponderada!C121:Q121,5_Ponderada!$C$6:$Q$6))</f>
        <v>0.019887004838444</v>
      </c>
      <c r="D118" s="21" t="n">
        <f aca="false">SQRT(SUMXMY2(5_Ponderada!C121:Q121,5_Ponderada!$C$7:$Q$7))</f>
        <v>0.00558179220302733</v>
      </c>
      <c r="E118" s="21" t="n">
        <f aca="false">D118/(C118+D118)</f>
        <v>0.219161988449568</v>
      </c>
      <c r="F118" s="15" t="n">
        <f aca="false">MIN(5,INT(E118/0.2)+1)</f>
        <v>2</v>
      </c>
      <c r="G118" s="21" t="n">
        <v>0.219161988449568</v>
      </c>
      <c r="H118" s="28" t="n">
        <f aca="false">ABS(E118-G118)</f>
        <v>0</v>
      </c>
      <c r="I118" s="15" t="n">
        <v>2</v>
      </c>
      <c r="J118" s="21" t="n">
        <f aca="false">(SUMPRODUCT(2_Matriz_decision!C118:Q118,5_Ponderada!$C$5:$Q$5)-1)/4</f>
        <v>0.226533483351272</v>
      </c>
      <c r="K118" s="15" t="n">
        <f aca="false">MIN(5,INT(J118/0.2)+1)</f>
        <v>2</v>
      </c>
      <c r="L118" s="21" t="n">
        <v>0.226533483351272</v>
      </c>
    </row>
    <row r="119" customFormat="false" ht="15" hidden="false" customHeight="false" outlineLevel="0" collapsed="false">
      <c r="A119" s="15" t="n">
        <f aca="false">2_Matriz_decision!A119</f>
        <v>115</v>
      </c>
      <c r="B119" s="16" t="n">
        <f aca="false">2_Matriz_decision!B119</f>
        <v>11.767</v>
      </c>
      <c r="C119" s="21" t="n">
        <f aca="false">SQRT(SUMXMY2(5_Ponderada!C122:Q122,5_Ponderada!$C$6:$Q$6))</f>
        <v>0.0198861666601062</v>
      </c>
      <c r="D119" s="21" t="n">
        <f aca="false">SQRT(SUMXMY2(5_Ponderada!C122:Q122,5_Ponderada!$C$7:$Q$7))</f>
        <v>0.00558522999570624</v>
      </c>
      <c r="E119" s="21" t="n">
        <f aca="false">D119/(C119+D119)</f>
        <v>0.219274587537457</v>
      </c>
      <c r="F119" s="15" t="n">
        <f aca="false">MIN(5,INT(E119/0.2)+1)</f>
        <v>2</v>
      </c>
      <c r="G119" s="21" t="n">
        <v>0.219274587537457</v>
      </c>
      <c r="H119" s="28" t="n">
        <f aca="false">ABS(E119-G119)</f>
        <v>0</v>
      </c>
      <c r="I119" s="15" t="n">
        <v>2</v>
      </c>
      <c r="J119" s="21" t="n">
        <f aca="false">(SUMPRODUCT(2_Matriz_decision!C119:Q119,5_Ponderada!$C$5:$Q$5)-1)/4</f>
        <v>0.226255967897127</v>
      </c>
      <c r="K119" s="15" t="n">
        <f aca="false">MIN(5,INT(J119/0.2)+1)</f>
        <v>2</v>
      </c>
      <c r="L119" s="21" t="n">
        <v>0.226255967897127</v>
      </c>
    </row>
    <row r="120" customFormat="false" ht="15" hidden="false" customHeight="false" outlineLevel="0" collapsed="false">
      <c r="A120" s="15" t="n">
        <f aca="false">2_Matriz_decision!A120</f>
        <v>116</v>
      </c>
      <c r="B120" s="16" t="n">
        <f aca="false">2_Matriz_decision!B120</f>
        <v>11.868</v>
      </c>
      <c r="C120" s="21" t="n">
        <f aca="false">SQRT(SUMXMY2(5_Ponderada!C123:Q123,5_Ponderada!$C$6:$Q$6))</f>
        <v>0.0198756236177809</v>
      </c>
      <c r="D120" s="21" t="n">
        <f aca="false">SQRT(SUMXMY2(5_Ponderada!C123:Q123,5_Ponderada!$C$7:$Q$7))</f>
        <v>0.00559882615528961</v>
      </c>
      <c r="E120" s="21" t="n">
        <f aca="false">D120/(C120+D120)</f>
        <v>0.219782024937325</v>
      </c>
      <c r="F120" s="15" t="n">
        <f aca="false">MIN(5,INT(E120/0.2)+1)</f>
        <v>2</v>
      </c>
      <c r="G120" s="21" t="n">
        <v>0.219782024937325</v>
      </c>
      <c r="H120" s="28" t="n">
        <f aca="false">ABS(E120-G120)</f>
        <v>0</v>
      </c>
      <c r="I120" s="15" t="n">
        <v>2</v>
      </c>
      <c r="J120" s="21" t="n">
        <f aca="false">(SUMPRODUCT(2_Matriz_decision!C120:Q120,5_Ponderada!$C$5:$Q$5)-1)/4</f>
        <v>0.228810879253228</v>
      </c>
      <c r="K120" s="15" t="n">
        <f aca="false">MIN(5,INT(J120/0.2)+1)</f>
        <v>2</v>
      </c>
      <c r="L120" s="21" t="n">
        <v>0.228810879253228</v>
      </c>
    </row>
    <row r="121" customFormat="false" ht="15" hidden="false" customHeight="false" outlineLevel="0" collapsed="false">
      <c r="A121" s="15" t="n">
        <f aca="false">2_Matriz_decision!A121</f>
        <v>117</v>
      </c>
      <c r="B121" s="16" t="n">
        <f aca="false">2_Matriz_decision!B121</f>
        <v>11.968</v>
      </c>
      <c r="C121" s="21" t="n">
        <f aca="false">SQRT(SUMXMY2(5_Ponderada!C124:Q124,5_Ponderada!$C$6:$Q$6))</f>
        <v>0.0183528340127301</v>
      </c>
      <c r="D121" s="21" t="n">
        <f aca="false">SQRT(SUMXMY2(5_Ponderada!C124:Q124,5_Ponderada!$C$7:$Q$7))</f>
        <v>0.00628149168685486</v>
      </c>
      <c r="E121" s="21" t="n">
        <f aca="false">D121/(C121+D121)</f>
        <v>0.254989390148426</v>
      </c>
      <c r="F121" s="15" t="n">
        <f aca="false">MIN(5,INT(E121/0.2)+1)</f>
        <v>2</v>
      </c>
      <c r="G121" s="21" t="n">
        <v>0.254989390148426</v>
      </c>
      <c r="H121" s="28" t="n">
        <f aca="false">ABS(E121-G121)</f>
        <v>0</v>
      </c>
      <c r="I121" s="15" t="n">
        <v>2</v>
      </c>
      <c r="J121" s="21" t="n">
        <f aca="false">(SUMPRODUCT(2_Matriz_decision!C121:Q121,5_Ponderada!$C$5:$Q$5)-1)/4</f>
        <v>0.28338226035064</v>
      </c>
      <c r="K121" s="15" t="n">
        <f aca="false">MIN(5,INT(J121/0.2)+1)</f>
        <v>2</v>
      </c>
      <c r="L121" s="21" t="n">
        <v>0.283382260350641</v>
      </c>
    </row>
    <row r="122" customFormat="false" ht="15" hidden="false" customHeight="false" outlineLevel="0" collapsed="false">
      <c r="A122" s="15" t="n">
        <f aca="false">2_Matriz_decision!A122</f>
        <v>118</v>
      </c>
      <c r="B122" s="16" t="n">
        <f aca="false">2_Matriz_decision!B122</f>
        <v>12.067</v>
      </c>
      <c r="C122" s="21" t="n">
        <f aca="false">SQRT(SUMXMY2(5_Ponderada!C125:Q125,5_Ponderada!$C$6:$Q$6))</f>
        <v>0.0171837388984707</v>
      </c>
      <c r="D122" s="21" t="n">
        <f aca="false">SQRT(SUMXMY2(5_Ponderada!C125:Q125,5_Ponderada!$C$7:$Q$7))</f>
        <v>0.0080429067591465</v>
      </c>
      <c r="E122" s="21" t="n">
        <f aca="false">D122/(C122+D122)</f>
        <v>0.318825850583029</v>
      </c>
      <c r="F122" s="15" t="n">
        <f aca="false">MIN(5,INT(E122/0.2)+1)</f>
        <v>2</v>
      </c>
      <c r="G122" s="21" t="n">
        <v>0.318825850583029</v>
      </c>
      <c r="H122" s="28" t="n">
        <f aca="false">ABS(E122-G122)</f>
        <v>0</v>
      </c>
      <c r="I122" s="15" t="n">
        <v>2</v>
      </c>
      <c r="J122" s="21" t="n">
        <f aca="false">(SUMPRODUCT(2_Matriz_decision!C122:Q122,5_Ponderada!$C$5:$Q$5)-1)/4</f>
        <v>0.341355735504661</v>
      </c>
      <c r="K122" s="15" t="n">
        <f aca="false">MIN(5,INT(J122/0.2)+1)</f>
        <v>2</v>
      </c>
      <c r="L122" s="21" t="n">
        <v>0.341355735504662</v>
      </c>
    </row>
    <row r="123" customFormat="false" ht="15" hidden="false" customHeight="false" outlineLevel="0" collapsed="false">
      <c r="A123" s="15" t="n">
        <f aca="false">2_Matriz_decision!A123</f>
        <v>119</v>
      </c>
      <c r="B123" s="16" t="n">
        <f aca="false">2_Matriz_decision!B123</f>
        <v>12.164</v>
      </c>
      <c r="C123" s="21" t="n">
        <f aca="false">SQRT(SUMXMY2(5_Ponderada!C126:Q126,5_Ponderada!$C$6:$Q$6))</f>
        <v>0.0171978738019907</v>
      </c>
      <c r="D123" s="21" t="n">
        <f aca="false">SQRT(SUMXMY2(5_Ponderada!C126:Q126,5_Ponderada!$C$7:$Q$7))</f>
        <v>0.0080661806023294</v>
      </c>
      <c r="E123" s="21" t="n">
        <f aca="false">D123/(C123+D123)</f>
        <v>0.319274985449291</v>
      </c>
      <c r="F123" s="15" t="n">
        <f aca="false">MIN(5,INT(E123/0.2)+1)</f>
        <v>2</v>
      </c>
      <c r="G123" s="21" t="n">
        <v>0.319274985449291</v>
      </c>
      <c r="H123" s="28" t="n">
        <f aca="false">ABS(E123-G123)</f>
        <v>0</v>
      </c>
      <c r="I123" s="15" t="n">
        <v>2</v>
      </c>
      <c r="J123" s="21" t="n">
        <f aca="false">(SUMPRODUCT(2_Matriz_decision!C123:Q123,5_Ponderada!$C$5:$Q$5)-1)/4</f>
        <v>0.340980013325859</v>
      </c>
      <c r="K123" s="15" t="n">
        <f aca="false">MIN(5,INT(J123/0.2)+1)</f>
        <v>2</v>
      </c>
      <c r="L123" s="21" t="n">
        <v>0.34098001332586</v>
      </c>
    </row>
    <row r="124" customFormat="false" ht="15" hidden="false" customHeight="false" outlineLevel="0" collapsed="false">
      <c r="A124" s="15" t="n">
        <f aca="false">2_Matriz_decision!A124</f>
        <v>120</v>
      </c>
      <c r="B124" s="16" t="n">
        <f aca="false">2_Matriz_decision!B124</f>
        <v>12.261</v>
      </c>
      <c r="C124" s="21" t="n">
        <f aca="false">SQRT(SUMXMY2(5_Ponderada!C127:Q127,5_Ponderada!$C$6:$Q$6))</f>
        <v>0.0164675062113916</v>
      </c>
      <c r="D124" s="21" t="n">
        <f aca="false">SQRT(SUMXMY2(5_Ponderada!C127:Q127,5_Ponderada!$C$7:$Q$7))</f>
        <v>0.0103022924505076</v>
      </c>
      <c r="E124" s="21" t="n">
        <f aca="false">D124/(C124+D124)</f>
        <v>0.384847588158017</v>
      </c>
      <c r="F124" s="15" t="n">
        <f aca="false">MIN(5,INT(E124/0.2)+1)</f>
        <v>2</v>
      </c>
      <c r="G124" s="21" t="n">
        <v>0.384847588158017</v>
      </c>
      <c r="H124" s="28" t="n">
        <f aca="false">ABS(E124-G124)</f>
        <v>0</v>
      </c>
      <c r="I124" s="15" t="n">
        <v>2</v>
      </c>
      <c r="J124" s="21" t="n">
        <f aca="false">(SUMPRODUCT(2_Matriz_decision!C124:Q124,5_Ponderada!$C$5:$Q$5)-1)/4</f>
        <v>0.394950534243331</v>
      </c>
      <c r="K124" s="15" t="n">
        <f aca="false">MIN(5,INT(J124/0.2)+1)</f>
        <v>2</v>
      </c>
      <c r="L124" s="21" t="n">
        <v>0.394950534243332</v>
      </c>
    </row>
    <row r="125" customFormat="false" ht="15" hidden="false" customHeight="false" outlineLevel="0" collapsed="false">
      <c r="A125" s="15" t="n">
        <f aca="false">2_Matriz_decision!A125</f>
        <v>121</v>
      </c>
      <c r="B125" s="16" t="n">
        <f aca="false">2_Matriz_decision!B125</f>
        <v>12.357</v>
      </c>
      <c r="C125" s="21" t="n">
        <f aca="false">SQRT(SUMXMY2(5_Ponderada!C128:Q128,5_Ponderada!$C$6:$Q$6))</f>
        <v>0.0162170451112897</v>
      </c>
      <c r="D125" s="21" t="n">
        <f aca="false">SQRT(SUMXMY2(5_Ponderada!C128:Q128,5_Ponderada!$C$7:$Q$7))</f>
        <v>0.0127860769952258</v>
      </c>
      <c r="E125" s="21" t="n">
        <f aca="false">D125/(C125+D125)</f>
        <v>0.440851745142066</v>
      </c>
      <c r="F125" s="15" t="n">
        <f aca="false">MIN(5,INT(E125/0.2)+1)</f>
        <v>3</v>
      </c>
      <c r="G125" s="21" t="n">
        <v>0.440851745142066</v>
      </c>
      <c r="H125" s="28" t="n">
        <f aca="false">ABS(E125-G125)</f>
        <v>0</v>
      </c>
      <c r="I125" s="15" t="n">
        <v>3</v>
      </c>
      <c r="J125" s="21" t="n">
        <f aca="false">(SUMPRODUCT(2_Matriz_decision!C125:Q125,5_Ponderada!$C$5:$Q$5)-1)/4</f>
        <v>0.448349102896921</v>
      </c>
      <c r="K125" s="15" t="n">
        <f aca="false">MIN(5,INT(J125/0.2)+1)</f>
        <v>3</v>
      </c>
      <c r="L125" s="21" t="n">
        <v>0.448349102896922</v>
      </c>
    </row>
    <row r="126" customFormat="false" ht="15" hidden="false" customHeight="false" outlineLevel="0" collapsed="false">
      <c r="A126" s="15" t="n">
        <f aca="false">2_Matriz_decision!A126</f>
        <v>122</v>
      </c>
      <c r="B126" s="16" t="n">
        <f aca="false">2_Matriz_decision!B126</f>
        <v>12.451</v>
      </c>
      <c r="C126" s="21" t="n">
        <f aca="false">SQRT(SUMXMY2(5_Ponderada!C129:Q129,5_Ponderada!$C$6:$Q$6))</f>
        <v>0.0164726008629347</v>
      </c>
      <c r="D126" s="21" t="n">
        <f aca="false">SQRT(SUMXMY2(5_Ponderada!C129:Q129,5_Ponderada!$C$7:$Q$7))</f>
        <v>0.0102858734940314</v>
      </c>
      <c r="E126" s="21" t="n">
        <f aca="false">D126/(C126+D126)</f>
        <v>0.384396858984363</v>
      </c>
      <c r="F126" s="15" t="n">
        <f aca="false">MIN(5,INT(E126/0.2)+1)</f>
        <v>2</v>
      </c>
      <c r="G126" s="21" t="n">
        <v>0.384396858984363</v>
      </c>
      <c r="H126" s="28" t="n">
        <f aca="false">ABS(E126-G126)</f>
        <v>0</v>
      </c>
      <c r="I126" s="15" t="n">
        <v>2</v>
      </c>
      <c r="J126" s="21" t="n">
        <f aca="false">(SUMPRODUCT(2_Matriz_decision!C126:Q126,5_Ponderada!$C$5:$Q$5)-1)/4</f>
        <v>0.392728294498875</v>
      </c>
      <c r="K126" s="15" t="n">
        <f aca="false">MIN(5,INT(J126/0.2)+1)</f>
        <v>2</v>
      </c>
      <c r="L126" s="21" t="n">
        <v>0.392728294498875</v>
      </c>
    </row>
    <row r="127" customFormat="false" ht="15" hidden="false" customHeight="false" outlineLevel="0" collapsed="false">
      <c r="A127" s="15" t="n">
        <f aca="false">2_Matriz_decision!A127</f>
        <v>123</v>
      </c>
      <c r="B127" s="16" t="n">
        <f aca="false">2_Matriz_decision!B127</f>
        <v>12.546</v>
      </c>
      <c r="C127" s="21" t="n">
        <f aca="false">SQRT(SUMXMY2(5_Ponderada!C130:Q130,5_Ponderada!$C$6:$Q$6))</f>
        <v>0.016200042865553</v>
      </c>
      <c r="D127" s="21" t="n">
        <f aca="false">SQRT(SUMXMY2(5_Ponderada!C130:Q130,5_Ponderada!$C$7:$Q$7))</f>
        <v>0.0127732129965187</v>
      </c>
      <c r="E127" s="21" t="n">
        <f aca="false">D127/(C127+D127)</f>
        <v>0.440862188817373</v>
      </c>
      <c r="F127" s="15" t="n">
        <f aca="false">MIN(5,INT(E127/0.2)+1)</f>
        <v>3</v>
      </c>
      <c r="G127" s="21" t="n">
        <v>0.440862188817373</v>
      </c>
      <c r="H127" s="28" t="n">
        <f aca="false">ABS(E127-G127)</f>
        <v>0</v>
      </c>
      <c r="I127" s="15" t="n">
        <v>3</v>
      </c>
      <c r="J127" s="21" t="n">
        <f aca="false">(SUMPRODUCT(2_Matriz_decision!C127:Q127,5_Ponderada!$C$5:$Q$5)-1)/4</f>
        <v>0.455391636527753</v>
      </c>
      <c r="K127" s="15" t="n">
        <f aca="false">MIN(5,INT(J127/0.2)+1)</f>
        <v>3</v>
      </c>
      <c r="L127" s="21" t="n">
        <v>0.455391636527754</v>
      </c>
    </row>
    <row r="128" customFormat="false" ht="15" hidden="false" customHeight="false" outlineLevel="0" collapsed="false">
      <c r="A128" s="15" t="n">
        <f aca="false">2_Matriz_decision!A128</f>
        <v>124</v>
      </c>
      <c r="B128" s="16" t="n">
        <f aca="false">2_Matriz_decision!B128</f>
        <v>12.64</v>
      </c>
      <c r="C128" s="21" t="n">
        <f aca="false">SQRT(SUMXMY2(5_Ponderada!C131:Q131,5_Ponderada!$C$6:$Q$6))</f>
        <v>0.0198680054911264</v>
      </c>
      <c r="D128" s="21" t="n">
        <f aca="false">SQRT(SUMXMY2(5_Ponderada!C131:Q131,5_Ponderada!$C$7:$Q$7))</f>
        <v>0.00562640126986553</v>
      </c>
      <c r="E128" s="21" t="n">
        <f aca="false">D128/(C128+D128)</f>
        <v>0.220691594145045</v>
      </c>
      <c r="F128" s="15" t="n">
        <f aca="false">MIN(5,INT(E128/0.2)+1)</f>
        <v>2</v>
      </c>
      <c r="G128" s="21" t="n">
        <v>0.220691594145045</v>
      </c>
      <c r="H128" s="28" t="n">
        <f aca="false">ABS(E128-G128)</f>
        <v>0</v>
      </c>
      <c r="I128" s="15" t="n">
        <v>2</v>
      </c>
      <c r="J128" s="21" t="n">
        <f aca="false">(SUMPRODUCT(2_Matriz_decision!C128:Q128,5_Ponderada!$C$5:$Q$5)-1)/4</f>
        <v>0.234035540518761</v>
      </c>
      <c r="K128" s="15" t="n">
        <f aca="false">MIN(5,INT(J128/0.2)+1)</f>
        <v>2</v>
      </c>
      <c r="L128" s="21" t="n">
        <v>0.234035540518761</v>
      </c>
    </row>
    <row r="129" customFormat="false" ht="15" hidden="false" customHeight="false" outlineLevel="0" collapsed="false">
      <c r="A129" s="15" t="n">
        <f aca="false">2_Matriz_decision!A129</f>
        <v>125</v>
      </c>
      <c r="B129" s="16" t="n">
        <f aca="false">2_Matriz_decision!B129</f>
        <v>12.736</v>
      </c>
      <c r="C129" s="21" t="n">
        <f aca="false">SQRT(SUMXMY2(5_Ponderada!C132:Q132,5_Ponderada!$C$6:$Q$6))</f>
        <v>0.0198805020213246</v>
      </c>
      <c r="D129" s="21" t="n">
        <f aca="false">SQRT(SUMXMY2(5_Ponderada!C132:Q132,5_Ponderada!$C$7:$Q$7))</f>
        <v>0.00571753651088403</v>
      </c>
      <c r="E129" s="21" t="n">
        <f aca="false">D129/(C129+D129)</f>
        <v>0.223358383639042</v>
      </c>
      <c r="F129" s="15" t="n">
        <f aca="false">MIN(5,INT(E129/0.2)+1)</f>
        <v>2</v>
      </c>
      <c r="G129" s="21" t="n">
        <v>0.223358383639042</v>
      </c>
      <c r="H129" s="28" t="n">
        <f aca="false">ABS(E129-G129)</f>
        <v>0</v>
      </c>
      <c r="I129" s="15" t="n">
        <v>2</v>
      </c>
      <c r="J129" s="21" t="n">
        <f aca="false">(SUMPRODUCT(2_Matriz_decision!C129:Q129,5_Ponderada!$C$5:$Q$5)-1)/4</f>
        <v>0.241373440259213</v>
      </c>
      <c r="K129" s="15" t="n">
        <f aca="false">MIN(5,INT(J129/0.2)+1)</f>
        <v>2</v>
      </c>
      <c r="L129" s="21" t="n">
        <v>0.241373440259213</v>
      </c>
    </row>
    <row r="130" customFormat="false" ht="15" hidden="false" customHeight="false" outlineLevel="0" collapsed="false">
      <c r="A130" s="15" t="n">
        <f aca="false">2_Matriz_decision!A130</f>
        <v>126</v>
      </c>
      <c r="B130" s="16" t="n">
        <f aca="false">2_Matriz_decision!B130</f>
        <v>12.832</v>
      </c>
      <c r="C130" s="21" t="n">
        <f aca="false">SQRT(SUMXMY2(5_Ponderada!C133:Q133,5_Ponderada!$C$6:$Q$6))</f>
        <v>0.0198957627135996</v>
      </c>
      <c r="D130" s="21" t="n">
        <f aca="false">SQRT(SUMXMY2(5_Ponderada!C133:Q133,5_Ponderada!$C$7:$Q$7))</f>
        <v>0.00564570749628043</v>
      </c>
      <c r="E130" s="21" t="n">
        <f aca="false">D130/(C130+D130)</f>
        <v>0.221040819102752</v>
      </c>
      <c r="F130" s="15" t="n">
        <f aca="false">MIN(5,INT(E130/0.2)+1)</f>
        <v>2</v>
      </c>
      <c r="G130" s="21" t="n">
        <v>0.221040819102752</v>
      </c>
      <c r="H130" s="28" t="n">
        <f aca="false">ABS(E130-G130)</f>
        <v>0</v>
      </c>
      <c r="I130" s="15" t="n">
        <v>2</v>
      </c>
      <c r="J130" s="21" t="n">
        <f aca="false">(SUMPRODUCT(2_Matriz_decision!C130:Q130,5_Ponderada!$C$5:$Q$5)-1)/4</f>
        <v>0.230601921994963</v>
      </c>
      <c r="K130" s="15" t="n">
        <f aca="false">MIN(5,INT(J130/0.2)+1)</f>
        <v>2</v>
      </c>
      <c r="L130" s="21" t="n">
        <v>0.230601921994963</v>
      </c>
    </row>
    <row r="131" customFormat="false" ht="15" hidden="false" customHeight="false" outlineLevel="0" collapsed="false">
      <c r="A131" s="15" t="n">
        <f aca="false">2_Matriz_decision!A131</f>
        <v>127</v>
      </c>
      <c r="B131" s="16" t="n">
        <f aca="false">2_Matriz_decision!B131</f>
        <v>12.93</v>
      </c>
      <c r="C131" s="21" t="n">
        <f aca="false">SQRT(SUMXMY2(5_Ponderada!C134:Q134,5_Ponderada!$C$6:$Q$6))</f>
        <v>0.0184488188740076</v>
      </c>
      <c r="D131" s="21" t="n">
        <f aca="false">SQRT(SUMXMY2(5_Ponderada!C134:Q134,5_Ponderada!$C$7:$Q$7))</f>
        <v>0.0064252073290248</v>
      </c>
      <c r="E131" s="21" t="n">
        <f aca="false">D131/(C131+D131)</f>
        <v>0.258309904338748</v>
      </c>
      <c r="F131" s="15" t="n">
        <f aca="false">MIN(5,INT(E131/0.2)+1)</f>
        <v>2</v>
      </c>
      <c r="G131" s="21" t="n">
        <v>0.258309904338748</v>
      </c>
      <c r="H131" s="28" t="n">
        <f aca="false">ABS(E131-G131)</f>
        <v>0</v>
      </c>
      <c r="I131" s="15" t="n">
        <v>2</v>
      </c>
      <c r="J131" s="21" t="n">
        <f aca="false">(SUMPRODUCT(2_Matriz_decision!C131:Q131,5_Ponderada!$C$5:$Q$5)-1)/4</f>
        <v>0.289421085858386</v>
      </c>
      <c r="K131" s="15" t="n">
        <f aca="false">MIN(5,INT(J131/0.2)+1)</f>
        <v>2</v>
      </c>
      <c r="L131" s="21" t="n">
        <v>0.289421085858387</v>
      </c>
    </row>
    <row r="132" customFormat="false" ht="15" hidden="false" customHeight="false" outlineLevel="0" collapsed="false">
      <c r="A132" s="15" t="n">
        <f aca="false">2_Matriz_decision!A132</f>
        <v>128</v>
      </c>
      <c r="B132" s="16" t="n">
        <f aca="false">2_Matriz_decision!B132</f>
        <v>13.031</v>
      </c>
      <c r="C132" s="21" t="n">
        <f aca="false">SQRT(SUMXMY2(5_Ponderada!C135:Q135,5_Ponderada!$C$6:$Q$6))</f>
        <v>0.0184367767301186</v>
      </c>
      <c r="D132" s="21" t="n">
        <f aca="false">SQRT(SUMXMY2(5_Ponderada!C135:Q135,5_Ponderada!$C$7:$Q$7))</f>
        <v>0.00648605479618423</v>
      </c>
      <c r="E132" s="21" t="n">
        <f aca="false">D132/(C132+D132)</f>
        <v>0.260245501773706</v>
      </c>
      <c r="F132" s="15" t="n">
        <f aca="false">MIN(5,INT(E132/0.2)+1)</f>
        <v>2</v>
      </c>
      <c r="G132" s="21" t="n">
        <v>0.260245501773706</v>
      </c>
      <c r="H132" s="28" t="n">
        <f aca="false">ABS(E132-G132)</f>
        <v>0</v>
      </c>
      <c r="I132" s="15" t="n">
        <v>2</v>
      </c>
      <c r="J132" s="21" t="n">
        <f aca="false">(SUMPRODUCT(2_Matriz_decision!C132:Q132,5_Ponderada!$C$5:$Q$5)-1)/4</f>
        <v>0.298942564123635</v>
      </c>
      <c r="K132" s="15" t="n">
        <f aca="false">MIN(5,INT(J132/0.2)+1)</f>
        <v>2</v>
      </c>
      <c r="L132" s="21" t="n">
        <v>0.298942564123635</v>
      </c>
    </row>
    <row r="133" customFormat="false" ht="15" hidden="false" customHeight="false" outlineLevel="0" collapsed="false">
      <c r="A133" s="15" t="n">
        <f aca="false">2_Matriz_decision!A133</f>
        <v>129</v>
      </c>
      <c r="B133" s="16" t="n">
        <f aca="false">2_Matriz_decision!B133</f>
        <v>13.132</v>
      </c>
      <c r="C133" s="21" t="n">
        <f aca="false">SQRT(SUMXMY2(5_Ponderada!C136:Q136,5_Ponderada!$C$6:$Q$6))</f>
        <v>0.0184403172466969</v>
      </c>
      <c r="D133" s="21" t="n">
        <f aca="false">SQRT(SUMXMY2(5_Ponderada!C136:Q136,5_Ponderada!$C$7:$Q$7))</f>
        <v>0.00647127221163928</v>
      </c>
      <c r="E133" s="21" t="n">
        <f aca="false">D133/(C133+D133)</f>
        <v>0.259769543106123</v>
      </c>
      <c r="F133" s="15" t="n">
        <f aca="false">MIN(5,INT(E133/0.2)+1)</f>
        <v>2</v>
      </c>
      <c r="G133" s="21" t="n">
        <v>0.259769543106123</v>
      </c>
      <c r="H133" s="28" t="n">
        <f aca="false">ABS(E133-G133)</f>
        <v>0</v>
      </c>
      <c r="I133" s="15" t="n">
        <v>2</v>
      </c>
      <c r="J133" s="21" t="n">
        <f aca="false">(SUMPRODUCT(2_Matriz_decision!C133:Q133,5_Ponderada!$C$5:$Q$5)-1)/4</f>
        <v>0.294585794887235</v>
      </c>
      <c r="K133" s="15" t="n">
        <f aca="false">MIN(5,INT(J133/0.2)+1)</f>
        <v>2</v>
      </c>
      <c r="L133" s="21" t="n">
        <v>0.294585794887235</v>
      </c>
    </row>
    <row r="134" customFormat="false" ht="15" hidden="false" customHeight="false" outlineLevel="0" collapsed="false">
      <c r="A134" s="15" t="n">
        <f aca="false">2_Matriz_decision!A134</f>
        <v>130</v>
      </c>
      <c r="B134" s="16" t="n">
        <f aca="false">2_Matriz_decision!B134</f>
        <v>13.234</v>
      </c>
      <c r="C134" s="21" t="n">
        <f aca="false">SQRT(SUMXMY2(5_Ponderada!C137:Q137,5_Ponderada!$C$6:$Q$6))</f>
        <v>0.0184345031028344</v>
      </c>
      <c r="D134" s="21" t="n">
        <f aca="false">SQRT(SUMXMY2(5_Ponderada!C137:Q137,5_Ponderada!$C$7:$Q$7))</f>
        <v>0.00644915925270379</v>
      </c>
      <c r="E134" s="21" t="n">
        <f aca="false">D134/(C134+D134)</f>
        <v>0.259172430511157</v>
      </c>
      <c r="F134" s="15" t="n">
        <f aca="false">MIN(5,INT(E134/0.2)+1)</f>
        <v>2</v>
      </c>
      <c r="G134" s="21" t="n">
        <v>0.259172430511157</v>
      </c>
      <c r="H134" s="28" t="n">
        <f aca="false">ABS(E134-G134)</f>
        <v>0</v>
      </c>
      <c r="I134" s="15" t="n">
        <v>2</v>
      </c>
      <c r="J134" s="21" t="n">
        <f aca="false">(SUMPRODUCT(2_Matriz_decision!C134:Q134,5_Ponderada!$C$5:$Q$5)-1)/4</f>
        <v>0.297319792347388</v>
      </c>
      <c r="K134" s="15" t="n">
        <f aca="false">MIN(5,INT(J134/0.2)+1)</f>
        <v>2</v>
      </c>
      <c r="L134" s="21" t="n">
        <v>0.297319792347388</v>
      </c>
    </row>
    <row r="135" customFormat="false" ht="15" hidden="false" customHeight="false" outlineLevel="0" collapsed="false">
      <c r="A135" s="15" t="n">
        <f aca="false">2_Matriz_decision!A135</f>
        <v>131</v>
      </c>
      <c r="B135" s="16" t="n">
        <f aca="false">2_Matriz_decision!B135</f>
        <v>13.337</v>
      </c>
      <c r="C135" s="21" t="n">
        <f aca="false">SQRT(SUMXMY2(5_Ponderada!C138:Q138,5_Ponderada!$C$6:$Q$6))</f>
        <v>0.017296702737952</v>
      </c>
      <c r="D135" s="21" t="n">
        <f aca="false">SQRT(SUMXMY2(5_Ponderada!C138:Q138,5_Ponderada!$C$7:$Q$7))</f>
        <v>0.00809023229277732</v>
      </c>
      <c r="E135" s="21" t="n">
        <f aca="false">D135/(C135+D135)</f>
        <v>0.31867699992081</v>
      </c>
      <c r="F135" s="15" t="n">
        <f aca="false">MIN(5,INT(E135/0.2)+1)</f>
        <v>2</v>
      </c>
      <c r="G135" s="21" t="n">
        <v>0.31867699992081</v>
      </c>
      <c r="H135" s="28" t="n">
        <f aca="false">ABS(E135-G135)</f>
        <v>0</v>
      </c>
      <c r="I135" s="15" t="n">
        <v>2</v>
      </c>
      <c r="J135" s="21" t="n">
        <f aca="false">(SUMPRODUCT(2_Matriz_decision!C135:Q135,5_Ponderada!$C$5:$Q$5)-1)/4</f>
        <v>0.351236178439975</v>
      </c>
      <c r="K135" s="15" t="n">
        <f aca="false">MIN(5,INT(J135/0.2)+1)</f>
        <v>2</v>
      </c>
      <c r="L135" s="21" t="n">
        <v>0.351236178439975</v>
      </c>
    </row>
    <row r="136" customFormat="false" ht="15" hidden="false" customHeight="false" outlineLevel="0" collapsed="false">
      <c r="A136" s="15" t="n">
        <f aca="false">2_Matriz_decision!A136</f>
        <v>132</v>
      </c>
      <c r="B136" s="16" t="n">
        <f aca="false">2_Matriz_decision!B136</f>
        <v>13.439</v>
      </c>
      <c r="C136" s="21" t="n">
        <f aca="false">SQRT(SUMXMY2(5_Ponderada!C139:Q139,5_Ponderada!$C$6:$Q$6))</f>
        <v>0.0129179726564481</v>
      </c>
      <c r="D136" s="21" t="n">
        <f aca="false">SQRT(SUMXMY2(5_Ponderada!C139:Q139,5_Ponderada!$C$7:$Q$7))</f>
        <v>0.0140807494721414</v>
      </c>
      <c r="E136" s="21" t="n">
        <f aca="false">D136/(C136+D136)</f>
        <v>0.521533923164127</v>
      </c>
      <c r="F136" s="15" t="n">
        <f aca="false">MIN(5,INT(E136/0.2)+1)</f>
        <v>3</v>
      </c>
      <c r="G136" s="21" t="n">
        <v>0.521533923164126</v>
      </c>
      <c r="H136" s="28" t="n">
        <f aca="false">ABS(E136-G136)</f>
        <v>0</v>
      </c>
      <c r="I136" s="15" t="n">
        <v>3</v>
      </c>
      <c r="J136" s="21" t="n">
        <f aca="false">(SUMPRODUCT(2_Matriz_decision!C136:Q136,5_Ponderada!$C$5:$Q$5)-1)/4</f>
        <v>0.583058643056487</v>
      </c>
      <c r="K136" s="15" t="n">
        <f aca="false">MIN(5,INT(J136/0.2)+1)</f>
        <v>3</v>
      </c>
      <c r="L136" s="21" t="n">
        <v>0.583058643056488</v>
      </c>
    </row>
    <row r="137" customFormat="false" ht="15" hidden="false" customHeight="false" outlineLevel="0" collapsed="false">
      <c r="A137" s="15" t="n">
        <f aca="false">2_Matriz_decision!A137</f>
        <v>133</v>
      </c>
      <c r="B137" s="16" t="n">
        <f aca="false">2_Matriz_decision!B137</f>
        <v>13.542</v>
      </c>
      <c r="C137" s="21" t="n">
        <f aca="false">SQRT(SUMXMY2(5_Ponderada!C140:Q140,5_Ponderada!$C$6:$Q$6))</f>
        <v>0.0122935647442649</v>
      </c>
      <c r="D137" s="21" t="n">
        <f aca="false">SQRT(SUMXMY2(5_Ponderada!C140:Q140,5_Ponderada!$C$7:$Q$7))</f>
        <v>0.0134435945774916</v>
      </c>
      <c r="E137" s="21" t="n">
        <f aca="false">D137/(C137+D137)</f>
        <v>0.52234181750304</v>
      </c>
      <c r="F137" s="15" t="n">
        <f aca="false">MIN(5,INT(E137/0.2)+1)</f>
        <v>3</v>
      </c>
      <c r="G137" s="21" t="n">
        <v>0.52234181750304</v>
      </c>
      <c r="H137" s="28" t="n">
        <f aca="false">ABS(E137-G137)</f>
        <v>0</v>
      </c>
      <c r="I137" s="15" t="n">
        <v>3</v>
      </c>
      <c r="J137" s="21" t="n">
        <f aca="false">(SUMPRODUCT(2_Matriz_decision!C137:Q137,5_Ponderada!$C$5:$Q$5)-1)/4</f>
        <v>0.578034728246469</v>
      </c>
      <c r="K137" s="15" t="n">
        <f aca="false">MIN(5,INT(J137/0.2)+1)</f>
        <v>3</v>
      </c>
      <c r="L137" s="21" t="n">
        <v>0.578034728246469</v>
      </c>
    </row>
    <row r="138" customFormat="false" ht="15" hidden="false" customHeight="false" outlineLevel="0" collapsed="false">
      <c r="A138" s="15" t="n">
        <f aca="false">2_Matriz_decision!A138</f>
        <v>134</v>
      </c>
      <c r="B138" s="16" t="n">
        <f aca="false">2_Matriz_decision!B138</f>
        <v>13.645</v>
      </c>
      <c r="C138" s="21" t="n">
        <f aca="false">SQRT(SUMXMY2(5_Ponderada!C141:Q141,5_Ponderada!$C$6:$Q$6))</f>
        <v>0.0119462320438017</v>
      </c>
      <c r="D138" s="21" t="n">
        <f aca="false">SQRT(SUMXMY2(5_Ponderada!C141:Q141,5_Ponderada!$C$7:$Q$7))</f>
        <v>0.0154353263668408</v>
      </c>
      <c r="E138" s="21" t="n">
        <f aca="false">D138/(C138+D138)</f>
        <v>0.563712486168847</v>
      </c>
      <c r="F138" s="15" t="n">
        <f aca="false">MIN(5,INT(E138/0.2)+1)</f>
        <v>3</v>
      </c>
      <c r="G138" s="21" t="n">
        <v>0.563712486168846</v>
      </c>
      <c r="H138" s="28" t="n">
        <f aca="false">ABS(E138-G138)</f>
        <v>0</v>
      </c>
      <c r="I138" s="15" t="n">
        <v>3</v>
      </c>
      <c r="J138" s="21" t="n">
        <f aca="false">(SUMPRODUCT(2_Matriz_decision!C138:Q138,5_Ponderada!$C$5:$Q$5)-1)/4</f>
        <v>0.63333621151236</v>
      </c>
      <c r="K138" s="15" t="n">
        <f aca="false">MIN(5,INT(J138/0.2)+1)</f>
        <v>4</v>
      </c>
      <c r="L138" s="21" t="n">
        <v>0.63333621151236</v>
      </c>
    </row>
    <row r="139" customFormat="false" ht="15" hidden="false" customHeight="false" outlineLevel="0" collapsed="false">
      <c r="A139" s="15" t="n">
        <f aca="false">2_Matriz_decision!A139</f>
        <v>135</v>
      </c>
      <c r="B139" s="16" t="n">
        <f aca="false">2_Matriz_decision!B139</f>
        <v>13.748</v>
      </c>
      <c r="C139" s="21" t="n">
        <f aca="false">SQRT(SUMXMY2(5_Ponderada!C142:Q142,5_Ponderada!$C$6:$Q$6))</f>
        <v>0.0116084948894714</v>
      </c>
      <c r="D139" s="21" t="n">
        <f aca="false">SQRT(SUMXMY2(5_Ponderada!C142:Q142,5_Ponderada!$C$7:$Q$7))</f>
        <v>0.0171365046099924</v>
      </c>
      <c r="E139" s="21" t="n">
        <f aca="false">D139/(C139+D139)</f>
        <v>0.596156023948169</v>
      </c>
      <c r="F139" s="15" t="n">
        <f aca="false">MIN(5,INT(E139/0.2)+1)</f>
        <v>3</v>
      </c>
      <c r="G139" s="21" t="n">
        <v>0.596156023948168</v>
      </c>
      <c r="H139" s="28" t="n">
        <f aca="false">ABS(E139-G139)</f>
        <v>0</v>
      </c>
      <c r="I139" s="15" t="n">
        <v>3</v>
      </c>
      <c r="J139" s="21" t="n">
        <f aca="false">(SUMPRODUCT(2_Matriz_decision!C139:Q139,5_Ponderada!$C$5:$Q$5)-1)/4</f>
        <v>0.681031633164497</v>
      </c>
      <c r="K139" s="15" t="n">
        <f aca="false">MIN(5,INT(J139/0.2)+1)</f>
        <v>4</v>
      </c>
      <c r="L139" s="21" t="n">
        <v>0.681031633164497</v>
      </c>
    </row>
    <row r="140" customFormat="false" ht="15" hidden="false" customHeight="false" outlineLevel="0" collapsed="false">
      <c r="A140" s="15" t="n">
        <f aca="false">2_Matriz_decision!A140</f>
        <v>136</v>
      </c>
      <c r="B140" s="16" t="n">
        <f aca="false">2_Matriz_decision!B140</f>
        <v>13.852</v>
      </c>
      <c r="C140" s="21" t="n">
        <f aca="false">SQRT(SUMXMY2(5_Ponderada!C143:Q143,5_Ponderada!$C$6:$Q$6))</f>
        <v>0.0116124324397608</v>
      </c>
      <c r="D140" s="21" t="n">
        <f aca="false">SQRT(SUMXMY2(5_Ponderada!C143:Q143,5_Ponderada!$C$7:$Q$7))</f>
        <v>0.0171322216865468</v>
      </c>
      <c r="E140" s="21" t="n">
        <f aca="false">D140/(C140+D140)</f>
        <v>0.596014187934414</v>
      </c>
      <c r="F140" s="15" t="n">
        <f aca="false">MIN(5,INT(E140/0.2)+1)</f>
        <v>3</v>
      </c>
      <c r="G140" s="21" t="n">
        <v>0.596014187934413</v>
      </c>
      <c r="H140" s="28" t="n">
        <f aca="false">ABS(E140-G140)</f>
        <v>0</v>
      </c>
      <c r="I140" s="15" t="n">
        <v>3</v>
      </c>
      <c r="J140" s="21" t="n">
        <f aca="false">(SUMPRODUCT(2_Matriz_decision!C140:Q140,5_Ponderada!$C$5:$Q$5)-1)/4</f>
        <v>0.680312913338282</v>
      </c>
      <c r="K140" s="15" t="n">
        <f aca="false">MIN(5,INT(J140/0.2)+1)</f>
        <v>4</v>
      </c>
      <c r="L140" s="21" t="n">
        <v>0.680312913338283</v>
      </c>
    </row>
    <row r="141" customFormat="false" ht="15" hidden="false" customHeight="false" outlineLevel="0" collapsed="false">
      <c r="A141" s="15" t="n">
        <f aca="false">2_Matriz_decision!A141</f>
        <v>137</v>
      </c>
      <c r="B141" s="16" t="n">
        <f aca="false">2_Matriz_decision!B141</f>
        <v>13.957</v>
      </c>
      <c r="C141" s="21" t="n">
        <f aca="false">SQRT(SUMXMY2(5_Ponderada!C144:Q144,5_Ponderada!$C$6:$Q$6))</f>
        <v>0.0116177867267339</v>
      </c>
      <c r="D141" s="21" t="n">
        <f aca="false">SQRT(SUMXMY2(5_Ponderada!C144:Q144,5_Ponderada!$C$7:$Q$7))</f>
        <v>0.0170913253683781</v>
      </c>
      <c r="E141" s="21" t="n">
        <f aca="false">D141/(C141+D141)</f>
        <v>0.595327550073833</v>
      </c>
      <c r="F141" s="15" t="n">
        <f aca="false">MIN(5,INT(E141/0.2)+1)</f>
        <v>3</v>
      </c>
      <c r="G141" s="21" t="n">
        <v>0.595327550073833</v>
      </c>
      <c r="H141" s="28" t="n">
        <f aca="false">ABS(E141-G141)</f>
        <v>0</v>
      </c>
      <c r="I141" s="15" t="n">
        <v>3</v>
      </c>
      <c r="J141" s="21" t="n">
        <f aca="false">(SUMPRODUCT(2_Matriz_decision!C141:Q141,5_Ponderada!$C$5:$Q$5)-1)/4</f>
        <v>0.669833408222187</v>
      </c>
      <c r="K141" s="15" t="n">
        <f aca="false">MIN(5,INT(J141/0.2)+1)</f>
        <v>4</v>
      </c>
      <c r="L141" s="21" t="n">
        <v>0.669833408222187</v>
      </c>
    </row>
    <row r="142" customFormat="false" ht="15" hidden="false" customHeight="false" outlineLevel="0" collapsed="false">
      <c r="A142" s="15" t="n">
        <f aca="false">2_Matriz_decision!A142</f>
        <v>138</v>
      </c>
      <c r="B142" s="16" t="n">
        <f aca="false">2_Matriz_decision!B142</f>
        <v>14.062</v>
      </c>
      <c r="C142" s="21" t="n">
        <f aca="false">SQRT(SUMXMY2(5_Ponderada!C145:Q145,5_Ponderada!$C$6:$Q$6))</f>
        <v>0.0116091393753959</v>
      </c>
      <c r="D142" s="21" t="n">
        <f aca="false">SQRT(SUMXMY2(5_Ponderada!C145:Q145,5_Ponderada!$C$7:$Q$7))</f>
        <v>0.0171027762923793</v>
      </c>
      <c r="E142" s="21" t="n">
        <f aca="false">D142/(C142+D142)</f>
        <v>0.595668240680107</v>
      </c>
      <c r="F142" s="15" t="n">
        <f aca="false">MIN(5,INT(E142/0.2)+1)</f>
        <v>3</v>
      </c>
      <c r="G142" s="21" t="n">
        <v>0.595668240680107</v>
      </c>
      <c r="H142" s="28" t="n">
        <f aca="false">ABS(E142-G142)</f>
        <v>0</v>
      </c>
      <c r="I142" s="15" t="n">
        <v>3</v>
      </c>
      <c r="J142" s="21" t="n">
        <f aca="false">(SUMPRODUCT(2_Matriz_decision!C142:Q142,5_Ponderada!$C$5:$Q$5)-1)/4</f>
        <v>0.671823876143157</v>
      </c>
      <c r="K142" s="15" t="n">
        <f aca="false">MIN(5,INT(J142/0.2)+1)</f>
        <v>4</v>
      </c>
      <c r="L142" s="21" t="n">
        <v>0.671823876143157</v>
      </c>
    </row>
    <row r="143" customFormat="false" ht="15" hidden="false" customHeight="false" outlineLevel="0" collapsed="false">
      <c r="A143" s="15" t="n">
        <f aca="false">2_Matriz_decision!A143</f>
        <v>139</v>
      </c>
      <c r="B143" s="16" t="n">
        <f aca="false">2_Matriz_decision!B143</f>
        <v>14.167</v>
      </c>
      <c r="C143" s="21" t="n">
        <f aca="false">SQRT(SUMXMY2(5_Ponderada!C146:Q146,5_Ponderada!$C$6:$Q$6))</f>
        <v>0.014355447910405</v>
      </c>
      <c r="D143" s="21" t="n">
        <f aca="false">SQRT(SUMXMY2(5_Ponderada!C146:Q146,5_Ponderada!$C$7:$Q$7))</f>
        <v>0.0131766562197474</v>
      </c>
      <c r="E143" s="21" t="n">
        <f aca="false">D143/(C143+D143)</f>
        <v>0.478592415510905</v>
      </c>
      <c r="F143" s="15" t="n">
        <f aca="false">MIN(5,INT(E143/0.2)+1)</f>
        <v>3</v>
      </c>
      <c r="G143" s="21" t="n">
        <v>0.478592415510905</v>
      </c>
      <c r="H143" s="28" t="n">
        <f aca="false">ABS(E143-G143)</f>
        <v>0</v>
      </c>
      <c r="I143" s="15" t="n">
        <v>3</v>
      </c>
      <c r="J143" s="21" t="n">
        <f aca="false">(SUMPRODUCT(2_Matriz_decision!C143:Q143,5_Ponderada!$C$5:$Q$5)-1)/4</f>
        <v>0.52735881535424</v>
      </c>
      <c r="K143" s="15" t="n">
        <f aca="false">MIN(5,INT(J143/0.2)+1)</f>
        <v>3</v>
      </c>
      <c r="L143" s="21" t="n">
        <v>0.527358815354241</v>
      </c>
    </row>
    <row r="144" customFormat="false" ht="15" hidden="false" customHeight="false" outlineLevel="0" collapsed="false">
      <c r="A144" s="15" t="n">
        <f aca="false">2_Matriz_decision!A144</f>
        <v>140</v>
      </c>
      <c r="B144" s="16" t="n">
        <f aca="false">2_Matriz_decision!B144</f>
        <v>14.27</v>
      </c>
      <c r="C144" s="21" t="n">
        <f aca="false">SQRT(SUMXMY2(5_Ponderada!C147:Q147,5_Ponderada!$C$6:$Q$6))</f>
        <v>0.0146401544543575</v>
      </c>
      <c r="D144" s="21" t="n">
        <f aca="false">SQRT(SUMXMY2(5_Ponderada!C147:Q147,5_Ponderada!$C$7:$Q$7))</f>
        <v>0.0107843255915794</v>
      </c>
      <c r="E144" s="21" t="n">
        <f aca="false">D144/(C144+D144)</f>
        <v>0.424170939665013</v>
      </c>
      <c r="F144" s="15" t="n">
        <f aca="false">MIN(5,INT(E144/0.2)+1)</f>
        <v>3</v>
      </c>
      <c r="G144" s="21" t="n">
        <v>0.424170939665013</v>
      </c>
      <c r="H144" s="28" t="n">
        <f aca="false">ABS(E144-G144)</f>
        <v>0</v>
      </c>
      <c r="I144" s="15" t="n">
        <v>3</v>
      </c>
      <c r="J144" s="21" t="n">
        <f aca="false">(SUMPRODUCT(2_Matriz_decision!C144:Q144,5_Ponderada!$C$5:$Q$5)-1)/4</f>
        <v>0.474275610145478</v>
      </c>
      <c r="K144" s="15" t="n">
        <f aca="false">MIN(5,INT(J144/0.2)+1)</f>
        <v>3</v>
      </c>
      <c r="L144" s="21" t="n">
        <v>0.474275610145478</v>
      </c>
    </row>
    <row r="145" customFormat="false" ht="15" hidden="false" customHeight="false" outlineLevel="0" collapsed="false">
      <c r="A145" s="15" t="n">
        <f aca="false">2_Matriz_decision!A145</f>
        <v>141</v>
      </c>
      <c r="B145" s="16" t="n">
        <f aca="false">2_Matriz_decision!B145</f>
        <v>14.371</v>
      </c>
      <c r="C145" s="21" t="n">
        <f aca="false">SQRT(SUMXMY2(5_Ponderada!C148:Q148,5_Ponderada!$C$6:$Q$6))</f>
        <v>0.0164102518398061</v>
      </c>
      <c r="D145" s="21" t="n">
        <f aca="false">SQRT(SUMXMY2(5_Ponderada!C148:Q148,5_Ponderada!$C$7:$Q$7))</f>
        <v>0.0104405005641719</v>
      </c>
      <c r="E145" s="21" t="n">
        <f aca="false">D145/(C145+D145)</f>
        <v>0.388834562513978</v>
      </c>
      <c r="F145" s="15" t="n">
        <f aca="false">MIN(5,INT(E145/0.2)+1)</f>
        <v>2</v>
      </c>
      <c r="G145" s="21" t="n">
        <v>0.388834562513978</v>
      </c>
      <c r="H145" s="28" t="n">
        <f aca="false">ABS(E145-G145)</f>
        <v>0</v>
      </c>
      <c r="I145" s="15" t="n">
        <v>2</v>
      </c>
      <c r="J145" s="21" t="n">
        <f aca="false">(SUMPRODUCT(2_Matriz_decision!C145:Q145,5_Ponderada!$C$5:$Q$5)-1)/4</f>
        <v>0.429692582129998</v>
      </c>
      <c r="K145" s="15" t="n">
        <f aca="false">MIN(5,INT(J145/0.2)+1)</f>
        <v>3</v>
      </c>
      <c r="L145" s="21" t="n">
        <v>0.429692582129998</v>
      </c>
    </row>
    <row r="146" customFormat="false" ht="15" hidden="false" customHeight="false" outlineLevel="0" collapsed="false">
      <c r="A146" s="15" t="n">
        <f aca="false">2_Matriz_decision!A146</f>
        <v>142</v>
      </c>
      <c r="B146" s="16" t="n">
        <f aca="false">2_Matriz_decision!B146</f>
        <v>14.47</v>
      </c>
      <c r="C146" s="21" t="n">
        <f aca="false">SQRT(SUMXMY2(5_Ponderada!C149:Q149,5_Ponderada!$C$6:$Q$6))</f>
        <v>0.0164083028631636</v>
      </c>
      <c r="D146" s="21" t="n">
        <f aca="false">SQRT(SUMXMY2(5_Ponderada!C149:Q149,5_Ponderada!$C$7:$Q$7))</f>
        <v>0.0104478819726305</v>
      </c>
      <c r="E146" s="21" t="n">
        <f aca="false">D146/(C146+D146)</f>
        <v>0.389030759078835</v>
      </c>
      <c r="F146" s="15" t="n">
        <f aca="false">MIN(5,INT(E146/0.2)+1)</f>
        <v>2</v>
      </c>
      <c r="G146" s="21" t="n">
        <v>0.389030759078835</v>
      </c>
      <c r="H146" s="28" t="n">
        <f aca="false">ABS(E146-G146)</f>
        <v>0</v>
      </c>
      <c r="I146" s="15" t="n">
        <v>2</v>
      </c>
      <c r="J146" s="21" t="n">
        <f aca="false">(SUMPRODUCT(2_Matriz_decision!C146:Q146,5_Ponderada!$C$5:$Q$5)-1)/4</f>
        <v>0.430681674229952</v>
      </c>
      <c r="K146" s="15" t="n">
        <f aca="false">MIN(5,INT(J146/0.2)+1)</f>
        <v>3</v>
      </c>
      <c r="L146" s="21" t="n">
        <v>0.430681674229953</v>
      </c>
    </row>
    <row r="147" customFormat="false" ht="15" hidden="false" customHeight="false" outlineLevel="0" collapsed="false">
      <c r="A147" s="15" t="n">
        <f aca="false">2_Matriz_decision!A147</f>
        <v>143</v>
      </c>
      <c r="B147" s="16" t="n">
        <f aca="false">2_Matriz_decision!B147</f>
        <v>14.568</v>
      </c>
      <c r="C147" s="21" t="n">
        <f aca="false">SQRT(SUMXMY2(5_Ponderada!C150:Q150,5_Ponderada!$C$6:$Q$6))</f>
        <v>0.0161628273871414</v>
      </c>
      <c r="D147" s="21" t="n">
        <f aca="false">SQRT(SUMXMY2(5_Ponderada!C150:Q150,5_Ponderada!$C$7:$Q$7))</f>
        <v>0.0128855556202772</v>
      </c>
      <c r="E147" s="21" t="n">
        <f aca="false">D147/(C147+D147)</f>
        <v>0.443589428609034</v>
      </c>
      <c r="F147" s="15" t="n">
        <f aca="false">MIN(5,INT(E147/0.2)+1)</f>
        <v>3</v>
      </c>
      <c r="G147" s="21" t="n">
        <v>0.443589428609034</v>
      </c>
      <c r="H147" s="28" t="n">
        <f aca="false">ABS(E147-G147)</f>
        <v>0</v>
      </c>
      <c r="I147" s="15" t="n">
        <v>3</v>
      </c>
      <c r="J147" s="21" t="n">
        <f aca="false">(SUMPRODUCT(2_Matriz_decision!C147:Q147,5_Ponderada!$C$5:$Q$5)-1)/4</f>
        <v>0.481318296268046</v>
      </c>
      <c r="K147" s="15" t="n">
        <f aca="false">MIN(5,INT(J147/0.2)+1)</f>
        <v>3</v>
      </c>
      <c r="L147" s="21" t="n">
        <v>0.481318296268047</v>
      </c>
    </row>
    <row r="148" customFormat="false" ht="15" hidden="false" customHeight="false" outlineLevel="0" collapsed="false">
      <c r="A148" s="15" t="n">
        <f aca="false">2_Matriz_decision!A148</f>
        <v>144</v>
      </c>
      <c r="B148" s="16" t="n">
        <f aca="false">2_Matriz_decision!B148</f>
        <v>14.665</v>
      </c>
      <c r="C148" s="21" t="n">
        <f aca="false">SQRT(SUMXMY2(5_Ponderada!C151:Q151,5_Ponderada!$C$6:$Q$6))</f>
        <v>0.0161634470919886</v>
      </c>
      <c r="D148" s="21" t="n">
        <f aca="false">SQRT(SUMXMY2(5_Ponderada!C151:Q151,5_Ponderada!$C$7:$Q$7))</f>
        <v>0.0128849536948896</v>
      </c>
      <c r="E148" s="21" t="n">
        <f aca="false">D148/(C148+D148)</f>
        <v>0.443568435640354</v>
      </c>
      <c r="F148" s="15" t="n">
        <f aca="false">MIN(5,INT(E148/0.2)+1)</f>
        <v>3</v>
      </c>
      <c r="G148" s="21" t="n">
        <v>0.443568435640354</v>
      </c>
      <c r="H148" s="28" t="n">
        <f aca="false">ABS(E148-G148)</f>
        <v>0</v>
      </c>
      <c r="I148" s="15" t="n">
        <v>3</v>
      </c>
      <c r="J148" s="21" t="n">
        <f aca="false">(SUMPRODUCT(2_Matriz_decision!C148:Q148,5_Ponderada!$C$5:$Q$5)-1)/4</f>
        <v>0.480976852413339</v>
      </c>
      <c r="K148" s="15" t="n">
        <f aca="false">MIN(5,INT(J148/0.2)+1)</f>
        <v>3</v>
      </c>
      <c r="L148" s="21" t="n">
        <v>0.480976852413339</v>
      </c>
    </row>
    <row r="149" customFormat="false" ht="15" hidden="false" customHeight="false" outlineLevel="0" collapsed="false">
      <c r="A149" s="15" t="n">
        <f aca="false">2_Matriz_decision!A149</f>
        <v>145</v>
      </c>
      <c r="B149" s="16" t="n">
        <f aca="false">2_Matriz_decision!B149</f>
        <v>14.761</v>
      </c>
      <c r="C149" s="21" t="n">
        <f aca="false">SQRT(SUMXMY2(5_Ponderada!C152:Q152,5_Ponderada!$C$6:$Q$6))</f>
        <v>0.01640956226145</v>
      </c>
      <c r="D149" s="21" t="n">
        <f aca="false">SQRT(SUMXMY2(5_Ponderada!C152:Q152,5_Ponderada!$C$7:$Q$7))</f>
        <v>0.0104438505126743</v>
      </c>
      <c r="E149" s="21" t="n">
        <f aca="false">D149/(C149+D149)</f>
        <v>0.388920790088101</v>
      </c>
      <c r="F149" s="15" t="n">
        <f aca="false">MIN(5,INT(E149/0.2)+1)</f>
        <v>2</v>
      </c>
      <c r="G149" s="21" t="n">
        <v>0.388920790088101</v>
      </c>
      <c r="H149" s="28" t="n">
        <f aca="false">ABS(E149-G149)</f>
        <v>0</v>
      </c>
      <c r="I149" s="15" t="n">
        <v>2</v>
      </c>
      <c r="J149" s="21" t="n">
        <f aca="false">(SUMPRODUCT(2_Matriz_decision!C149:Q149,5_Ponderada!$C$5:$Q$5)-1)/4</f>
        <v>0.429997758159123</v>
      </c>
      <c r="K149" s="15" t="n">
        <f aca="false">MIN(5,INT(J149/0.2)+1)</f>
        <v>3</v>
      </c>
      <c r="L149" s="21" t="n">
        <v>0.429997758159123</v>
      </c>
    </row>
    <row r="150" customFormat="false" ht="15" hidden="false" customHeight="false" outlineLevel="0" collapsed="false">
      <c r="A150" s="15" t="n">
        <f aca="false">2_Matriz_decision!A150</f>
        <v>146</v>
      </c>
      <c r="B150" s="16" t="n">
        <f aca="false">2_Matriz_decision!B150</f>
        <v>14.857</v>
      </c>
      <c r="C150" s="21" t="n">
        <f aca="false">SQRT(SUMXMY2(5_Ponderada!C153:Q153,5_Ponderada!$C$6:$Q$6))</f>
        <v>0.0161574695833708</v>
      </c>
      <c r="D150" s="21" t="n">
        <f aca="false">SQRT(SUMXMY2(5_Ponderada!C153:Q153,5_Ponderada!$C$7:$Q$7))</f>
        <v>0.0129013294479317</v>
      </c>
      <c r="E150" s="21" t="n">
        <f aca="false">D150/(C150+D150)</f>
        <v>0.44397325003123</v>
      </c>
      <c r="F150" s="15" t="n">
        <f aca="false">MIN(5,INT(E150/0.2)+1)</f>
        <v>3</v>
      </c>
      <c r="G150" s="21" t="n">
        <v>0.44397325003123</v>
      </c>
      <c r="H150" s="28" t="n">
        <f aca="false">ABS(E150-G150)</f>
        <v>0</v>
      </c>
      <c r="I150" s="15" t="n">
        <v>3</v>
      </c>
      <c r="J150" s="21" t="n">
        <f aca="false">(SUMPRODUCT(2_Matriz_decision!C150:Q150,5_Ponderada!$C$5:$Q$5)-1)/4</f>
        <v>0.483882707244796</v>
      </c>
      <c r="K150" s="15" t="n">
        <f aca="false">MIN(5,INT(J150/0.2)+1)</f>
        <v>3</v>
      </c>
      <c r="L150" s="21" t="n">
        <v>0.483882707244797</v>
      </c>
    </row>
    <row r="151" customFormat="false" ht="15" hidden="false" customHeight="false" outlineLevel="0" collapsed="false">
      <c r="A151" s="15" t="n">
        <f aca="false">2_Matriz_decision!A151</f>
        <v>147</v>
      </c>
      <c r="B151" s="16" t="n">
        <f aca="false">2_Matriz_decision!B151</f>
        <v>14.954</v>
      </c>
      <c r="C151" s="21" t="n">
        <f aca="false">SQRT(SUMXMY2(5_Ponderada!C154:Q154,5_Ponderada!$C$6:$Q$6))</f>
        <v>0.0164079860110105</v>
      </c>
      <c r="D151" s="21" t="n">
        <f aca="false">SQRT(SUMXMY2(5_Ponderada!C154:Q154,5_Ponderada!$C$7:$Q$7))</f>
        <v>0.0104510835319809</v>
      </c>
      <c r="E151" s="21" t="n">
        <f aca="false">D151/(C151+D151)</f>
        <v>0.389108174996628</v>
      </c>
      <c r="F151" s="15" t="n">
        <f aca="false">MIN(5,INT(E151/0.2)+1)</f>
        <v>2</v>
      </c>
      <c r="G151" s="21" t="n">
        <v>0.389108174996628</v>
      </c>
      <c r="H151" s="28" t="n">
        <f aca="false">ABS(E151-G151)</f>
        <v>0</v>
      </c>
      <c r="I151" s="15" t="n">
        <v>2</v>
      </c>
      <c r="J151" s="21" t="n">
        <f aca="false">(SUMPRODUCT(2_Matriz_decision!C151:Q151,5_Ponderada!$C$5:$Q$5)-1)/4</f>
        <v>0.430813841213511</v>
      </c>
      <c r="K151" s="15" t="n">
        <f aca="false">MIN(5,INT(J151/0.2)+1)</f>
        <v>3</v>
      </c>
      <c r="L151" s="21" t="n">
        <v>0.430813841213511</v>
      </c>
    </row>
    <row r="152" customFormat="false" ht="15" hidden="false" customHeight="false" outlineLevel="0" collapsed="false">
      <c r="A152" s="15" t="n">
        <f aca="false">2_Matriz_decision!A152</f>
        <v>148</v>
      </c>
      <c r="B152" s="16" t="n">
        <f aca="false">2_Matriz_decision!B152</f>
        <v>15.052</v>
      </c>
      <c r="C152" s="21" t="n">
        <f aca="false">SQRT(SUMXMY2(5_Ponderada!C155:Q155,5_Ponderada!$C$6:$Q$6))</f>
        <v>0.0164291829918288</v>
      </c>
      <c r="D152" s="21" t="n">
        <f aca="false">SQRT(SUMXMY2(5_Ponderada!C155:Q155,5_Ponderada!$C$7:$Q$7))</f>
        <v>0.0103954126824309</v>
      </c>
      <c r="E152" s="21" t="n">
        <f aca="false">D152/(C152+D152)</f>
        <v>0.387532875002702</v>
      </c>
      <c r="F152" s="15" t="n">
        <f aca="false">MIN(5,INT(E152/0.2)+1)</f>
        <v>2</v>
      </c>
      <c r="G152" s="21" t="n">
        <v>0.387532875002702</v>
      </c>
      <c r="H152" s="28" t="n">
        <f aca="false">ABS(E152-G152)</f>
        <v>0</v>
      </c>
      <c r="I152" s="15" t="n">
        <v>2</v>
      </c>
      <c r="J152" s="21" t="n">
        <f aca="false">(SUMPRODUCT(2_Matriz_decision!C152:Q152,5_Ponderada!$C$5:$Q$5)-1)/4</f>
        <v>0.425451245007177</v>
      </c>
      <c r="K152" s="15" t="n">
        <f aca="false">MIN(5,INT(J152/0.2)+1)</f>
        <v>3</v>
      </c>
      <c r="L152" s="21" t="n">
        <v>0.425451245007177</v>
      </c>
    </row>
    <row r="153" customFormat="false" ht="15" hidden="false" customHeight="false" outlineLevel="0" collapsed="false">
      <c r="A153" s="15" t="n">
        <f aca="false">2_Matriz_decision!A153</f>
        <v>149</v>
      </c>
      <c r="B153" s="16" t="n">
        <f aca="false">2_Matriz_decision!B153</f>
        <v>15.151</v>
      </c>
      <c r="C153" s="21" t="n">
        <f aca="false">SQRT(SUMXMY2(5_Ponderada!C156:Q156,5_Ponderada!$C$6:$Q$6))</f>
        <v>0.0198365929007486</v>
      </c>
      <c r="D153" s="21" t="n">
        <f aca="false">SQRT(SUMXMY2(5_Ponderada!C156:Q156,5_Ponderada!$C$7:$Q$7))</f>
        <v>0.00582767913394821</v>
      </c>
      <c r="E153" s="21" t="n">
        <f aca="false">D153/(C153+D153)</f>
        <v>0.227073619156992</v>
      </c>
      <c r="F153" s="15" t="n">
        <f aca="false">MIN(5,INT(E153/0.2)+1)</f>
        <v>2</v>
      </c>
      <c r="G153" s="21" t="n">
        <v>0.227073619156992</v>
      </c>
      <c r="H153" s="28" t="n">
        <f aca="false">ABS(E153-G153)</f>
        <v>0</v>
      </c>
      <c r="I153" s="15" t="n">
        <v>2</v>
      </c>
      <c r="J153" s="21" t="n">
        <f aca="false">(SUMPRODUCT(2_Matriz_decision!C153:Q153,5_Ponderada!$C$5:$Q$5)-1)/4</f>
        <v>0.258640370616526</v>
      </c>
      <c r="K153" s="15" t="n">
        <f aca="false">MIN(5,INT(J153/0.2)+1)</f>
        <v>2</v>
      </c>
      <c r="L153" s="21" t="n">
        <v>0.258640370616527</v>
      </c>
    </row>
    <row r="154" customFormat="false" ht="15" hidden="false" customHeight="false" outlineLevel="0" collapsed="false">
      <c r="A154" s="15" t="n">
        <f aca="false">2_Matriz_decision!A154</f>
        <v>150</v>
      </c>
      <c r="B154" s="16" t="n">
        <f aca="false">2_Matriz_decision!B154</f>
        <v>15.251</v>
      </c>
      <c r="C154" s="21" t="n">
        <f aca="false">SQRT(SUMXMY2(5_Ponderada!C157:Q157,5_Ponderada!$C$6:$Q$6))</f>
        <v>0.0171617813806842</v>
      </c>
      <c r="D154" s="21" t="n">
        <f aca="false">SQRT(SUMXMY2(5_Ponderada!C157:Q157,5_Ponderada!$C$7:$Q$7))</f>
        <v>0.00819210672717386</v>
      </c>
      <c r="E154" s="21" t="n">
        <f aca="false">D154/(C154+D154)</f>
        <v>0.323110470959082</v>
      </c>
      <c r="F154" s="15" t="n">
        <f aca="false">MIN(5,INT(E154/0.2)+1)</f>
        <v>2</v>
      </c>
      <c r="G154" s="21" t="n">
        <v>0.323110470959081</v>
      </c>
      <c r="H154" s="28" t="n">
        <f aca="false">ABS(E154-G154)</f>
        <v>0</v>
      </c>
      <c r="I154" s="15" t="n">
        <v>2</v>
      </c>
      <c r="J154" s="21" t="n">
        <f aca="false">(SUMPRODUCT(2_Matriz_decision!C154:Q154,5_Ponderada!$C$5:$Q$5)-1)/4</f>
        <v>0.370746255098894</v>
      </c>
      <c r="K154" s="15" t="n">
        <f aca="false">MIN(5,INT(J154/0.2)+1)</f>
        <v>2</v>
      </c>
      <c r="L154" s="21" t="n">
        <v>0.370746255098894</v>
      </c>
    </row>
    <row r="155" customFormat="false" ht="15" hidden="false" customHeight="false" outlineLevel="0" collapsed="false">
      <c r="A155" s="15" t="n">
        <f aca="false">2_Matriz_decision!A155</f>
        <v>151</v>
      </c>
      <c r="B155" s="16" t="n">
        <f aca="false">2_Matriz_decision!B155</f>
        <v>15.352</v>
      </c>
      <c r="C155" s="21" t="n">
        <f aca="false">SQRT(SUMXMY2(5_Ponderada!C158:Q158,5_Ponderada!$C$6:$Q$6))</f>
        <v>0.0171566074937861</v>
      </c>
      <c r="D155" s="21" t="n">
        <f aca="false">SQRT(SUMXMY2(5_Ponderada!C158:Q158,5_Ponderada!$C$7:$Q$7))</f>
        <v>0.0082020114995557</v>
      </c>
      <c r="E155" s="21" t="n">
        <f aca="false">D155/(C155+D155)</f>
        <v>0.323440779709228</v>
      </c>
      <c r="F155" s="15" t="n">
        <f aca="false">MIN(5,INT(E155/0.2)+1)</f>
        <v>2</v>
      </c>
      <c r="G155" s="21" t="n">
        <v>0.323440779709228</v>
      </c>
      <c r="H155" s="28" t="n">
        <f aca="false">ABS(E155-G155)</f>
        <v>0</v>
      </c>
      <c r="I155" s="15" t="n">
        <v>2</v>
      </c>
      <c r="J155" s="21" t="n">
        <f aca="false">(SUMPRODUCT(2_Matriz_decision!C155:Q155,5_Ponderada!$C$5:$Q$5)-1)/4</f>
        <v>0.371186808605747</v>
      </c>
      <c r="K155" s="15" t="n">
        <f aca="false">MIN(5,INT(J155/0.2)+1)</f>
        <v>2</v>
      </c>
      <c r="L155" s="21" t="n">
        <v>0.371186808605747</v>
      </c>
    </row>
    <row r="156" customFormat="false" ht="15" hidden="false" customHeight="false" outlineLevel="0" collapsed="false">
      <c r="A156" s="15" t="n">
        <f aca="false">2_Matriz_decision!A156</f>
        <v>152</v>
      </c>
      <c r="B156" s="16" t="n">
        <f aca="false">2_Matriz_decision!B156</f>
        <v>15.454</v>
      </c>
      <c r="C156" s="21" t="n">
        <f aca="false">SQRT(SUMXMY2(5_Ponderada!C159:Q159,5_Ponderada!$C$6:$Q$6))</f>
        <v>0.0164164772865479</v>
      </c>
      <c r="D156" s="21" t="n">
        <f aca="false">SQRT(SUMXMY2(5_Ponderada!C159:Q159,5_Ponderada!$C$7:$Q$7))</f>
        <v>0.010418733634302</v>
      </c>
      <c r="E156" s="21" t="n">
        <f aca="false">D156/(C156+D156)</f>
        <v>0.388248621001412</v>
      </c>
      <c r="F156" s="15" t="n">
        <f aca="false">MIN(5,INT(E156/0.2)+1)</f>
        <v>2</v>
      </c>
      <c r="G156" s="21" t="n">
        <v>0.388248621001412</v>
      </c>
      <c r="H156" s="28" t="n">
        <f aca="false">ABS(E156-G156)</f>
        <v>0</v>
      </c>
      <c r="I156" s="15" t="n">
        <v>2</v>
      </c>
      <c r="J156" s="21" t="n">
        <f aca="false">(SUMPRODUCT(2_Matriz_decision!C156:Q156,5_Ponderada!$C$5:$Q$5)-1)/4</f>
        <v>0.42757949701009</v>
      </c>
      <c r="K156" s="15" t="n">
        <f aca="false">MIN(5,INT(J156/0.2)+1)</f>
        <v>3</v>
      </c>
      <c r="L156" s="21" t="n">
        <v>0.42757949701009</v>
      </c>
    </row>
    <row r="157" customFormat="false" ht="15" hidden="false" customHeight="false" outlineLevel="0" collapsed="false">
      <c r="A157" s="15" t="n">
        <f aca="false">2_Matriz_decision!A157</f>
        <v>153</v>
      </c>
      <c r="B157" s="16" t="n">
        <f aca="false">2_Matriz_decision!B157</f>
        <v>15.555</v>
      </c>
      <c r="C157" s="21" t="n">
        <f aca="false">SQRT(SUMXMY2(5_Ponderada!C160:Q160,5_Ponderada!$C$6:$Q$6))</f>
        <v>0.0161598219671921</v>
      </c>
      <c r="D157" s="21" t="n">
        <f aca="false">SQRT(SUMXMY2(5_Ponderada!C160:Q160,5_Ponderada!$C$7:$Q$7))</f>
        <v>0.0128917551149402</v>
      </c>
      <c r="E157" s="21" t="n">
        <f aca="false">D157/(C157+D157)</f>
        <v>0.443754054332186</v>
      </c>
      <c r="F157" s="15" t="n">
        <f aca="false">MIN(5,INT(E157/0.2)+1)</f>
        <v>3</v>
      </c>
      <c r="G157" s="21" t="n">
        <v>0.443754054332186</v>
      </c>
      <c r="H157" s="28" t="n">
        <f aca="false">ABS(E157-G157)</f>
        <v>0</v>
      </c>
      <c r="I157" s="15" t="n">
        <v>3</v>
      </c>
      <c r="J157" s="21" t="n">
        <f aca="false">(SUMPRODUCT(2_Matriz_decision!C157:Q157,5_Ponderada!$C$5:$Q$5)-1)/4</f>
        <v>0.482784269179435</v>
      </c>
      <c r="K157" s="15" t="n">
        <f aca="false">MIN(5,INT(J157/0.2)+1)</f>
        <v>3</v>
      </c>
      <c r="L157" s="21" t="n">
        <v>0.482784269179436</v>
      </c>
    </row>
    <row r="158" customFormat="false" ht="15" hidden="false" customHeight="false" outlineLevel="0" collapsed="false">
      <c r="A158" s="15" t="n">
        <f aca="false">2_Matriz_decision!A158</f>
        <v>154</v>
      </c>
      <c r="B158" s="16" t="n">
        <f aca="false">2_Matriz_decision!B158</f>
        <v>15.657</v>
      </c>
      <c r="C158" s="21" t="n">
        <f aca="false">SQRT(SUMXMY2(5_Ponderada!C161:Q161,5_Ponderada!$C$6:$Q$6))</f>
        <v>0.0171431442403102</v>
      </c>
      <c r="D158" s="21" t="n">
        <f aca="false">SQRT(SUMXMY2(5_Ponderada!C161:Q161,5_Ponderada!$C$7:$Q$7))</f>
        <v>0.00824739380907046</v>
      </c>
      <c r="E158" s="21" t="n">
        <f aca="false">D158/(C158+D158)</f>
        <v>0.324821545452506</v>
      </c>
      <c r="F158" s="15" t="n">
        <f aca="false">MIN(5,INT(E158/0.2)+1)</f>
        <v>2</v>
      </c>
      <c r="G158" s="21" t="n">
        <v>0.324821545452506</v>
      </c>
      <c r="H158" s="28" t="n">
        <f aca="false">ABS(E158-G158)</f>
        <v>0</v>
      </c>
      <c r="I158" s="15" t="n">
        <v>2</v>
      </c>
      <c r="J158" s="21" t="n">
        <f aca="false">(SUMPRODUCT(2_Matriz_decision!C158:Q158,5_Ponderada!$C$5:$Q$5)-1)/4</f>
        <v>0.375289559023082</v>
      </c>
      <c r="K158" s="15" t="n">
        <f aca="false">MIN(5,INT(J158/0.2)+1)</f>
        <v>2</v>
      </c>
      <c r="L158" s="21" t="n">
        <v>0.375289559023083</v>
      </c>
    </row>
    <row r="159" customFormat="false" ht="15" hidden="false" customHeight="false" outlineLevel="0" collapsed="false">
      <c r="A159" s="15" t="n">
        <f aca="false">2_Matriz_decision!A159</f>
        <v>155</v>
      </c>
      <c r="B159" s="16" t="n">
        <f aca="false">2_Matriz_decision!B159</f>
        <v>15.758</v>
      </c>
      <c r="C159" s="21" t="n">
        <f aca="false">SQRT(SUMXMY2(5_Ponderada!C162:Q162,5_Ponderada!$C$6:$Q$6))</f>
        <v>0.0171566474096794</v>
      </c>
      <c r="D159" s="21" t="n">
        <f aca="false">SQRT(SUMXMY2(5_Ponderada!C162:Q162,5_Ponderada!$C$7:$Q$7))</f>
        <v>0.00820206293908581</v>
      </c>
      <c r="E159" s="21" t="n">
        <f aca="false">D159/(C159+D159)</f>
        <v>0.323441642981075</v>
      </c>
      <c r="F159" s="15" t="n">
        <f aca="false">MIN(5,INT(E159/0.2)+1)</f>
        <v>2</v>
      </c>
      <c r="G159" s="21" t="n">
        <v>0.323441642981075</v>
      </c>
      <c r="H159" s="28" t="n">
        <f aca="false">ABS(E159-G159)</f>
        <v>0</v>
      </c>
      <c r="I159" s="15" t="n">
        <v>2</v>
      </c>
      <c r="J159" s="21" t="n">
        <f aca="false">(SUMPRODUCT(2_Matriz_decision!C159:Q159,5_Ponderada!$C$5:$Q$5)-1)/4</f>
        <v>0.371088768163959</v>
      </c>
      <c r="K159" s="15" t="n">
        <f aca="false">MIN(5,INT(J159/0.2)+1)</f>
        <v>2</v>
      </c>
      <c r="L159" s="21" t="n">
        <v>0.37108876816396</v>
      </c>
    </row>
    <row r="160" customFormat="false" ht="15" hidden="false" customHeight="false" outlineLevel="0" collapsed="false">
      <c r="A160" s="15" t="n">
        <f aca="false">2_Matriz_decision!A160</f>
        <v>156</v>
      </c>
      <c r="B160" s="16" t="n">
        <f aca="false">2_Matriz_decision!B160</f>
        <v>15.858</v>
      </c>
      <c r="C160" s="21" t="n">
        <f aca="false">SQRT(SUMXMY2(5_Ponderada!C163:Q163,5_Ponderada!$C$6:$Q$6))</f>
        <v>0.0171488608230269</v>
      </c>
      <c r="D160" s="21" t="n">
        <f aca="false">SQRT(SUMXMY2(5_Ponderada!C163:Q163,5_Ponderada!$C$7:$Q$7))</f>
        <v>0.00822116928613244</v>
      </c>
      <c r="E160" s="21" t="n">
        <f aca="false">D160/(C160+D160)</f>
        <v>0.324050434735761</v>
      </c>
      <c r="F160" s="15" t="n">
        <f aca="false">MIN(5,INT(E160/0.2)+1)</f>
        <v>2</v>
      </c>
      <c r="G160" s="21" t="n">
        <v>0.324050434735761</v>
      </c>
      <c r="H160" s="28" t="n">
        <f aca="false">ABS(E160-G160)</f>
        <v>0</v>
      </c>
      <c r="I160" s="15" t="n">
        <v>2</v>
      </c>
      <c r="J160" s="21" t="n">
        <f aca="false">(SUMPRODUCT(2_Matriz_decision!C160:Q160,5_Ponderada!$C$5:$Q$5)-1)/4</f>
        <v>0.373648529658327</v>
      </c>
      <c r="K160" s="15" t="n">
        <f aca="false">MIN(5,INT(J160/0.2)+1)</f>
        <v>2</v>
      </c>
      <c r="L160" s="21" t="n">
        <v>0.373648529658328</v>
      </c>
    </row>
    <row r="161" customFormat="false" ht="15" hidden="false" customHeight="false" outlineLevel="0" collapsed="false">
      <c r="A161" s="15" t="n">
        <f aca="false">2_Matriz_decision!A161</f>
        <v>157</v>
      </c>
      <c r="B161" s="16" t="n">
        <f aca="false">2_Matriz_decision!B161</f>
        <v>15.957</v>
      </c>
      <c r="C161" s="21" t="n">
        <f aca="false">SQRT(SUMXMY2(5_Ponderada!C164:Q164,5_Ponderada!$C$6:$Q$6))</f>
        <v>0.0164433922759604</v>
      </c>
      <c r="D161" s="21" t="n">
        <f aca="false">SQRT(SUMXMY2(5_Ponderada!C164:Q164,5_Ponderada!$C$7:$Q$7))</f>
        <v>0.010378880345785</v>
      </c>
      <c r="E161" s="21" t="n">
        <f aca="false">D161/(C161+D161)</f>
        <v>0.386950072879754</v>
      </c>
      <c r="F161" s="15" t="n">
        <f aca="false">MIN(5,INT(E161/0.2)+1)</f>
        <v>2</v>
      </c>
      <c r="G161" s="21" t="n">
        <v>0.386950072879754</v>
      </c>
      <c r="H161" s="28" t="n">
        <f aca="false">ABS(E161-G161)</f>
        <v>0</v>
      </c>
      <c r="I161" s="15" t="n">
        <v>2</v>
      </c>
      <c r="J161" s="21" t="n">
        <f aca="false">(SUMPRODUCT(2_Matriz_decision!C161:Q161,5_Ponderada!$C$5:$Q$5)-1)/4</f>
        <v>0.420521628604025</v>
      </c>
      <c r="K161" s="15" t="n">
        <f aca="false">MIN(5,INT(J161/0.2)+1)</f>
        <v>3</v>
      </c>
      <c r="L161" s="21" t="n">
        <v>0.420521628604026</v>
      </c>
    </row>
    <row r="162" customFormat="false" ht="15" hidden="false" customHeight="false" outlineLevel="0" collapsed="false">
      <c r="A162" s="15" t="n">
        <f aca="false">2_Matriz_decision!A162</f>
        <v>158</v>
      </c>
      <c r="B162" s="16" t="n">
        <f aca="false">2_Matriz_decision!B162</f>
        <v>16.056</v>
      </c>
      <c r="C162" s="21" t="n">
        <f aca="false">SQRT(SUMXMY2(5_Ponderada!C165:Q165,5_Ponderada!$C$6:$Q$6))</f>
        <v>0.0162069763806305</v>
      </c>
      <c r="D162" s="21" t="n">
        <f aca="false">SQRT(SUMXMY2(5_Ponderada!C165:Q165,5_Ponderada!$C$7:$Q$7))</f>
        <v>0.0128381053910416</v>
      </c>
      <c r="E162" s="21" t="n">
        <f aca="false">D162/(C162+D162)</f>
        <v>0.442006171370559</v>
      </c>
      <c r="F162" s="15" t="n">
        <f aca="false">MIN(5,INT(E162/0.2)+1)</f>
        <v>3</v>
      </c>
      <c r="G162" s="21" t="n">
        <v>0.442006171370559</v>
      </c>
      <c r="H162" s="28" t="n">
        <f aca="false">ABS(E162-G162)</f>
        <v>0</v>
      </c>
      <c r="I162" s="15" t="n">
        <v>3</v>
      </c>
      <c r="J162" s="21" t="n">
        <f aca="false">(SUMPRODUCT(2_Matriz_decision!C162:Q162,5_Ponderada!$C$5:$Q$5)-1)/4</f>
        <v>0.473129164623913</v>
      </c>
      <c r="K162" s="15" t="n">
        <f aca="false">MIN(5,INT(J162/0.2)+1)</f>
        <v>3</v>
      </c>
      <c r="L162" s="21" t="n">
        <v>0.473129164623913</v>
      </c>
    </row>
    <row r="163" customFormat="false" ht="15" hidden="false" customHeight="false" outlineLevel="0" collapsed="false">
      <c r="A163" s="15" t="n">
        <f aca="false">2_Matriz_decision!A163</f>
        <v>159</v>
      </c>
      <c r="B163" s="16" t="n">
        <f aca="false">2_Matriz_decision!B163</f>
        <v>16.153</v>
      </c>
      <c r="C163" s="21" t="n">
        <f aca="false">SQRT(SUMXMY2(5_Ponderada!C166:Q166,5_Ponderada!$C$6:$Q$6))</f>
        <v>0.0198439951567974</v>
      </c>
      <c r="D163" s="21" t="n">
        <f aca="false">SQRT(SUMXMY2(5_Ponderada!C166:Q166,5_Ponderada!$C$7:$Q$7))</f>
        <v>0.00582443751818013</v>
      </c>
      <c r="E163" s="21" t="n">
        <f aca="false">D163/(C163+D163)</f>
        <v>0.226910524375647</v>
      </c>
      <c r="F163" s="15" t="n">
        <f aca="false">MIN(5,INT(E163/0.2)+1)</f>
        <v>2</v>
      </c>
      <c r="G163" s="21" t="n">
        <v>0.226910524375647</v>
      </c>
      <c r="H163" s="28" t="n">
        <f aca="false">ABS(E163-G163)</f>
        <v>0</v>
      </c>
      <c r="I163" s="15" t="n">
        <v>2</v>
      </c>
      <c r="J163" s="21" t="n">
        <f aca="false">(SUMPRODUCT(2_Matriz_decision!C163:Q163,5_Ponderada!$C$5:$Q$5)-1)/4</f>
        <v>0.258877734095043</v>
      </c>
      <c r="K163" s="15" t="n">
        <f aca="false">MIN(5,INT(J163/0.2)+1)</f>
        <v>2</v>
      </c>
      <c r="L163" s="21" t="n">
        <v>0.258877734095043</v>
      </c>
    </row>
    <row r="164" customFormat="false" ht="15" hidden="false" customHeight="false" outlineLevel="0" collapsed="false">
      <c r="A164" s="15" t="n">
        <f aca="false">2_Matriz_decision!A164</f>
        <v>160</v>
      </c>
      <c r="B164" s="16" t="n">
        <f aca="false">2_Matriz_decision!B164</f>
        <v>16.251</v>
      </c>
      <c r="C164" s="21" t="n">
        <f aca="false">SQRT(SUMXMY2(5_Ponderada!C167:Q167,5_Ponderada!$C$6:$Q$6))</f>
        <v>0.0164277897830326</v>
      </c>
      <c r="D164" s="21" t="n">
        <f aca="false">SQRT(SUMXMY2(5_Ponderada!C167:Q167,5_Ponderada!$C$7:$Q$7))</f>
        <v>0.0103997184912223</v>
      </c>
      <c r="E164" s="21" t="n">
        <f aca="false">D164/(C164+D164)</f>
        <v>0.387651301228091</v>
      </c>
      <c r="F164" s="15" t="n">
        <f aca="false">MIN(5,INT(E164/0.2)+1)</f>
        <v>2</v>
      </c>
      <c r="G164" s="21" t="n">
        <v>0.387651301228091</v>
      </c>
      <c r="H164" s="28" t="n">
        <f aca="false">ABS(E164-G164)</f>
        <v>0</v>
      </c>
      <c r="I164" s="15" t="n">
        <v>2</v>
      </c>
      <c r="J164" s="21" t="n">
        <f aca="false">(SUMPRODUCT(2_Matriz_decision!C164:Q164,5_Ponderada!$C$5:$Q$5)-1)/4</f>
        <v>0.42290155588962</v>
      </c>
      <c r="K164" s="15" t="n">
        <f aca="false">MIN(5,INT(J164/0.2)+1)</f>
        <v>3</v>
      </c>
      <c r="L164" s="21" t="n">
        <v>0.422901555889621</v>
      </c>
    </row>
    <row r="165" customFormat="false" ht="15" hidden="false" customHeight="false" outlineLevel="0" collapsed="false">
      <c r="A165" s="15" t="n">
        <f aca="false">2_Matriz_decision!A165</f>
        <v>161</v>
      </c>
      <c r="B165" s="16" t="n">
        <f aca="false">2_Matriz_decision!B165</f>
        <v>16.348</v>
      </c>
      <c r="C165" s="21" t="n">
        <f aca="false">SQRT(SUMXMY2(5_Ponderada!C168:Q168,5_Ponderada!$C$6:$Q$6))</f>
        <v>0.0171492653577578</v>
      </c>
      <c r="D165" s="21" t="n">
        <f aca="false">SQRT(SUMXMY2(5_Ponderada!C168:Q168,5_Ponderada!$C$7:$Q$7))</f>
        <v>0.00822705892122182</v>
      </c>
      <c r="E165" s="21" t="n">
        <f aca="false">D165/(C165+D165)</f>
        <v>0.324202151216859</v>
      </c>
      <c r="F165" s="15" t="n">
        <f aca="false">MIN(5,INT(E165/0.2)+1)</f>
        <v>2</v>
      </c>
      <c r="G165" s="21" t="n">
        <v>0.324202151216859</v>
      </c>
      <c r="H165" s="28" t="n">
        <f aca="false">ABS(E165-G165)</f>
        <v>0</v>
      </c>
      <c r="I165" s="15" t="n">
        <v>2</v>
      </c>
      <c r="J165" s="21" t="n">
        <f aca="false">(SUMPRODUCT(2_Matriz_decision!C165:Q165,5_Ponderada!$C$5:$Q$5)-1)/4</f>
        <v>0.372459726238803</v>
      </c>
      <c r="K165" s="15" t="n">
        <f aca="false">MIN(5,INT(J165/0.2)+1)</f>
        <v>2</v>
      </c>
      <c r="L165" s="21" t="n">
        <v>0.372459726238803</v>
      </c>
    </row>
    <row r="166" customFormat="false" ht="15" hidden="false" customHeight="false" outlineLevel="0" collapsed="false">
      <c r="A166" s="15" t="n">
        <f aca="false">2_Matriz_decision!A166</f>
        <v>162</v>
      </c>
      <c r="B166" s="16" t="n">
        <f aca="false">2_Matriz_decision!B166</f>
        <v>16.446</v>
      </c>
      <c r="C166" s="21" t="n">
        <f aca="false">SQRT(SUMXMY2(5_Ponderada!C169:Q169,5_Ponderada!$C$6:$Q$6))</f>
        <v>0.0161633271459143</v>
      </c>
      <c r="D166" s="21" t="n">
        <f aca="false">SQRT(SUMXMY2(5_Ponderada!C169:Q169,5_Ponderada!$C$7:$Q$7))</f>
        <v>0.0128852965264711</v>
      </c>
      <c r="E166" s="21" t="n">
        <f aca="false">D166/(C166+D166)</f>
        <v>0.443576834200248</v>
      </c>
      <c r="F166" s="15" t="n">
        <f aca="false">MIN(5,INT(E166/0.2)+1)</f>
        <v>3</v>
      </c>
      <c r="G166" s="21" t="n">
        <v>0.443576834200248</v>
      </c>
      <c r="H166" s="28" t="n">
        <f aca="false">ABS(E166-G166)</f>
        <v>0</v>
      </c>
      <c r="I166" s="15" t="n">
        <v>3</v>
      </c>
      <c r="J166" s="21" t="n">
        <f aca="false">(SUMPRODUCT(2_Matriz_decision!C166:Q166,5_Ponderada!$C$5:$Q$5)-1)/4</f>
        <v>0.481023773630913</v>
      </c>
      <c r="K166" s="15" t="n">
        <f aca="false">MIN(5,INT(J166/0.2)+1)</f>
        <v>3</v>
      </c>
      <c r="L166" s="21" t="n">
        <v>0.481023773630913</v>
      </c>
    </row>
    <row r="167" customFormat="false" ht="15" hidden="false" customHeight="false" outlineLevel="0" collapsed="false">
      <c r="A167" s="15" t="n">
        <f aca="false">2_Matriz_decision!A167</f>
        <v>163</v>
      </c>
      <c r="B167" s="16" t="n">
        <f aca="false">2_Matriz_decision!B167</f>
        <v>16.544</v>
      </c>
      <c r="C167" s="21" t="n">
        <f aca="false">SQRT(SUMXMY2(5_Ponderada!C170:Q170,5_Ponderada!$C$6:$Q$6))</f>
        <v>0.0161750481582584</v>
      </c>
      <c r="D167" s="21" t="n">
        <f aca="false">SQRT(SUMXMY2(5_Ponderada!C170:Q170,5_Ponderada!$C$7:$Q$7))</f>
        <v>0.0128616361019942</v>
      </c>
      <c r="E167" s="21" t="n">
        <f aca="false">D167/(C167+D167)</f>
        <v>0.442944379830588</v>
      </c>
      <c r="F167" s="15" t="n">
        <f aca="false">MIN(5,INT(E167/0.2)+1)</f>
        <v>3</v>
      </c>
      <c r="G167" s="21" t="n">
        <v>0.442944379830588</v>
      </c>
      <c r="H167" s="28" t="n">
        <f aca="false">ABS(E167-G167)</f>
        <v>0</v>
      </c>
      <c r="I167" s="15" t="n">
        <v>3</v>
      </c>
      <c r="J167" s="21" t="n">
        <f aca="false">(SUMPRODUCT(2_Matriz_decision!C167:Q167,5_Ponderada!$C$5:$Q$5)-1)/4</f>
        <v>0.477373317952834</v>
      </c>
      <c r="K167" s="15" t="n">
        <f aca="false">MIN(5,INT(J167/0.2)+1)</f>
        <v>3</v>
      </c>
      <c r="L167" s="21" t="n">
        <v>0.477373317952834</v>
      </c>
    </row>
    <row r="168" customFormat="false" ht="15" hidden="false" customHeight="false" outlineLevel="0" collapsed="false">
      <c r="A168" s="15" t="n">
        <f aca="false">2_Matriz_decision!A168</f>
        <v>164</v>
      </c>
      <c r="B168" s="16" t="n">
        <f aca="false">2_Matriz_decision!B168</f>
        <v>16.643</v>
      </c>
      <c r="C168" s="21" t="n">
        <f aca="false">SQRT(SUMXMY2(5_Ponderada!C171:Q171,5_Ponderada!$C$6:$Q$6))</f>
        <v>0.0147137966483783</v>
      </c>
      <c r="D168" s="21" t="n">
        <f aca="false">SQRT(SUMXMY2(5_Ponderada!C171:Q171,5_Ponderada!$C$7:$Q$7))</f>
        <v>0.0107356486747553</v>
      </c>
      <c r="E168" s="21" t="n">
        <f aca="false">D168/(C168+D168)</f>
        <v>0.421842147773515</v>
      </c>
      <c r="F168" s="15" t="n">
        <f aca="false">MIN(5,INT(E168/0.2)+1)</f>
        <v>3</v>
      </c>
      <c r="G168" s="21" t="n">
        <v>0.421842147773515</v>
      </c>
      <c r="H168" s="28" t="n">
        <f aca="false">ABS(E168-G168)</f>
        <v>0</v>
      </c>
      <c r="I168" s="15" t="n">
        <v>3</v>
      </c>
      <c r="J168" s="21" t="n">
        <f aca="false">(SUMPRODUCT(2_Matriz_decision!C168:Q168,5_Ponderada!$C$5:$Q$5)-1)/4</f>
        <v>0.46164032014717</v>
      </c>
      <c r="K168" s="15" t="n">
        <f aca="false">MIN(5,INT(J168/0.2)+1)</f>
        <v>3</v>
      </c>
      <c r="L168" s="21" t="n">
        <v>0.46164032014717</v>
      </c>
    </row>
    <row r="169" customFormat="false" ht="15" hidden="false" customHeight="false" outlineLevel="0" collapsed="false">
      <c r="A169" s="15" t="n">
        <f aca="false">2_Matriz_decision!A169</f>
        <v>165</v>
      </c>
      <c r="B169" s="16" t="n">
        <f aca="false">2_Matriz_decision!B169</f>
        <v>16.743</v>
      </c>
      <c r="C169" s="21" t="n">
        <f aca="false">SQRT(SUMXMY2(5_Ponderada!C172:Q172,5_Ponderada!$C$6:$Q$6))</f>
        <v>0.0163825056086741</v>
      </c>
      <c r="D169" s="21" t="n">
        <f aca="false">SQRT(SUMXMY2(5_Ponderada!C172:Q172,5_Ponderada!$C$7:$Q$7))</f>
        <v>0.0127192731991408</v>
      </c>
      <c r="E169" s="21" t="n">
        <f aca="false">D169/(C169+D169)</f>
        <v>0.437061709634231</v>
      </c>
      <c r="F169" s="15" t="n">
        <f aca="false">MIN(5,INT(E169/0.2)+1)</f>
        <v>3</v>
      </c>
      <c r="G169" s="21" t="n">
        <v>0.437061709634231</v>
      </c>
      <c r="H169" s="28" t="n">
        <f aca="false">ABS(E169-G169)</f>
        <v>0</v>
      </c>
      <c r="I169" s="15" t="n">
        <v>3</v>
      </c>
      <c r="J169" s="21" t="n">
        <f aca="false">(SUMPRODUCT(2_Matriz_decision!C169:Q169,5_Ponderada!$C$5:$Q$5)-1)/4</f>
        <v>0.454746310426674</v>
      </c>
      <c r="K169" s="15" t="n">
        <f aca="false">MIN(5,INT(J169/0.2)+1)</f>
        <v>3</v>
      </c>
      <c r="L169" s="21" t="n">
        <v>0.454746310426674</v>
      </c>
    </row>
    <row r="170" customFormat="false" ht="15" hidden="false" customHeight="false" outlineLevel="0" collapsed="false">
      <c r="A170" s="15" t="n">
        <f aca="false">2_Matriz_decision!A170</f>
        <v>166</v>
      </c>
      <c r="B170" s="16" t="n">
        <f aca="false">2_Matriz_decision!B170</f>
        <v>16.844</v>
      </c>
      <c r="C170" s="21" t="n">
        <f aca="false">SQRT(SUMXMY2(5_Ponderada!C173:Q173,5_Ponderada!$C$6:$Q$6))</f>
        <v>0.0163560051836919</v>
      </c>
      <c r="D170" s="21" t="n">
        <f aca="false">SQRT(SUMXMY2(5_Ponderada!C173:Q173,5_Ponderada!$C$7:$Q$7))</f>
        <v>0.0127198106093523</v>
      </c>
      <c r="E170" s="21" t="n">
        <f aca="false">D170/(C170+D170)</f>
        <v>0.437470463421881</v>
      </c>
      <c r="F170" s="15" t="n">
        <f aca="false">MIN(5,INT(E170/0.2)+1)</f>
        <v>3</v>
      </c>
      <c r="G170" s="21" t="n">
        <v>0.437470463421881</v>
      </c>
      <c r="H170" s="28" t="n">
        <f aca="false">ABS(E170-G170)</f>
        <v>0</v>
      </c>
      <c r="I170" s="15" t="n">
        <v>3</v>
      </c>
      <c r="J170" s="21" t="n">
        <f aca="false">(SUMPRODUCT(2_Matriz_decision!C170:Q170,5_Ponderada!$C$5:$Q$5)-1)/4</f>
        <v>0.457876585196712</v>
      </c>
      <c r="K170" s="15" t="n">
        <f aca="false">MIN(5,INT(J170/0.2)+1)</f>
        <v>3</v>
      </c>
      <c r="L170" s="21" t="n">
        <v>0.457876585196713</v>
      </c>
    </row>
    <row r="171" customFormat="false" ht="15" hidden="false" customHeight="false" outlineLevel="0" collapsed="false">
      <c r="A171" s="15" t="n">
        <f aca="false">2_Matriz_decision!A171</f>
        <v>167</v>
      </c>
      <c r="B171" s="16" t="n">
        <f aca="false">2_Matriz_decision!B171</f>
        <v>16.944</v>
      </c>
      <c r="C171" s="21" t="n">
        <f aca="false">SQRT(SUMXMY2(5_Ponderada!C174:Q174,5_Ponderada!$C$6:$Q$6))</f>
        <v>0.0163330759674112</v>
      </c>
      <c r="D171" s="21" t="n">
        <f aca="false">SQRT(SUMXMY2(5_Ponderada!C174:Q174,5_Ponderada!$C$7:$Q$7))</f>
        <v>0.0127247633171986</v>
      </c>
      <c r="E171" s="21" t="n">
        <f aca="false">D171/(C171+D171)</f>
        <v>0.437911545747249</v>
      </c>
      <c r="F171" s="15" t="n">
        <f aca="false">MIN(5,INT(E171/0.2)+1)</f>
        <v>3</v>
      </c>
      <c r="G171" s="21" t="n">
        <v>0.437911545747249</v>
      </c>
      <c r="H171" s="28" t="n">
        <f aca="false">ABS(E171-G171)</f>
        <v>0</v>
      </c>
      <c r="I171" s="15" t="n">
        <v>3</v>
      </c>
      <c r="J171" s="21" t="n">
        <f aca="false">(SUMPRODUCT(2_Matriz_decision!C171:Q171,5_Ponderada!$C$5:$Q$5)-1)/4</f>
        <v>0.460474586678506</v>
      </c>
      <c r="K171" s="15" t="n">
        <f aca="false">MIN(5,INT(J171/0.2)+1)</f>
        <v>3</v>
      </c>
      <c r="L171" s="21" t="n">
        <v>0.460474586678507</v>
      </c>
    </row>
    <row r="172" customFormat="false" ht="15" hidden="false" customHeight="false" outlineLevel="0" collapsed="false">
      <c r="A172" s="15" t="n">
        <f aca="false">2_Matriz_decision!A172</f>
        <v>168</v>
      </c>
      <c r="B172" s="16" t="n">
        <f aca="false">2_Matriz_decision!B172</f>
        <v>17.045</v>
      </c>
      <c r="C172" s="21" t="n">
        <f aca="false">SQRT(SUMXMY2(5_Ponderada!C175:Q175,5_Ponderada!$C$6:$Q$6))</f>
        <v>0.0144549980890572</v>
      </c>
      <c r="D172" s="21" t="n">
        <f aca="false">SQRT(SUMXMY2(5_Ponderada!C175:Q175,5_Ponderada!$C$7:$Q$7))</f>
        <v>0.0130529626260988</v>
      </c>
      <c r="E172" s="21" t="n">
        <f aca="false">D172/(C172+D172)</f>
        <v>0.474515823301544</v>
      </c>
      <c r="F172" s="15" t="n">
        <f aca="false">MIN(5,INT(E172/0.2)+1)</f>
        <v>3</v>
      </c>
      <c r="G172" s="21" t="n">
        <v>0.474515823301544</v>
      </c>
      <c r="H172" s="28" t="n">
        <f aca="false">ABS(E172-G172)</f>
        <v>0</v>
      </c>
      <c r="I172" s="15" t="n">
        <v>3</v>
      </c>
      <c r="J172" s="21" t="n">
        <f aca="false">(SUMPRODUCT(2_Matriz_decision!C172:Q172,5_Ponderada!$C$5:$Q$5)-1)/4</f>
        <v>0.517075639687486</v>
      </c>
      <c r="K172" s="15" t="n">
        <f aca="false">MIN(5,INT(J172/0.2)+1)</f>
        <v>3</v>
      </c>
      <c r="L172" s="21" t="n">
        <v>0.517075639687486</v>
      </c>
    </row>
    <row r="173" customFormat="false" ht="15" hidden="false" customHeight="false" outlineLevel="0" collapsed="false">
      <c r="A173" s="15" t="n">
        <f aca="false">2_Matriz_decision!A173</f>
        <v>169</v>
      </c>
      <c r="B173" s="16" t="n">
        <f aca="false">2_Matriz_decision!B173</f>
        <v>17.145</v>
      </c>
      <c r="C173" s="21" t="n">
        <f aca="false">SQRT(SUMXMY2(5_Ponderada!C176:Q176,5_Ponderada!$C$6:$Q$6))</f>
        <v>0.0129512543519507</v>
      </c>
      <c r="D173" s="21" t="n">
        <f aca="false">SQRT(SUMXMY2(5_Ponderada!C176:Q176,5_Ponderada!$C$7:$Q$7))</f>
        <v>0.0139703416307268</v>
      </c>
      <c r="E173" s="21" t="n">
        <f aca="false">D173/(C173+D173)</f>
        <v>0.518926947708296</v>
      </c>
      <c r="F173" s="15" t="n">
        <f aca="false">MIN(5,INT(E173/0.2)+1)</f>
        <v>3</v>
      </c>
      <c r="G173" s="21" t="n">
        <v>0.518926947708296</v>
      </c>
      <c r="H173" s="28" t="n">
        <f aca="false">ABS(E173-G173)</f>
        <v>0</v>
      </c>
      <c r="I173" s="15" t="n">
        <v>3</v>
      </c>
      <c r="J173" s="21" t="n">
        <f aca="false">(SUMPRODUCT(2_Matriz_decision!C173:Q173,5_Ponderada!$C$5:$Q$5)-1)/4</f>
        <v>0.573129903390432</v>
      </c>
      <c r="K173" s="15" t="n">
        <f aca="false">MIN(5,INT(J173/0.2)+1)</f>
        <v>3</v>
      </c>
      <c r="L173" s="21" t="n">
        <v>0.573129903390433</v>
      </c>
    </row>
    <row r="174" customFormat="false" ht="15" hidden="false" customHeight="false" outlineLevel="0" collapsed="false">
      <c r="A174" s="15" t="n">
        <f aca="false">2_Matriz_decision!A174</f>
        <v>170</v>
      </c>
      <c r="B174" s="16" t="n">
        <f aca="false">2_Matriz_decision!B174</f>
        <v>17.245</v>
      </c>
      <c r="C174" s="21" t="n">
        <f aca="false">SQRT(SUMXMY2(5_Ponderada!C177:Q177,5_Ponderada!$C$6:$Q$6))</f>
        <v>0.0119704302223211</v>
      </c>
      <c r="D174" s="21" t="n">
        <f aca="false">SQRT(SUMXMY2(5_Ponderada!C177:Q177,5_Ponderada!$C$7:$Q$7))</f>
        <v>0.0153615118881183</v>
      </c>
      <c r="E174" s="21" t="n">
        <f aca="false">D174/(C174+D174)</f>
        <v>0.562035139180651</v>
      </c>
      <c r="F174" s="15" t="n">
        <f aca="false">MIN(5,INT(E174/0.2)+1)</f>
        <v>3</v>
      </c>
      <c r="G174" s="21" t="n">
        <v>0.562035139180651</v>
      </c>
      <c r="H174" s="28" t="n">
        <f aca="false">ABS(E174-G174)</f>
        <v>0</v>
      </c>
      <c r="I174" s="15" t="n">
        <v>3</v>
      </c>
      <c r="J174" s="21" t="n">
        <f aca="false">(SUMPRODUCT(2_Matriz_decision!C174:Q174,5_Ponderada!$C$5:$Q$5)-1)/4</f>
        <v>0.626154340635755</v>
      </c>
      <c r="K174" s="15" t="n">
        <f aca="false">MIN(5,INT(J174/0.2)+1)</f>
        <v>4</v>
      </c>
      <c r="L174" s="21" t="n">
        <v>0.626154340635756</v>
      </c>
    </row>
    <row r="175" customFormat="false" ht="15" hidden="false" customHeight="false" outlineLevel="0" collapsed="false">
      <c r="A175" s="15" t="n">
        <f aca="false">2_Matriz_decision!A175</f>
        <v>171</v>
      </c>
      <c r="B175" s="16" t="n">
        <f aca="false">2_Matriz_decision!B175</f>
        <v>17.345</v>
      </c>
      <c r="C175" s="21" t="n">
        <f aca="false">SQRT(SUMXMY2(5_Ponderada!C178:Q178,5_Ponderada!$C$6:$Q$6))</f>
        <v>0.0116299435513386</v>
      </c>
      <c r="D175" s="21" t="n">
        <f aca="false">SQRT(SUMXMY2(5_Ponderada!C178:Q178,5_Ponderada!$C$7:$Q$7))</f>
        <v>0.0171198922633404</v>
      </c>
      <c r="E175" s="21" t="n">
        <f aca="false">D175/(C175+D175)</f>
        <v>0.595477914159057</v>
      </c>
      <c r="F175" s="15" t="n">
        <f aca="false">MIN(5,INT(E175/0.2)+1)</f>
        <v>3</v>
      </c>
      <c r="G175" s="21" t="n">
        <v>0.595477914159057</v>
      </c>
      <c r="H175" s="28" t="n">
        <f aca="false">ABS(E175-G175)</f>
        <v>0</v>
      </c>
      <c r="I175" s="15" t="n">
        <v>3</v>
      </c>
      <c r="J175" s="21" t="n">
        <f aca="false">(SUMPRODUCT(2_Matriz_decision!C175:Q175,5_Ponderada!$C$5:$Q$5)-1)/4</f>
        <v>0.67809390271805</v>
      </c>
      <c r="K175" s="15" t="n">
        <f aca="false">MIN(5,INT(J175/0.2)+1)</f>
        <v>4</v>
      </c>
      <c r="L175" s="21" t="n">
        <v>0.67809390271805</v>
      </c>
    </row>
    <row r="176" customFormat="false" ht="15" hidden="false" customHeight="false" outlineLevel="0" collapsed="false">
      <c r="A176" s="15" t="n">
        <f aca="false">2_Matriz_decision!A176</f>
        <v>172</v>
      </c>
      <c r="B176" s="16" t="n">
        <f aca="false">2_Matriz_decision!B176</f>
        <v>17.445</v>
      </c>
      <c r="C176" s="21" t="n">
        <f aca="false">SQRT(SUMXMY2(5_Ponderada!C179:Q179,5_Ponderada!$C$6:$Q$6))</f>
        <v>0.0116204170730632</v>
      </c>
      <c r="D176" s="21" t="n">
        <f aca="false">SQRT(SUMXMY2(5_Ponderada!C179:Q179,5_Ponderada!$C$7:$Q$7))</f>
        <v>0.0171254656666575</v>
      </c>
      <c r="E176" s="21" t="n">
        <f aca="false">D176/(C176+D176)</f>
        <v>0.595753688335817</v>
      </c>
      <c r="F176" s="15" t="n">
        <f aca="false">MIN(5,INT(E176/0.2)+1)</f>
        <v>3</v>
      </c>
      <c r="G176" s="21" t="n">
        <v>0.595753688335816</v>
      </c>
      <c r="H176" s="28" t="n">
        <f aca="false">ABS(E176-G176)</f>
        <v>0</v>
      </c>
      <c r="I176" s="15" t="n">
        <v>3</v>
      </c>
      <c r="J176" s="21" t="n">
        <f aca="false">(SUMPRODUCT(2_Matriz_decision!C176:Q176,5_Ponderada!$C$5:$Q$5)-1)/4</f>
        <v>0.679217369016304</v>
      </c>
      <c r="K176" s="15" t="n">
        <f aca="false">MIN(5,INT(J176/0.2)+1)</f>
        <v>4</v>
      </c>
      <c r="L176" s="21" t="n">
        <v>0.679217369016305</v>
      </c>
    </row>
    <row r="177" customFormat="false" ht="15" hidden="false" customHeight="false" outlineLevel="0" collapsed="false">
      <c r="A177" s="15" t="n">
        <f aca="false">2_Matriz_decision!A177</f>
        <v>173</v>
      </c>
      <c r="B177" s="16" t="n">
        <f aca="false">2_Matriz_decision!B177</f>
        <v>17.546</v>
      </c>
      <c r="C177" s="21" t="n">
        <f aca="false">SQRT(SUMXMY2(5_Ponderada!C180:Q180,5_Ponderada!$C$6:$Q$6))</f>
        <v>0.0119510661682871</v>
      </c>
      <c r="D177" s="21" t="n">
        <f aca="false">SQRT(SUMXMY2(5_Ponderada!C180:Q180,5_Ponderada!$C$7:$Q$7))</f>
        <v>0.0154303300981055</v>
      </c>
      <c r="E177" s="21" t="n">
        <f aca="false">D177/(C177+D177)</f>
        <v>0.563533354836414</v>
      </c>
      <c r="F177" s="15" t="n">
        <f aca="false">MIN(5,INT(E177/0.2)+1)</f>
        <v>3</v>
      </c>
      <c r="G177" s="21" t="n">
        <v>0.563533354836414</v>
      </c>
      <c r="H177" s="28" t="n">
        <f aca="false">ABS(E177-G177)</f>
        <v>0</v>
      </c>
      <c r="I177" s="15" t="n">
        <v>3</v>
      </c>
      <c r="J177" s="21" t="n">
        <f aca="false">(SUMPRODUCT(2_Matriz_decision!C177:Q177,5_Ponderada!$C$5:$Q$5)-1)/4</f>
        <v>0.632458180267867</v>
      </c>
      <c r="K177" s="15" t="n">
        <f aca="false">MIN(5,INT(J177/0.2)+1)</f>
        <v>4</v>
      </c>
      <c r="L177" s="21" t="n">
        <v>0.632458180267868</v>
      </c>
    </row>
    <row r="178" customFormat="false" ht="15" hidden="false" customHeight="false" outlineLevel="0" collapsed="false">
      <c r="A178" s="15" t="n">
        <f aca="false">2_Matriz_decision!A178</f>
        <v>174</v>
      </c>
      <c r="B178" s="16" t="n">
        <f aca="false">2_Matriz_decision!B178</f>
        <v>17.646</v>
      </c>
      <c r="C178" s="21" t="n">
        <f aca="false">SQRT(SUMXMY2(5_Ponderada!C181:Q181,5_Ponderada!$C$6:$Q$6))</f>
        <v>0.0119439219821155</v>
      </c>
      <c r="D178" s="21" t="n">
        <f aca="false">SQRT(SUMXMY2(5_Ponderada!C181:Q181,5_Ponderada!$C$7:$Q$7))</f>
        <v>0.0154384876235588</v>
      </c>
      <c r="E178" s="21" t="n">
        <f aca="false">D178/(C178+D178)</f>
        <v>0.563810411351074</v>
      </c>
      <c r="F178" s="15" t="n">
        <f aca="false">MIN(5,INT(E178/0.2)+1)</f>
        <v>3</v>
      </c>
      <c r="G178" s="21" t="n">
        <v>0.563810411351074</v>
      </c>
      <c r="H178" s="28" t="n">
        <f aca="false">ABS(E178-G178)</f>
        <v>0</v>
      </c>
      <c r="I178" s="15" t="n">
        <v>3</v>
      </c>
      <c r="J178" s="21" t="n">
        <f aca="false">(SUMPRODUCT(2_Matriz_decision!C178:Q178,5_Ponderada!$C$5:$Q$5)-1)/4</f>
        <v>0.633684537146176</v>
      </c>
      <c r="K178" s="15" t="n">
        <f aca="false">MIN(5,INT(J178/0.2)+1)</f>
        <v>4</v>
      </c>
      <c r="L178" s="21" t="n">
        <v>0.633684537146177</v>
      </c>
    </row>
    <row r="179" customFormat="false" ht="15" hidden="false" customHeight="false" outlineLevel="0" collapsed="false">
      <c r="A179" s="15" t="n">
        <f aca="false">2_Matriz_decision!A179</f>
        <v>175</v>
      </c>
      <c r="B179" s="16" t="n">
        <f aca="false">2_Matriz_decision!B179</f>
        <v>17.746</v>
      </c>
      <c r="C179" s="21" t="n">
        <f aca="false">SQRT(SUMXMY2(5_Ponderada!C182:Q182,5_Ponderada!$C$6:$Q$6))</f>
        <v>0.0116107810618222</v>
      </c>
      <c r="D179" s="21" t="n">
        <f aca="false">SQRT(SUMXMY2(5_Ponderada!C182:Q182,5_Ponderada!$C$7:$Q$7))</f>
        <v>0.0171078259149335</v>
      </c>
      <c r="E179" s="21" t="n">
        <f aca="false">D179/(C179+D179)</f>
        <v>0.595705283643467</v>
      </c>
      <c r="F179" s="15" t="n">
        <f aca="false">MIN(5,INT(E179/0.2)+1)</f>
        <v>3</v>
      </c>
      <c r="G179" s="21" t="n">
        <v>0.595705283643467</v>
      </c>
      <c r="H179" s="28" t="n">
        <f aca="false">ABS(E179-G179)</f>
        <v>0</v>
      </c>
      <c r="I179" s="15" t="n">
        <v>3</v>
      </c>
      <c r="J179" s="21" t="n">
        <f aca="false">(SUMPRODUCT(2_Matriz_decision!C179:Q179,5_Ponderada!$C$5:$Q$5)-1)/4</f>
        <v>0.672195375233334</v>
      </c>
      <c r="K179" s="15" t="n">
        <f aca="false">MIN(5,INT(J179/0.2)+1)</f>
        <v>4</v>
      </c>
      <c r="L179" s="21" t="n">
        <v>0.672195375233335</v>
      </c>
    </row>
    <row r="180" customFormat="false" ht="15" hidden="false" customHeight="false" outlineLevel="0" collapsed="false">
      <c r="A180" s="15" t="n">
        <f aca="false">2_Matriz_decision!A180</f>
        <v>176</v>
      </c>
      <c r="B180" s="16" t="n">
        <f aca="false">2_Matriz_decision!B180</f>
        <v>17.846</v>
      </c>
      <c r="C180" s="21" t="n">
        <f aca="false">SQRT(SUMXMY2(5_Ponderada!C183:Q183,5_Ponderada!$C$6:$Q$6))</f>
        <v>0.0116322542494494</v>
      </c>
      <c r="D180" s="21" t="n">
        <f aca="false">SQRT(SUMXMY2(5_Ponderada!C183:Q183,5_Ponderada!$C$7:$Q$7))</f>
        <v>0.0170853003054159</v>
      </c>
      <c r="E180" s="21" t="n">
        <f aca="false">D180/(C180+D180)</f>
        <v>0.594942729986782</v>
      </c>
      <c r="F180" s="15" t="n">
        <f aca="false">MIN(5,INT(E180/0.2)+1)</f>
        <v>3</v>
      </c>
      <c r="G180" s="21" t="n">
        <v>0.594942729986782</v>
      </c>
      <c r="H180" s="28" t="n">
        <f aca="false">ABS(E180-G180)</f>
        <v>0</v>
      </c>
      <c r="I180" s="15" t="n">
        <v>3</v>
      </c>
      <c r="J180" s="21" t="n">
        <f aca="false">(SUMPRODUCT(2_Matriz_decision!C180:Q180,5_Ponderada!$C$5:$Q$5)-1)/4</f>
        <v>0.659986162706333</v>
      </c>
      <c r="K180" s="15" t="n">
        <f aca="false">MIN(5,INT(J180/0.2)+1)</f>
        <v>4</v>
      </c>
      <c r="L180" s="21" t="n">
        <v>0.659986162706334</v>
      </c>
    </row>
    <row r="181" customFormat="false" ht="15" hidden="false" customHeight="false" outlineLevel="0" collapsed="false">
      <c r="A181" s="15" t="n">
        <f aca="false">2_Matriz_decision!A181</f>
        <v>177</v>
      </c>
      <c r="B181" s="16" t="n">
        <f aca="false">2_Matriz_decision!B181</f>
        <v>17.946</v>
      </c>
      <c r="C181" s="21" t="n">
        <f aca="false">SQRT(SUMXMY2(5_Ponderada!C184:Q184,5_Ponderada!$C$6:$Q$6))</f>
        <v>0.012046093147148</v>
      </c>
      <c r="D181" s="21" t="n">
        <f aca="false">SQRT(SUMXMY2(5_Ponderada!C184:Q184,5_Ponderada!$C$7:$Q$7))</f>
        <v>0.0153642879890838</v>
      </c>
      <c r="E181" s="21" t="n">
        <f aca="false">D181/(C181+D181)</f>
        <v>0.560528068279023</v>
      </c>
      <c r="F181" s="15" t="n">
        <f aca="false">MIN(5,INT(E181/0.2)+1)</f>
        <v>3</v>
      </c>
      <c r="G181" s="21" t="n">
        <v>0.560528068279023</v>
      </c>
      <c r="H181" s="28" t="n">
        <f aca="false">ABS(E181-G181)</f>
        <v>0</v>
      </c>
      <c r="I181" s="15" t="n">
        <v>3</v>
      </c>
      <c r="J181" s="21" t="n">
        <f aca="false">(SUMPRODUCT(2_Matriz_decision!C181:Q181,5_Ponderada!$C$5:$Q$5)-1)/4</f>
        <v>0.592863733552959</v>
      </c>
      <c r="K181" s="15" t="n">
        <f aca="false">MIN(5,INT(J181/0.2)+1)</f>
        <v>3</v>
      </c>
      <c r="L181" s="21" t="n">
        <v>0.592863733552959</v>
      </c>
    </row>
    <row r="182" customFormat="false" ht="15" hidden="false" customHeight="false" outlineLevel="0" collapsed="false">
      <c r="A182" s="15" t="n">
        <f aca="false">2_Matriz_decision!A182</f>
        <v>178</v>
      </c>
      <c r="B182" s="16" t="n">
        <f aca="false">2_Matriz_decision!B182</f>
        <v>18.047</v>
      </c>
      <c r="C182" s="21" t="n">
        <f aca="false">SQRT(SUMXMY2(5_Ponderada!C185:Q185,5_Ponderada!$C$6:$Q$6))</f>
        <v>0.0164548212573086</v>
      </c>
      <c r="D182" s="21" t="n">
        <f aca="false">SQRT(SUMXMY2(5_Ponderada!C185:Q185,5_Ponderada!$C$7:$Q$7))</f>
        <v>0.0103231566136295</v>
      </c>
      <c r="E182" s="21" t="n">
        <f aca="false">D182/(C182+D182)</f>
        <v>0.385509192045197</v>
      </c>
      <c r="F182" s="15" t="n">
        <f aca="false">MIN(5,INT(E182/0.2)+1)</f>
        <v>2</v>
      </c>
      <c r="G182" s="21" t="n">
        <v>0.385509192045196</v>
      </c>
      <c r="H182" s="28" t="n">
        <f aca="false">ABS(E182-G182)</f>
        <v>0</v>
      </c>
      <c r="I182" s="15" t="n">
        <v>2</v>
      </c>
      <c r="J182" s="21" t="n">
        <f aca="false">(SUMPRODUCT(2_Matriz_decision!C182:Q182,5_Ponderada!$C$5:$Q$5)-1)/4</f>
        <v>0.3976062337283</v>
      </c>
      <c r="K182" s="15" t="n">
        <f aca="false">MIN(5,INT(J182/0.2)+1)</f>
        <v>2</v>
      </c>
      <c r="L182" s="21" t="n">
        <v>0.397606233728301</v>
      </c>
    </row>
    <row r="183" customFormat="false" ht="15" hidden="false" customHeight="false" outlineLevel="0" collapsed="false">
      <c r="A183" s="15" t="n">
        <f aca="false">2_Matriz_decision!A183</f>
        <v>179</v>
      </c>
      <c r="B183" s="16" t="n">
        <f aca="false">2_Matriz_decision!B183</f>
        <v>18.147</v>
      </c>
      <c r="C183" s="21" t="n">
        <f aca="false">SQRT(SUMXMY2(5_Ponderada!C186:Q186,5_Ponderada!$C$6:$Q$6))</f>
        <v>0.0164160662716584</v>
      </c>
      <c r="D183" s="21" t="n">
        <f aca="false">SQRT(SUMXMY2(5_Ponderada!C186:Q186,5_Ponderada!$C$7:$Q$7))</f>
        <v>0.0103860845134761</v>
      </c>
      <c r="E183" s="21" t="n">
        <f aca="false">D183/(C183+D183)</f>
        <v>0.387509368062978</v>
      </c>
      <c r="F183" s="15" t="n">
        <f aca="false">MIN(5,INT(E183/0.2)+1)</f>
        <v>2</v>
      </c>
      <c r="G183" s="21" t="n">
        <v>0.387509368062978</v>
      </c>
      <c r="H183" s="28" t="n">
        <f aca="false">ABS(E183-G183)</f>
        <v>0</v>
      </c>
      <c r="I183" s="15" t="n">
        <v>2</v>
      </c>
      <c r="J183" s="21" t="n">
        <f aca="false">(SUMPRODUCT(2_Matriz_decision!C183:Q183,5_Ponderada!$C$5:$Q$5)-1)/4</f>
        <v>0.417458993501732</v>
      </c>
      <c r="K183" s="15" t="n">
        <f aca="false">MIN(5,INT(J183/0.2)+1)</f>
        <v>3</v>
      </c>
      <c r="L183" s="21" t="n">
        <v>0.417458993501733</v>
      </c>
    </row>
    <row r="184" customFormat="false" ht="15" hidden="false" customHeight="false" outlineLevel="0" collapsed="false">
      <c r="A184" s="15" t="n">
        <f aca="false">2_Matriz_decision!A184</f>
        <v>180</v>
      </c>
      <c r="B184" s="16" t="n">
        <f aca="false">2_Matriz_decision!B184</f>
        <v>18.247</v>
      </c>
      <c r="C184" s="21" t="n">
        <f aca="false">SQRT(SUMXMY2(5_Ponderada!C187:Q187,5_Ponderada!$C$6:$Q$6))</f>
        <v>0.0161663796695678</v>
      </c>
      <c r="D184" s="21" t="n">
        <f aca="false">SQRT(SUMXMY2(5_Ponderada!C187:Q187,5_Ponderada!$C$7:$Q$7))</f>
        <v>0.0128463367974132</v>
      </c>
      <c r="E184" s="21" t="n">
        <f aca="false">D184/(C184+D184)</f>
        <v>0.442782971116595</v>
      </c>
      <c r="F184" s="15" t="n">
        <f aca="false">MIN(5,INT(E184/0.2)+1)</f>
        <v>3</v>
      </c>
      <c r="G184" s="21" t="n">
        <v>0.442782971116595</v>
      </c>
      <c r="H184" s="28" t="n">
        <f aca="false">ABS(E184-G184)</f>
        <v>0</v>
      </c>
      <c r="I184" s="15" t="n">
        <v>3</v>
      </c>
      <c r="J184" s="21" t="n">
        <f aca="false">(SUMPRODUCT(2_Matriz_decision!C184:Q184,5_Ponderada!$C$5:$Q$5)-1)/4</f>
        <v>0.470208835384691</v>
      </c>
      <c r="K184" s="15" t="n">
        <f aca="false">MIN(5,INT(J184/0.2)+1)</f>
        <v>3</v>
      </c>
      <c r="L184" s="21" t="n">
        <v>0.470208835384691</v>
      </c>
    </row>
    <row r="185" customFormat="false" ht="15" hidden="false" customHeight="false" outlineLevel="0" collapsed="false">
      <c r="A185" s="15" t="n">
        <f aca="false">2_Matriz_decision!A185</f>
        <v>181</v>
      </c>
      <c r="B185" s="16" t="n">
        <f aca="false">2_Matriz_decision!B185</f>
        <v>18.347</v>
      </c>
      <c r="C185" s="21" t="n">
        <f aca="false">SQRT(SUMXMY2(5_Ponderada!C188:Q188,5_Ponderada!$C$6:$Q$6))</f>
        <v>0.0161635637619018</v>
      </c>
      <c r="D185" s="21" t="n">
        <f aca="false">SQRT(SUMXMY2(5_Ponderada!C188:Q188,5_Ponderada!$C$7:$Q$7))</f>
        <v>0.0128849144928767</v>
      </c>
      <c r="E185" s="21" t="n">
        <f aca="false">D185/(C185+D185)</f>
        <v>0.443565903172814</v>
      </c>
      <c r="F185" s="15" t="n">
        <f aca="false">MIN(5,INT(E185/0.2)+1)</f>
        <v>3</v>
      </c>
      <c r="G185" s="21" t="n">
        <v>0.443565903172814</v>
      </c>
      <c r="H185" s="28" t="n">
        <f aca="false">ABS(E185-G185)</f>
        <v>0</v>
      </c>
      <c r="I185" s="15" t="n">
        <v>3</v>
      </c>
      <c r="J185" s="21" t="n">
        <f aca="false">(SUMPRODUCT(2_Matriz_decision!C185:Q185,5_Ponderada!$C$5:$Q$5)-1)/4</f>
        <v>0.479400786601534</v>
      </c>
      <c r="K185" s="15" t="n">
        <f aca="false">MIN(5,INT(J185/0.2)+1)</f>
        <v>3</v>
      </c>
      <c r="L185" s="21" t="n">
        <v>0.479400786601535</v>
      </c>
    </row>
    <row r="186" customFormat="false" ht="15" hidden="false" customHeight="false" outlineLevel="0" collapsed="false">
      <c r="A186" s="15" t="n">
        <f aca="false">2_Matriz_decision!A186</f>
        <v>182</v>
      </c>
      <c r="B186" s="16" t="n">
        <f aca="false">2_Matriz_decision!B186</f>
        <v>18.448</v>
      </c>
      <c r="C186" s="21" t="n">
        <f aca="false">SQRT(SUMXMY2(5_Ponderada!C189:Q189,5_Ponderada!$C$6:$Q$6))</f>
        <v>0.0115988307545864</v>
      </c>
      <c r="D186" s="21" t="n">
        <f aca="false">SQRT(SUMXMY2(5_Ponderada!C189:Q189,5_Ponderada!$C$7:$Q$7))</f>
        <v>0.0171507404136958</v>
      </c>
      <c r="E186" s="21" t="n">
        <f aca="false">D186/(C186+D186)</f>
        <v>0.596556390817311</v>
      </c>
      <c r="F186" s="15" t="n">
        <f aca="false">MIN(5,INT(E186/0.2)+1)</f>
        <v>3</v>
      </c>
      <c r="G186" s="21" t="n">
        <v>0.59655639081731</v>
      </c>
      <c r="H186" s="28" t="n">
        <f aca="false">ABS(E186-G186)</f>
        <v>0</v>
      </c>
      <c r="I186" s="15" t="n">
        <v>3</v>
      </c>
      <c r="J186" s="21" t="n">
        <f aca="false">(SUMPRODUCT(2_Matriz_decision!C186:Q186,5_Ponderada!$C$5:$Q$5)-1)/4</f>
        <v>0.682064582689305</v>
      </c>
      <c r="K186" s="15" t="n">
        <f aca="false">MIN(5,INT(J186/0.2)+1)</f>
        <v>4</v>
      </c>
      <c r="L186" s="21" t="n">
        <v>0.682064582689305</v>
      </c>
    </row>
    <row r="187" customFormat="false" ht="15" hidden="false" customHeight="false" outlineLevel="0" collapsed="false">
      <c r="A187" s="15" t="n">
        <f aca="false">2_Matriz_decision!A187</f>
        <v>183</v>
      </c>
      <c r="B187" s="16" t="n">
        <f aca="false">2_Matriz_decision!B187</f>
        <v>18.549</v>
      </c>
      <c r="C187" s="21" t="n">
        <f aca="false">SQRT(SUMXMY2(5_Ponderada!C190:Q190,5_Ponderada!$C$6:$Q$6))</f>
        <v>0.0116006229670215</v>
      </c>
      <c r="D187" s="21" t="n">
        <f aca="false">SQRT(SUMXMY2(5_Ponderada!C190:Q190,5_Ponderada!$C$7:$Q$7))</f>
        <v>0.0171480827769864</v>
      </c>
      <c r="E187" s="21" t="n">
        <f aca="false">D187/(C187+D187)</f>
        <v>0.596481905296227</v>
      </c>
      <c r="F187" s="15" t="n">
        <f aca="false">MIN(5,INT(E187/0.2)+1)</f>
        <v>3</v>
      </c>
      <c r="G187" s="21" t="n">
        <v>0.596481905296227</v>
      </c>
      <c r="H187" s="28" t="n">
        <f aca="false">ABS(E187-G187)</f>
        <v>0</v>
      </c>
      <c r="I187" s="15" t="n">
        <v>3</v>
      </c>
      <c r="J187" s="21" t="n">
        <f aca="false">(SUMPRODUCT(2_Matriz_decision!C187:Q187,5_Ponderada!$C$5:$Q$5)-1)/4</f>
        <v>0.681445884781748</v>
      </c>
      <c r="K187" s="15" t="n">
        <f aca="false">MIN(5,INT(J187/0.2)+1)</f>
        <v>4</v>
      </c>
      <c r="L187" s="21" t="n">
        <v>0.681445884781748</v>
      </c>
    </row>
    <row r="188" customFormat="false" ht="15" hidden="false" customHeight="false" outlineLevel="0" collapsed="false">
      <c r="A188" s="15" t="n">
        <f aca="false">2_Matriz_decision!A188</f>
        <v>184</v>
      </c>
      <c r="B188" s="16" t="n">
        <f aca="false">2_Matriz_decision!B188</f>
        <v>18.65</v>
      </c>
      <c r="C188" s="21" t="n">
        <f aca="false">SQRT(SUMXMY2(5_Ponderada!C191:Q191,5_Ponderada!$C$6:$Q$6))</f>
        <v>0.0116005672747288</v>
      </c>
      <c r="D188" s="21" t="n">
        <f aca="false">SQRT(SUMXMY2(5_Ponderada!C191:Q191,5_Ponderada!$C$7:$Q$7))</f>
        <v>0.0171481623792639</v>
      </c>
      <c r="E188" s="21" t="n">
        <f aca="false">D188/(C188+D188)</f>
        <v>0.596484178106363</v>
      </c>
      <c r="F188" s="15" t="n">
        <f aca="false">MIN(5,INT(E188/0.2)+1)</f>
        <v>3</v>
      </c>
      <c r="G188" s="21" t="n">
        <v>0.596484178106363</v>
      </c>
      <c r="H188" s="28" t="n">
        <f aca="false">ABS(E188-G188)</f>
        <v>0</v>
      </c>
      <c r="I188" s="15" t="n">
        <v>3</v>
      </c>
      <c r="J188" s="21" t="n">
        <f aca="false">(SUMPRODUCT(2_Matriz_decision!C188:Q188,5_Ponderada!$C$5:$Q$5)-1)/4</f>
        <v>0.681464633203189</v>
      </c>
      <c r="K188" s="15" t="n">
        <f aca="false">MIN(5,INT(J188/0.2)+1)</f>
        <v>4</v>
      </c>
      <c r="L188" s="21" t="n">
        <v>0.68146463320319</v>
      </c>
    </row>
    <row r="189" customFormat="false" ht="15" hidden="false" customHeight="false" outlineLevel="0" collapsed="false">
      <c r="A189" s="15" t="n">
        <f aca="false">2_Matriz_decision!A189</f>
        <v>185</v>
      </c>
      <c r="B189" s="16" t="n">
        <f aca="false">2_Matriz_decision!B189</f>
        <v>18.75</v>
      </c>
      <c r="C189" s="21" t="n">
        <f aca="false">SQRT(SUMXMY2(5_Ponderada!C192:Q192,5_Ponderada!$C$6:$Q$6))</f>
        <v>0.0116003453697093</v>
      </c>
      <c r="D189" s="21" t="n">
        <f aca="false">SQRT(SUMXMY2(5_Ponderada!C192:Q192,5_Ponderada!$C$7:$Q$7))</f>
        <v>0.017148481371055</v>
      </c>
      <c r="E189" s="21" t="n">
        <f aca="false">D189/(C189+D189)</f>
        <v>0.596493259557594</v>
      </c>
      <c r="F189" s="15" t="n">
        <f aca="false">MIN(5,INT(E189/0.2)+1)</f>
        <v>3</v>
      </c>
      <c r="G189" s="21" t="n">
        <v>0.596493259557593</v>
      </c>
      <c r="H189" s="28" t="n">
        <f aca="false">ABS(E189-G189)</f>
        <v>0</v>
      </c>
      <c r="I189" s="15" t="n">
        <v>3</v>
      </c>
      <c r="J189" s="21" t="n">
        <f aca="false">(SUMPRODUCT(2_Matriz_decision!C189:Q189,5_Ponderada!$C$5:$Q$5)-1)/4</f>
        <v>0.681539626888953</v>
      </c>
      <c r="K189" s="15" t="n">
        <f aca="false">MIN(5,INT(J189/0.2)+1)</f>
        <v>4</v>
      </c>
      <c r="L189" s="21" t="n">
        <v>0.681539626888954</v>
      </c>
    </row>
    <row r="190" customFormat="false" ht="15" hidden="false" customHeight="false" outlineLevel="0" collapsed="false">
      <c r="A190" s="15" t="n">
        <f aca="false">2_Matriz_decision!A190</f>
        <v>186</v>
      </c>
      <c r="B190" s="16" t="n">
        <f aca="false">2_Matriz_decision!B190</f>
        <v>18.851</v>
      </c>
      <c r="C190" s="21" t="n">
        <f aca="false">SQRT(SUMXMY2(5_Ponderada!C193:Q193,5_Ponderada!$C$6:$Q$6))</f>
        <v>0.0116002349357075</v>
      </c>
      <c r="D190" s="21" t="n">
        <f aca="false">SQRT(SUMXMY2(5_Ponderada!C193:Q193,5_Ponderada!$C$7:$Q$7))</f>
        <v>0.017148641216548</v>
      </c>
      <c r="E190" s="21" t="n">
        <f aca="false">D190/(C190+D190)</f>
        <v>0.596497794408656</v>
      </c>
      <c r="F190" s="15" t="n">
        <f aca="false">MIN(5,INT(E190/0.2)+1)</f>
        <v>3</v>
      </c>
      <c r="G190" s="21" t="n">
        <v>0.596497794408656</v>
      </c>
      <c r="H190" s="28" t="n">
        <f aca="false">ABS(E190-G190)</f>
        <v>0</v>
      </c>
      <c r="I190" s="15" t="n">
        <v>3</v>
      </c>
      <c r="J190" s="21" t="n">
        <f aca="false">(SUMPRODUCT(2_Matriz_decision!C190:Q190,5_Ponderada!$C$5:$Q$5)-1)/4</f>
        <v>0.681577123731836</v>
      </c>
      <c r="K190" s="15" t="n">
        <f aca="false">MIN(5,INT(J190/0.2)+1)</f>
        <v>4</v>
      </c>
      <c r="L190" s="21" t="n">
        <v>0.681577123731836</v>
      </c>
    </row>
    <row r="191" customFormat="false" ht="15" hidden="false" customHeight="false" outlineLevel="0" collapsed="false">
      <c r="A191" s="15" t="n">
        <f aca="false">2_Matriz_decision!A191</f>
        <v>187</v>
      </c>
      <c r="B191" s="16" t="n">
        <f aca="false">2_Matriz_decision!B191</f>
        <v>18.951</v>
      </c>
      <c r="C191" s="21" t="n">
        <f aca="false">SQRT(SUMXMY2(5_Ponderada!C194:Q194,5_Ponderada!$C$6:$Q$6))</f>
        <v>0.0116004838983163</v>
      </c>
      <c r="D191" s="21" t="n">
        <f aca="false">SQRT(SUMXMY2(5_Ponderada!C194:Q194,5_Ponderada!$C$7:$Q$7))</f>
        <v>0.017148281891934</v>
      </c>
      <c r="E191" s="21" t="n">
        <f aca="false">D191/(C191+D191)</f>
        <v>0.596487585486178</v>
      </c>
      <c r="F191" s="15" t="n">
        <f aca="false">MIN(5,INT(E191/0.2)+1)</f>
        <v>3</v>
      </c>
      <c r="G191" s="21" t="n">
        <v>0.596487585486178</v>
      </c>
      <c r="H191" s="28" t="n">
        <f aca="false">ABS(E191-G191)</f>
        <v>0</v>
      </c>
      <c r="I191" s="15" t="n">
        <v>3</v>
      </c>
      <c r="J191" s="21" t="n">
        <f aca="false">(SUMPRODUCT(2_Matriz_decision!C191:Q191,5_Ponderada!$C$5:$Q$5)-1)/4</f>
        <v>0.681492755835351</v>
      </c>
      <c r="K191" s="15" t="n">
        <f aca="false">MIN(5,INT(J191/0.2)+1)</f>
        <v>4</v>
      </c>
      <c r="L191" s="21" t="n">
        <v>0.681492755835351</v>
      </c>
    </row>
    <row r="192" customFormat="false" ht="15" hidden="false" customHeight="false" outlineLevel="0" collapsed="false">
      <c r="A192" s="15" t="n">
        <f aca="false">2_Matriz_decision!A192</f>
        <v>188</v>
      </c>
      <c r="B192" s="16" t="n">
        <f aca="false">2_Matriz_decision!B192</f>
        <v>19.05</v>
      </c>
      <c r="C192" s="21" t="n">
        <f aca="false">SQRT(SUMXMY2(5_Ponderada!C195:Q195,5_Ponderada!$C$6:$Q$6))</f>
        <v>0.011601783700404</v>
      </c>
      <c r="D192" s="21" t="n">
        <f aca="false">SQRT(SUMXMY2(5_Ponderada!C195:Q195,5_Ponderada!$C$7:$Q$7))</f>
        <v>0.0171464637726568</v>
      </c>
      <c r="E192" s="21" t="n">
        <f aca="false">D192/(C192+D192)</f>
        <v>0.596435097086329</v>
      </c>
      <c r="F192" s="15" t="n">
        <f aca="false">MIN(5,INT(E192/0.2)+1)</f>
        <v>3</v>
      </c>
      <c r="G192" s="21" t="n">
        <v>0.596435097086329</v>
      </c>
      <c r="H192" s="28" t="n">
        <f aca="false">ABS(E192-G192)</f>
        <v>0</v>
      </c>
      <c r="I192" s="15" t="n">
        <v>3</v>
      </c>
      <c r="J192" s="21" t="n">
        <f aca="false">(SUMPRODUCT(2_Matriz_decision!C192:Q192,5_Ponderada!$C$5:$Q$5)-1)/4</f>
        <v>0.681061542142205</v>
      </c>
      <c r="K192" s="15" t="n">
        <f aca="false">MIN(5,INT(J192/0.2)+1)</f>
        <v>4</v>
      </c>
      <c r="L192" s="21" t="n">
        <v>0.681061542142206</v>
      </c>
    </row>
    <row r="193" customFormat="false" ht="15" hidden="false" customHeight="false" outlineLevel="0" collapsed="false">
      <c r="A193" s="15" t="n">
        <f aca="false">2_Matriz_decision!A193</f>
        <v>189</v>
      </c>
      <c r="B193" s="16" t="n">
        <f aca="false">2_Matriz_decision!B193</f>
        <v>19.149</v>
      </c>
      <c r="C193" s="21" t="n">
        <f aca="false">SQRT(SUMXMY2(5_Ponderada!C196:Q196,5_Ponderada!$C$6:$Q$6))</f>
        <v>0.0116056409912646</v>
      </c>
      <c r="D193" s="21" t="n">
        <f aca="false">SQRT(SUMXMY2(5_Ponderada!C196:Q196,5_Ponderada!$C$7:$Q$7))</f>
        <v>0.0171415669571219</v>
      </c>
      <c r="E193" s="21" t="n">
        <f aca="false">D193/(C193+D193)</f>
        <v>0.5962863241501</v>
      </c>
      <c r="F193" s="15" t="n">
        <f aca="false">MIN(5,INT(E193/0.2)+1)</f>
        <v>3</v>
      </c>
      <c r="G193" s="21" t="n">
        <v>0.5962863241501</v>
      </c>
      <c r="H193" s="28" t="n">
        <f aca="false">ABS(E193-G193)</f>
        <v>0</v>
      </c>
      <c r="I193" s="15" t="n">
        <v>3</v>
      </c>
      <c r="J193" s="21" t="n">
        <f aca="false">(SUMPRODUCT(2_Matriz_decision!C193:Q193,5_Ponderada!$C$5:$Q$5)-1)/4</f>
        <v>0.679861643169974</v>
      </c>
      <c r="K193" s="15" t="n">
        <f aca="false">MIN(5,INT(J193/0.2)+1)</f>
        <v>4</v>
      </c>
      <c r="L193" s="21" t="n">
        <v>0.679861643169975</v>
      </c>
    </row>
    <row r="194" customFormat="false" ht="15" hidden="false" customHeight="false" outlineLevel="0" collapsed="false">
      <c r="A194" s="15" t="n">
        <f aca="false">2_Matriz_decision!A194</f>
        <v>190</v>
      </c>
      <c r="B194" s="16" t="n">
        <f aca="false">2_Matriz_decision!B194</f>
        <v>19.248</v>
      </c>
      <c r="C194" s="21" t="n">
        <f aca="false">SQRT(SUMXMY2(5_Ponderada!C197:Q197,5_Ponderada!$C$6:$Q$6))</f>
        <v>0.0116049029992971</v>
      </c>
      <c r="D194" s="21" t="n">
        <f aca="false">SQRT(SUMXMY2(5_Ponderada!C197:Q197,5_Ponderada!$C$7:$Q$7))</f>
        <v>0.0171423112980881</v>
      </c>
      <c r="E194" s="21" t="n">
        <f aca="false">D194/(C194+D194)</f>
        <v>0.59631208508601</v>
      </c>
      <c r="F194" s="15" t="n">
        <f aca="false">MIN(5,INT(E194/0.2)+1)</f>
        <v>3</v>
      </c>
      <c r="G194" s="21" t="n">
        <v>0.596312085086009</v>
      </c>
      <c r="H194" s="28" t="n">
        <f aca="false">ABS(E194-G194)</f>
        <v>0</v>
      </c>
      <c r="I194" s="15" t="n">
        <v>3</v>
      </c>
      <c r="J194" s="21" t="n">
        <f aca="false">(SUMPRODUCT(2_Matriz_decision!C194:Q194,5_Ponderada!$C$5:$Q$5)-1)/4</f>
        <v>0.680100522510441</v>
      </c>
      <c r="K194" s="15" t="n">
        <f aca="false">MIN(5,INT(J194/0.2)+1)</f>
        <v>4</v>
      </c>
      <c r="L194" s="21" t="n">
        <v>0.680100522510442</v>
      </c>
    </row>
    <row r="195" customFormat="false" ht="15" hidden="false" customHeight="false" outlineLevel="0" collapsed="false">
      <c r="A195" s="15" t="n">
        <f aca="false">2_Matriz_decision!A195</f>
        <v>191</v>
      </c>
      <c r="B195" s="16" t="n">
        <f aca="false">2_Matriz_decision!B195</f>
        <v>19.347</v>
      </c>
      <c r="C195" s="21" t="n">
        <f aca="false">SQRT(SUMXMY2(5_Ponderada!C198:Q198,5_Ponderada!$C$6:$Q$6))</f>
        <v>0.0116106054050828</v>
      </c>
      <c r="D195" s="21" t="n">
        <f aca="false">SQRT(SUMXMY2(5_Ponderada!C198:Q198,5_Ponderada!$C$7:$Q$7))</f>
        <v>0.0171349621166202</v>
      </c>
      <c r="E195" s="21" t="n">
        <f aca="false">D195/(C195+D195)</f>
        <v>0.596090583485027</v>
      </c>
      <c r="F195" s="15" t="n">
        <f aca="false">MIN(5,INT(E195/0.2)+1)</f>
        <v>3</v>
      </c>
      <c r="G195" s="21" t="n">
        <v>0.596090583485027</v>
      </c>
      <c r="H195" s="28" t="n">
        <f aca="false">ABS(E195-G195)</f>
        <v>0</v>
      </c>
      <c r="I195" s="15" t="n">
        <v>3</v>
      </c>
      <c r="J195" s="21" t="n">
        <f aca="false">(SUMPRODUCT(2_Matriz_decision!C195:Q195,5_Ponderada!$C$5:$Q$5)-1)/4</f>
        <v>0.678725507605846</v>
      </c>
      <c r="K195" s="15" t="n">
        <f aca="false">MIN(5,INT(J195/0.2)+1)</f>
        <v>4</v>
      </c>
      <c r="L195" s="21" t="n">
        <v>0.678725507605846</v>
      </c>
    </row>
    <row r="196" customFormat="false" ht="15" hidden="false" customHeight="false" outlineLevel="0" collapsed="false">
      <c r="A196" s="15" t="n">
        <f aca="false">2_Matriz_decision!A196</f>
        <v>192</v>
      </c>
      <c r="B196" s="16" t="n">
        <f aca="false">2_Matriz_decision!B196</f>
        <v>19.447</v>
      </c>
      <c r="C196" s="21" t="n">
        <f aca="false">SQRT(SUMXMY2(5_Ponderada!C199:Q199,5_Ponderada!$C$6:$Q$6))</f>
        <v>0.0119502957503207</v>
      </c>
      <c r="D196" s="21" t="n">
        <f aca="false">SQRT(SUMXMY2(5_Ponderada!C199:Q199,5_Ponderada!$C$7:$Q$7))</f>
        <v>0.015430869837957</v>
      </c>
      <c r="E196" s="21" t="n">
        <f aca="false">D196/(C196+D196)</f>
        <v>0.56355781452062</v>
      </c>
      <c r="F196" s="15" t="n">
        <f aca="false">MIN(5,INT(E196/0.2)+1)</f>
        <v>3</v>
      </c>
      <c r="G196" s="21" t="n">
        <v>0.56355781452062</v>
      </c>
      <c r="H196" s="28" t="n">
        <f aca="false">ABS(E196-G196)</f>
        <v>0</v>
      </c>
      <c r="I196" s="15" t="n">
        <v>3</v>
      </c>
      <c r="J196" s="21" t="n">
        <f aca="false">(SUMPRODUCT(2_Matriz_decision!C196:Q196,5_Ponderada!$C$5:$Q$5)-1)/4</f>
        <v>0.630882866915634</v>
      </c>
      <c r="K196" s="15" t="n">
        <f aca="false">MIN(5,INT(J196/0.2)+1)</f>
        <v>4</v>
      </c>
      <c r="L196" s="21" t="n">
        <v>0.630882866915634</v>
      </c>
    </row>
    <row r="197" customFormat="false" ht="15" hidden="false" customHeight="false" outlineLevel="0" collapsed="false">
      <c r="A197" s="15" t="n">
        <f aca="false">2_Matriz_decision!A197</f>
        <v>193</v>
      </c>
      <c r="B197" s="16" t="n">
        <f aca="false">2_Matriz_decision!B197</f>
        <v>19.547</v>
      </c>
      <c r="C197" s="21" t="n">
        <f aca="false">SQRT(SUMXMY2(5_Ponderada!C200:Q200,5_Ponderada!$C$6:$Q$6))</f>
        <v>0.0143782688540442</v>
      </c>
      <c r="D197" s="21" t="n">
        <f aca="false">SQRT(SUMXMY2(5_Ponderada!C200:Q200,5_Ponderada!$C$7:$Q$7))</f>
        <v>0.0131503584470168</v>
      </c>
      <c r="E197" s="21" t="n">
        <f aca="false">D197/(C197+D197)</f>
        <v>0.477697572901136</v>
      </c>
      <c r="F197" s="15" t="n">
        <f aca="false">MIN(5,INT(E197/0.2)+1)</f>
        <v>3</v>
      </c>
      <c r="G197" s="21" t="n">
        <v>0.477697572901136</v>
      </c>
      <c r="H197" s="28" t="n">
        <f aca="false">ABS(E197-G197)</f>
        <v>0</v>
      </c>
      <c r="I197" s="15" t="n">
        <v>3</v>
      </c>
      <c r="J197" s="21" t="n">
        <f aca="false">(SUMPRODUCT(2_Matriz_decision!C197:Q197,5_Ponderada!$C$5:$Q$5)-1)/4</f>
        <v>0.520757830763447</v>
      </c>
      <c r="K197" s="15" t="n">
        <f aca="false">MIN(5,INT(J197/0.2)+1)</f>
        <v>3</v>
      </c>
      <c r="L197" s="21" t="n">
        <v>0.520757830763447</v>
      </c>
    </row>
    <row r="198" customFormat="false" ht="15" hidden="false" customHeight="false" outlineLevel="0" collapsed="false">
      <c r="A198" s="15" t="n">
        <f aca="false">2_Matriz_decision!A198</f>
        <v>194</v>
      </c>
      <c r="B198" s="16" t="n">
        <f aca="false">2_Matriz_decision!B198</f>
        <v>19.647</v>
      </c>
      <c r="C198" s="21" t="n">
        <f aca="false">SQRT(SUMXMY2(5_Ponderada!C201:Q201,5_Ponderada!$C$6:$Q$6))</f>
        <v>0.0129475281111367</v>
      </c>
      <c r="D198" s="21" t="n">
        <f aca="false">SQRT(SUMXMY2(5_Ponderada!C201:Q201,5_Ponderada!$C$7:$Q$7))</f>
        <v>0.01401505933421</v>
      </c>
      <c r="E198" s="21" t="n">
        <f aca="false">D198/(C198+D198)</f>
        <v>0.519796527785717</v>
      </c>
      <c r="F198" s="15" t="n">
        <f aca="false">MIN(5,INT(E198/0.2)+1)</f>
        <v>3</v>
      </c>
      <c r="G198" s="21" t="n">
        <v>0.519796527785717</v>
      </c>
      <c r="H198" s="28" t="n">
        <f aca="false">ABS(E198-G198)</f>
        <v>0</v>
      </c>
      <c r="I198" s="15" t="n">
        <v>3</v>
      </c>
      <c r="J198" s="21" t="n">
        <f aca="false">(SUMPRODUCT(2_Matriz_decision!C198:Q198,5_Ponderada!$C$5:$Q$5)-1)/4</f>
        <v>0.566295863919641</v>
      </c>
      <c r="K198" s="15" t="n">
        <f aca="false">MIN(5,INT(J198/0.2)+1)</f>
        <v>3</v>
      </c>
      <c r="L198" s="21" t="n">
        <v>0.566295863919642</v>
      </c>
    </row>
    <row r="199" customFormat="false" ht="15" hidden="false" customHeight="false" outlineLevel="0" collapsed="false">
      <c r="A199" s="15" t="n">
        <f aca="false">2_Matriz_decision!A199</f>
        <v>195</v>
      </c>
      <c r="B199" s="16" t="n">
        <f aca="false">2_Matriz_decision!B199</f>
        <v>19.748</v>
      </c>
      <c r="C199" s="21" t="n">
        <f aca="false">SQRT(SUMXMY2(5_Ponderada!C202:Q202,5_Ponderada!$C$6:$Q$6))</f>
        <v>0.0162041705750517</v>
      </c>
      <c r="D199" s="21" t="n">
        <f aca="false">SQRT(SUMXMY2(5_Ponderada!C202:Q202,5_Ponderada!$C$7:$Q$7))</f>
        <v>0.0128362889636344</v>
      </c>
      <c r="E199" s="21" t="n">
        <f aca="false">D199/(C199+D199)</f>
        <v>0.442013975244938</v>
      </c>
      <c r="F199" s="15" t="n">
        <f aca="false">MIN(5,INT(E199/0.2)+1)</f>
        <v>3</v>
      </c>
      <c r="G199" s="21" t="n">
        <v>0.442013975244938</v>
      </c>
      <c r="H199" s="28" t="n">
        <f aca="false">ABS(E199-G199)</f>
        <v>0</v>
      </c>
      <c r="I199" s="15" t="n">
        <v>3</v>
      </c>
      <c r="J199" s="21" t="n">
        <f aca="false">(SUMPRODUCT(2_Matriz_decision!C199:Q199,5_Ponderada!$C$5:$Q$5)-1)/4</f>
        <v>0.470851709943371</v>
      </c>
      <c r="K199" s="15" t="n">
        <f aca="false">MIN(5,INT(J199/0.2)+1)</f>
        <v>3</v>
      </c>
      <c r="L199" s="21" t="n">
        <v>0.470851709943371</v>
      </c>
    </row>
    <row r="200" customFormat="false" ht="15" hidden="false" customHeight="false" outlineLevel="0" collapsed="false">
      <c r="A200" s="15" t="n">
        <f aca="false">2_Matriz_decision!A200</f>
        <v>196</v>
      </c>
      <c r="B200" s="16" t="n">
        <f aca="false">2_Matriz_decision!B200</f>
        <v>19.849</v>
      </c>
      <c r="C200" s="21" t="n">
        <f aca="false">SQRT(SUMXMY2(5_Ponderada!C203:Q203,5_Ponderada!$C$6:$Q$6))</f>
        <v>0.0143924911809555</v>
      </c>
      <c r="D200" s="21" t="n">
        <f aca="false">SQRT(SUMXMY2(5_Ponderada!C203:Q203,5_Ponderada!$C$7:$Q$7))</f>
        <v>0.0131429916335955</v>
      </c>
      <c r="E200" s="21" t="n">
        <f aca="false">D200/(C200+D200)</f>
        <v>0.477311101538054</v>
      </c>
      <c r="F200" s="15" t="n">
        <f aca="false">MIN(5,INT(E200/0.2)+1)</f>
        <v>3</v>
      </c>
      <c r="G200" s="21" t="n">
        <v>0.477311101538054</v>
      </c>
      <c r="H200" s="28" t="n">
        <f aca="false">ABS(E200-G200)</f>
        <v>0</v>
      </c>
      <c r="I200" s="15" t="n">
        <v>3</v>
      </c>
      <c r="J200" s="21" t="n">
        <f aca="false">(SUMPRODUCT(2_Matriz_decision!C200:Q200,5_Ponderada!$C$5:$Q$5)-1)/4</f>
        <v>0.519514064123966</v>
      </c>
      <c r="K200" s="15" t="n">
        <f aca="false">MIN(5,INT(J200/0.2)+1)</f>
        <v>3</v>
      </c>
      <c r="L200" s="21" t="n">
        <v>0.519514064123966</v>
      </c>
    </row>
    <row r="201" customFormat="false" ht="15" hidden="false" customHeight="false" outlineLevel="0" collapsed="false">
      <c r="A201" s="15" t="n">
        <f aca="false">2_Matriz_decision!A201</f>
        <v>197</v>
      </c>
      <c r="B201" s="16" t="n">
        <f aca="false">2_Matriz_decision!B201</f>
        <v>19.95</v>
      </c>
      <c r="C201" s="21" t="n">
        <f aca="false">SQRT(SUMXMY2(5_Ponderada!C204:Q204,5_Ponderada!$C$6:$Q$6))</f>
        <v>0.014388007090856</v>
      </c>
      <c r="D201" s="21" t="n">
        <f aca="false">SQRT(SUMXMY2(5_Ponderada!C204:Q204,5_Ponderada!$C$7:$Q$7))</f>
        <v>0.0131451079581637</v>
      </c>
      <c r="E201" s="21" t="n">
        <f aca="false">D201/(C201+D201)</f>
        <v>0.477429013562769</v>
      </c>
      <c r="F201" s="15" t="n">
        <f aca="false">MIN(5,INT(E201/0.2)+1)</f>
        <v>3</v>
      </c>
      <c r="G201" s="21" t="n">
        <v>0.477429013562768</v>
      </c>
      <c r="H201" s="28" t="n">
        <f aca="false">ABS(E201-G201)</f>
        <v>0</v>
      </c>
      <c r="I201" s="15" t="n">
        <v>3</v>
      </c>
      <c r="J201" s="21" t="n">
        <f aca="false">(SUMPRODUCT(2_Matriz_decision!C201:Q201,5_Ponderada!$C$5:$Q$5)-1)/4</f>
        <v>0.520208432930901</v>
      </c>
      <c r="K201" s="15" t="n">
        <f aca="false">MIN(5,INT(J201/0.2)+1)</f>
        <v>3</v>
      </c>
      <c r="L201" s="21" t="n">
        <v>0.520208432930901</v>
      </c>
    </row>
    <row r="202" customFormat="false" ht="15" hidden="false" customHeight="false" outlineLevel="0" collapsed="false">
      <c r="A202" s="15" t="n">
        <f aca="false">2_Matriz_decision!A202</f>
        <v>198</v>
      </c>
      <c r="B202" s="16" t="n">
        <f aca="false">2_Matriz_decision!B202</f>
        <v>20.05</v>
      </c>
      <c r="C202" s="21" t="n">
        <f aca="false">SQRT(SUMXMY2(5_Ponderada!C205:Q205,5_Ponderada!$C$6:$Q$6))</f>
        <v>0.0162210197382089</v>
      </c>
      <c r="D202" s="21" t="n">
        <f aca="false">SQRT(SUMXMY2(5_Ponderada!C205:Q205,5_Ponderada!$C$7:$Q$7))</f>
        <v>0.0128313403463546</v>
      </c>
      <c r="E202" s="21" t="n">
        <f aca="false">D202/(C202+D202)</f>
        <v>0.441662581250063</v>
      </c>
      <c r="F202" s="15" t="n">
        <f aca="false">MIN(5,INT(E202/0.2)+1)</f>
        <v>3</v>
      </c>
      <c r="G202" s="21" t="n">
        <v>0.441662581250062</v>
      </c>
      <c r="H202" s="28" t="n">
        <f aca="false">ABS(E202-G202)</f>
        <v>0</v>
      </c>
      <c r="I202" s="15" t="n">
        <v>3</v>
      </c>
      <c r="J202" s="21" t="n">
        <f aca="false">(SUMPRODUCT(2_Matriz_decision!C202:Q202,5_Ponderada!$C$5:$Q$5)-1)/4</f>
        <v>0.468733674357253</v>
      </c>
      <c r="K202" s="15" t="n">
        <f aca="false">MIN(5,INT(J202/0.2)+1)</f>
        <v>3</v>
      </c>
      <c r="L202" s="21" t="n">
        <v>0.468733674357253</v>
      </c>
    </row>
    <row r="203" customFormat="false" ht="15" hidden="false" customHeight="false" outlineLevel="0" collapsed="false">
      <c r="A203" s="15" t="n">
        <f aca="false">2_Matriz_decision!A203</f>
        <v>199</v>
      </c>
      <c r="B203" s="16" t="n">
        <f aca="false">2_Matriz_decision!B203</f>
        <v>20.15</v>
      </c>
      <c r="C203" s="21" t="n">
        <f aca="false">SQRT(SUMXMY2(5_Ponderada!C206:Q206,5_Ponderada!$C$6:$Q$6))</f>
        <v>0.0198631559083561</v>
      </c>
      <c r="D203" s="21" t="n">
        <f aca="false">SQRT(SUMXMY2(5_Ponderada!C206:Q206,5_Ponderada!$C$7:$Q$7))</f>
        <v>0.0058173495077767</v>
      </c>
      <c r="E203" s="21" t="n">
        <f aca="false">D203/(C203+D203)</f>
        <v>0.22652784333918</v>
      </c>
      <c r="F203" s="15" t="n">
        <f aca="false">MIN(5,INT(E203/0.2)+1)</f>
        <v>2</v>
      </c>
      <c r="G203" s="21" t="n">
        <v>0.22652784333918</v>
      </c>
      <c r="H203" s="28" t="n">
        <f aca="false">ABS(E203-G203)</f>
        <v>0</v>
      </c>
      <c r="I203" s="15" t="n">
        <v>2</v>
      </c>
      <c r="J203" s="21" t="n">
        <f aca="false">(SUMPRODUCT(2_Matriz_decision!C203:Q203,5_Ponderada!$C$5:$Q$5)-1)/4</f>
        <v>0.2549450099338</v>
      </c>
      <c r="K203" s="15" t="n">
        <f aca="false">MIN(5,INT(J203/0.2)+1)</f>
        <v>2</v>
      </c>
      <c r="L203" s="21" t="n">
        <v>0.2549450099338</v>
      </c>
    </row>
    <row r="204" customFormat="false" ht="15" hidden="false" customHeight="false" outlineLevel="0" collapsed="false">
      <c r="A204" s="15" t="n">
        <f aca="false">2_Matriz_decision!A204</f>
        <v>200</v>
      </c>
      <c r="B204" s="16" t="n">
        <f aca="false">2_Matriz_decision!B204</f>
        <v>20.248</v>
      </c>
      <c r="C204" s="21" t="n">
        <f aca="false">SQRT(SUMXMY2(5_Ponderada!C207:Q207,5_Ponderada!$C$6:$Q$6))</f>
        <v>0.0198686691946699</v>
      </c>
      <c r="D204" s="21" t="n">
        <f aca="false">SQRT(SUMXMY2(5_Ponderada!C207:Q207,5_Ponderada!$C$7:$Q$7))</f>
        <v>0.00581760264778746</v>
      </c>
      <c r="E204" s="21" t="n">
        <f aca="false">D204/(C204+D204)</f>
        <v>0.226486844158187</v>
      </c>
      <c r="F204" s="15" t="n">
        <f aca="false">MIN(5,INT(E204/0.2)+1)</f>
        <v>2</v>
      </c>
      <c r="G204" s="21" t="n">
        <v>0.226486844158187</v>
      </c>
      <c r="H204" s="28" t="n">
        <f aca="false">ABS(E204-G204)</f>
        <v>0</v>
      </c>
      <c r="I204" s="15" t="n">
        <v>2</v>
      </c>
      <c r="J204" s="21" t="n">
        <f aca="false">(SUMPRODUCT(2_Matriz_decision!C204:Q204,5_Ponderada!$C$5:$Q$5)-1)/4</f>
        <v>0.253976726535852</v>
      </c>
      <c r="K204" s="15" t="n">
        <f aca="false">MIN(5,INT(J204/0.2)+1)</f>
        <v>2</v>
      </c>
      <c r="L204" s="21" t="n">
        <v>0.253976726535852</v>
      </c>
    </row>
    <row r="205" customFormat="false" ht="15" hidden="false" customHeight="false" outlineLevel="0" collapsed="false">
      <c r="A205" s="15" t="n">
        <f aca="false">2_Matriz_decision!A205</f>
        <v>201</v>
      </c>
      <c r="B205" s="16" t="n">
        <f aca="false">2_Matriz_decision!B205</f>
        <v>20.347</v>
      </c>
      <c r="C205" s="21" t="n">
        <f aca="false">SQRT(SUMXMY2(5_Ponderada!C208:Q208,5_Ponderada!$C$6:$Q$6))</f>
        <v>0.0198718171194537</v>
      </c>
      <c r="D205" s="21" t="n">
        <f aca="false">SQRT(SUMXMY2(5_Ponderada!C208:Q208,5_Ponderada!$C$7:$Q$7))</f>
        <v>0.00581694666197683</v>
      </c>
      <c r="E205" s="21" t="n">
        <f aca="false">D205/(C205+D205)</f>
        <v>0.226439337893779</v>
      </c>
      <c r="F205" s="15" t="n">
        <f aca="false">MIN(5,INT(E205/0.2)+1)</f>
        <v>2</v>
      </c>
      <c r="G205" s="21" t="n">
        <v>0.226439337893779</v>
      </c>
      <c r="H205" s="28" t="n">
        <f aca="false">ABS(E205-G205)</f>
        <v>0</v>
      </c>
      <c r="I205" s="15" t="n">
        <v>2</v>
      </c>
      <c r="J205" s="21" t="n">
        <f aca="false">(SUMPRODUCT(2_Matriz_decision!C205:Q205,5_Ponderada!$C$5:$Q$5)-1)/4</f>
        <v>0.253358028628295</v>
      </c>
      <c r="K205" s="15" t="n">
        <f aca="false">MIN(5,INT(J205/0.2)+1)</f>
        <v>2</v>
      </c>
      <c r="L205" s="21" t="n">
        <v>0.253358028628296</v>
      </c>
    </row>
    <row r="206" customFormat="false" ht="15" hidden="false" customHeight="false" outlineLevel="0" collapsed="false">
      <c r="A206" s="15" t="n">
        <f aca="false">2_Matriz_decision!A206</f>
        <v>202</v>
      </c>
      <c r="B206" s="16" t="n">
        <f aca="false">2_Matriz_decision!B206</f>
        <v>20.445</v>
      </c>
      <c r="C206" s="21" t="n">
        <f aca="false">SQRT(SUMXMY2(5_Ponderada!C209:Q209,5_Ponderada!$C$6:$Q$6))</f>
        <v>0.0198737515262659</v>
      </c>
      <c r="D206" s="21" t="n">
        <f aca="false">SQRT(SUMXMY2(5_Ponderada!C209:Q209,5_Ponderada!$C$7:$Q$7))</f>
        <v>0.0058166406828216</v>
      </c>
      <c r="E206" s="21" t="n">
        <f aca="false">D206/(C206+D206)</f>
        <v>0.226413074408575</v>
      </c>
      <c r="F206" s="15" t="n">
        <f aca="false">MIN(5,INT(E206/0.2)+1)</f>
        <v>2</v>
      </c>
      <c r="G206" s="21" t="n">
        <v>0.226413074408575</v>
      </c>
      <c r="H206" s="28" t="n">
        <f aca="false">ABS(E206-G206)</f>
        <v>0</v>
      </c>
      <c r="I206" s="15" t="n">
        <v>2</v>
      </c>
      <c r="J206" s="21" t="n">
        <f aca="false">(SUMPRODUCT(2_Matriz_decision!C206:Q206,5_Ponderada!$C$5:$Q$5)-1)/4</f>
        <v>0.252983060199473</v>
      </c>
      <c r="K206" s="15" t="n">
        <f aca="false">MIN(5,INT(J206/0.2)+1)</f>
        <v>2</v>
      </c>
      <c r="L206" s="21" t="n">
        <v>0.252983060199474</v>
      </c>
    </row>
    <row r="207" customFormat="false" ht="15" hidden="false" customHeight="false" outlineLevel="0" collapsed="false">
      <c r="A207" s="15" t="n">
        <f aca="false">2_Matriz_decision!A207</f>
        <v>203</v>
      </c>
      <c r="B207" s="16" t="n">
        <f aca="false">2_Matriz_decision!B207</f>
        <v>20.543</v>
      </c>
      <c r="C207" s="21" t="n">
        <f aca="false">SQRT(SUMXMY2(5_Ponderada!C210:Q210,5_Ponderada!$C$6:$Q$6))</f>
        <v>0.0198707617434793</v>
      </c>
      <c r="D207" s="21" t="n">
        <f aca="false">SQRT(SUMXMY2(5_Ponderada!C210:Q210,5_Ponderada!$C$7:$Q$7))</f>
        <v>0.00581714441621273</v>
      </c>
      <c r="E207" s="21" t="n">
        <f aca="false">D207/(C207+D207)</f>
        <v>0.226454596184279</v>
      </c>
      <c r="F207" s="15" t="n">
        <f aca="false">MIN(5,INT(E207/0.2)+1)</f>
        <v>2</v>
      </c>
      <c r="G207" s="21" t="n">
        <v>0.226454596184279</v>
      </c>
      <c r="H207" s="28" t="n">
        <f aca="false">ABS(E207-G207)</f>
        <v>0</v>
      </c>
      <c r="I207" s="15" t="n">
        <v>2</v>
      </c>
      <c r="J207" s="21" t="n">
        <f aca="false">(SUMPRODUCT(2_Matriz_decision!C207:Q207,5_Ponderada!$C$5:$Q$5)-1)/4</f>
        <v>0.253564261264147</v>
      </c>
      <c r="K207" s="15" t="n">
        <f aca="false">MIN(5,INT(J207/0.2)+1)</f>
        <v>2</v>
      </c>
      <c r="L207" s="21" t="n">
        <v>0.253564261264148</v>
      </c>
    </row>
    <row r="208" customFormat="false" ht="15" hidden="false" customHeight="false" outlineLevel="0" collapsed="false">
      <c r="A208" s="15" t="n">
        <f aca="false">2_Matriz_decision!A208</f>
        <v>204</v>
      </c>
      <c r="B208" s="16" t="n">
        <f aca="false">2_Matriz_decision!B208</f>
        <v>20.641</v>
      </c>
      <c r="C208" s="21" t="n">
        <f aca="false">SQRT(SUMXMY2(5_Ponderada!C211:Q211,5_Ponderada!$C$6:$Q$6))</f>
        <v>0.0198680555873007</v>
      </c>
      <c r="D208" s="21" t="n">
        <f aca="false">SQRT(SUMXMY2(5_Ponderada!C211:Q211,5_Ponderada!$C$7:$Q$7))</f>
        <v>0.00581775403690556</v>
      </c>
      <c r="E208" s="21" t="n">
        <f aca="false">D208/(C208+D208)</f>
        <v>0.226496813689023</v>
      </c>
      <c r="F208" s="15" t="n">
        <f aca="false">MIN(5,INT(E208/0.2)+1)</f>
        <v>2</v>
      </c>
      <c r="G208" s="21" t="n">
        <v>0.226496813689023</v>
      </c>
      <c r="H208" s="28" t="n">
        <f aca="false">ABS(E208-G208)</f>
        <v>0</v>
      </c>
      <c r="I208" s="15" t="n">
        <v>2</v>
      </c>
      <c r="J208" s="21" t="n">
        <f aca="false">(SUMPRODUCT(2_Matriz_decision!C208:Q208,5_Ponderada!$C$5:$Q$5)-1)/4</f>
        <v>0.254098591275219</v>
      </c>
      <c r="K208" s="15" t="n">
        <f aca="false">MIN(5,INT(J208/0.2)+1)</f>
        <v>2</v>
      </c>
      <c r="L208" s="21" t="n">
        <v>0.254098591275219</v>
      </c>
    </row>
    <row r="209" customFormat="false" ht="15" hidden="false" customHeight="false" outlineLevel="0" collapsed="false">
      <c r="A209" s="15" t="n">
        <f aca="false">2_Matriz_decision!A209</f>
        <v>205</v>
      </c>
      <c r="B209" s="16" t="n">
        <f aca="false">2_Matriz_decision!B209</f>
        <v>20.74</v>
      </c>
      <c r="C209" s="21" t="n">
        <f aca="false">SQRT(SUMXMY2(5_Ponderada!C212:Q212,5_Ponderada!$C$6:$Q$6))</f>
        <v>0.019868763783907</v>
      </c>
      <c r="D209" s="21" t="n">
        <f aca="false">SQRT(SUMXMY2(5_Ponderada!C212:Q212,5_Ponderada!$C$7:$Q$7))</f>
        <v>0.00581758000497758</v>
      </c>
      <c r="E209" s="21" t="n">
        <f aca="false">D209/(C209+D209)</f>
        <v>0.22648532826595</v>
      </c>
      <c r="F209" s="15" t="n">
        <f aca="false">MIN(5,INT(E209/0.2)+1)</f>
        <v>2</v>
      </c>
      <c r="G209" s="21" t="n">
        <v>0.22648532826595</v>
      </c>
      <c r="H209" s="28" t="n">
        <f aca="false">ABS(E209-G209)</f>
        <v>0</v>
      </c>
      <c r="I209" s="15" t="n">
        <v>2</v>
      </c>
      <c r="J209" s="21" t="n">
        <f aca="false">(SUMPRODUCT(2_Matriz_decision!C209:Q209,5_Ponderada!$C$5:$Q$5)-1)/4</f>
        <v>0.253957978114411</v>
      </c>
      <c r="K209" s="15" t="n">
        <f aca="false">MIN(5,INT(J209/0.2)+1)</f>
        <v>2</v>
      </c>
      <c r="L209" s="21" t="n">
        <v>0.253957978114411</v>
      </c>
    </row>
    <row r="210" customFormat="false" ht="15" hidden="false" customHeight="false" outlineLevel="0" collapsed="false">
      <c r="A210" s="15" t="n">
        <f aca="false">2_Matriz_decision!A210</f>
        <v>206</v>
      </c>
      <c r="B210" s="16" t="n">
        <f aca="false">2_Matriz_decision!B210</f>
        <v>20.84</v>
      </c>
      <c r="C210" s="21" t="n">
        <f aca="false">SQRT(SUMXMY2(5_Ponderada!C213:Q213,5_Ponderada!$C$6:$Q$6))</f>
        <v>0.0198713339216128</v>
      </c>
      <c r="D210" s="21" t="n">
        <f aca="false">SQRT(SUMXMY2(5_Ponderada!C213:Q213,5_Ponderada!$C$7:$Q$7))</f>
        <v>0.00581246974840483</v>
      </c>
      <c r="E210" s="21" t="n">
        <f aca="false">D210/(C210+D210)</f>
        <v>0.226308759523423</v>
      </c>
      <c r="F210" s="15" t="n">
        <f aca="false">MIN(5,INT(E210/0.2)+1)</f>
        <v>2</v>
      </c>
      <c r="G210" s="21" t="n">
        <v>0.226308759523423</v>
      </c>
      <c r="H210" s="28" t="n">
        <f aca="false">ABS(E210-G210)</f>
        <v>0</v>
      </c>
      <c r="I210" s="15" t="n">
        <v>2</v>
      </c>
      <c r="J210" s="21" t="n">
        <f aca="false">(SUMPRODUCT(2_Matriz_decision!C210:Q210,5_Ponderada!$C$5:$Q$5)-1)/4</f>
        <v>0.252526482892593</v>
      </c>
      <c r="K210" s="15" t="n">
        <f aca="false">MIN(5,INT(J210/0.2)+1)</f>
        <v>2</v>
      </c>
      <c r="L210" s="21" t="n">
        <v>0.252526482892593</v>
      </c>
    </row>
    <row r="211" customFormat="false" ht="15" hidden="false" customHeight="false" outlineLevel="0" collapsed="false">
      <c r="A211" s="15" t="n">
        <f aca="false">2_Matriz_decision!A211</f>
        <v>207</v>
      </c>
      <c r="B211" s="16" t="n">
        <f aca="false">2_Matriz_decision!B211</f>
        <v>20.939</v>
      </c>
      <c r="C211" s="21" t="n">
        <f aca="false">SQRT(SUMXMY2(5_Ponderada!C214:Q214,5_Ponderada!$C$6:$Q$6))</f>
        <v>0.018414052387452</v>
      </c>
      <c r="D211" s="21" t="n">
        <f aca="false">SQRT(SUMXMY2(5_Ponderada!C214:Q214,5_Ponderada!$C$7:$Q$7))</f>
        <v>0.00645153171367245</v>
      </c>
      <c r="E211" s="21" t="n">
        <f aca="false">D211/(C211+D211)</f>
        <v>0.259456270459406</v>
      </c>
      <c r="F211" s="15" t="n">
        <f aca="false">MIN(5,INT(E211/0.2)+1)</f>
        <v>2</v>
      </c>
      <c r="G211" s="21" t="n">
        <v>0.259456270459406</v>
      </c>
      <c r="H211" s="28" t="n">
        <f aca="false">ABS(E211-G211)</f>
        <v>0</v>
      </c>
      <c r="I211" s="15" t="n">
        <v>2</v>
      </c>
      <c r="J211" s="21" t="n">
        <f aca="false">(SUMPRODUCT(2_Matriz_decision!C211:Q211,5_Ponderada!$C$5:$Q$5)-1)/4</f>
        <v>0.300170876333432</v>
      </c>
      <c r="K211" s="15" t="n">
        <f aca="false">MIN(5,INT(J211/0.2)+1)</f>
        <v>2</v>
      </c>
      <c r="L211" s="21" t="n">
        <v>0.300170876333432</v>
      </c>
    </row>
    <row r="212" customFormat="false" ht="15" hidden="false" customHeight="false" outlineLevel="0" collapsed="false">
      <c r="A212" s="15" t="n">
        <f aca="false">2_Matriz_decision!A212</f>
        <v>208</v>
      </c>
      <c r="B212" s="16" t="n">
        <f aca="false">2_Matriz_decision!B212</f>
        <v>21.04</v>
      </c>
      <c r="C212" s="21" t="n">
        <f aca="false">SQRT(SUMXMY2(5_Ponderada!C215:Q215,5_Ponderada!$C$6:$Q$6))</f>
        <v>0.0123875775598302</v>
      </c>
      <c r="D212" s="21" t="n">
        <f aca="false">SQRT(SUMXMY2(5_Ponderada!C215:Q215,5_Ponderada!$C$7:$Q$7))</f>
        <v>0.0149267816773857</v>
      </c>
      <c r="E212" s="21" t="n">
        <f aca="false">D212/(C212+D212)</f>
        <v>0.546481121806727</v>
      </c>
      <c r="F212" s="15" t="n">
        <f aca="false">MIN(5,INT(E212/0.2)+1)</f>
        <v>3</v>
      </c>
      <c r="G212" s="21" t="n">
        <v>0.546481121806727</v>
      </c>
      <c r="H212" s="28" t="n">
        <f aca="false">ABS(E212-G212)</f>
        <v>0</v>
      </c>
      <c r="I212" s="15" t="n">
        <v>3</v>
      </c>
      <c r="J212" s="21" t="n">
        <f aca="false">(SUMPRODUCT(2_Matriz_decision!C212:Q212,5_Ponderada!$C$5:$Q$5)-1)/4</f>
        <v>0.588645600543823</v>
      </c>
      <c r="K212" s="15" t="n">
        <f aca="false">MIN(5,INT(J212/0.2)+1)</f>
        <v>3</v>
      </c>
      <c r="L212" s="21" t="n">
        <v>0.588645600543824</v>
      </c>
    </row>
    <row r="213" customFormat="false" ht="15" hidden="false" customHeight="false" outlineLevel="0" collapsed="false">
      <c r="A213" s="15" t="n">
        <f aca="false">2_Matriz_decision!A213</f>
        <v>209</v>
      </c>
      <c r="B213" s="16" t="n">
        <f aca="false">2_Matriz_decision!B213</f>
        <v>21.14</v>
      </c>
      <c r="C213" s="21" t="n">
        <f aca="false">SQRT(SUMXMY2(5_Ponderada!C216:Q216,5_Ponderada!$C$6:$Q$6))</f>
        <v>0.0166410902041452</v>
      </c>
      <c r="D213" s="21" t="n">
        <f aca="false">SQRT(SUMXMY2(5_Ponderada!C216:Q216,5_Ponderada!$C$7:$Q$7))</f>
        <v>0.0121388503859323</v>
      </c>
      <c r="E213" s="21" t="n">
        <f aca="false">D213/(C213+D213)</f>
        <v>0.421781634605508</v>
      </c>
      <c r="F213" s="15" t="n">
        <f aca="false">MIN(5,INT(E213/0.2)+1)</f>
        <v>3</v>
      </c>
      <c r="G213" s="21" t="n">
        <v>0.421781634605508</v>
      </c>
      <c r="H213" s="28" t="n">
        <f aca="false">ABS(E213-G213)</f>
        <v>0</v>
      </c>
      <c r="I213" s="15" t="n">
        <v>3</v>
      </c>
      <c r="J213" s="21" t="n">
        <f aca="false">(SUMPRODUCT(2_Matriz_decision!C213:Q213,5_Ponderada!$C$5:$Q$5)-1)/4</f>
        <v>0.421385195251395</v>
      </c>
      <c r="K213" s="15" t="n">
        <f aca="false">MIN(5,INT(J213/0.2)+1)</f>
        <v>3</v>
      </c>
      <c r="L213" s="21" t="n">
        <v>0.421385195251395</v>
      </c>
    </row>
    <row r="214" customFormat="false" ht="15" hidden="false" customHeight="false" outlineLevel="0" collapsed="false">
      <c r="A214" s="15" t="n">
        <f aca="false">2_Matriz_decision!A214</f>
        <v>210</v>
      </c>
      <c r="B214" s="16" t="n">
        <f aca="false">2_Matriz_decision!B214</f>
        <v>21.24</v>
      </c>
      <c r="C214" s="21" t="n">
        <f aca="false">SQRT(SUMXMY2(5_Ponderada!C217:Q217,5_Ponderada!$C$6:$Q$6))</f>
        <v>0.012086902927251</v>
      </c>
      <c r="D214" s="21" t="n">
        <f aca="false">SQRT(SUMXMY2(5_Ponderada!C217:Q217,5_Ponderada!$C$7:$Q$7))</f>
        <v>0.0166771402882759</v>
      </c>
      <c r="E214" s="21" t="n">
        <f aca="false">D214/(C214+D214)</f>
        <v>0.579791240171464</v>
      </c>
      <c r="F214" s="15" t="n">
        <f aca="false">MIN(5,INT(E214/0.2)+1)</f>
        <v>3</v>
      </c>
      <c r="G214" s="21" t="n">
        <v>0.579791240171464</v>
      </c>
      <c r="H214" s="28" t="n">
        <f aca="false">ABS(E214-G214)</f>
        <v>0</v>
      </c>
      <c r="I214" s="15" t="n">
        <v>3</v>
      </c>
      <c r="J214" s="21" t="n">
        <f aca="false">(SUMPRODUCT(2_Matriz_decision!C214:Q214,5_Ponderada!$C$5:$Q$5)-1)/4</f>
        <v>0.634502783258274</v>
      </c>
      <c r="K214" s="15" t="n">
        <f aca="false">MIN(5,INT(J214/0.2)+1)</f>
        <v>4</v>
      </c>
      <c r="L214" s="21" t="n">
        <v>0.634502783258274</v>
      </c>
    </row>
    <row r="215" customFormat="false" ht="15" hidden="false" customHeight="false" outlineLevel="0" collapsed="false">
      <c r="A215" s="15" t="n">
        <f aca="false">2_Matriz_decision!A215</f>
        <v>211</v>
      </c>
      <c r="B215" s="16" t="n">
        <f aca="false">2_Matriz_decision!B215</f>
        <v>21.341</v>
      </c>
      <c r="C215" s="21" t="n">
        <f aca="false">SQRT(SUMXMY2(5_Ponderada!C218:Q218,5_Ponderada!$C$6:$Q$6))</f>
        <v>0.0120802116689321</v>
      </c>
      <c r="D215" s="21" t="n">
        <f aca="false">SQRT(SUMXMY2(5_Ponderada!C218:Q218,5_Ponderada!$C$7:$Q$7))</f>
        <v>0.0166757836031315</v>
      </c>
      <c r="E215" s="21" t="n">
        <f aca="false">D215/(C215+D215)</f>
        <v>0.579906327197513</v>
      </c>
      <c r="F215" s="15" t="n">
        <f aca="false">MIN(5,INT(E215/0.2)+1)</f>
        <v>3</v>
      </c>
      <c r="G215" s="21" t="n">
        <v>0.579906327197513</v>
      </c>
      <c r="H215" s="28" t="n">
        <f aca="false">ABS(E215-G215)</f>
        <v>0</v>
      </c>
      <c r="I215" s="15" t="n">
        <v>3</v>
      </c>
      <c r="J215" s="21" t="n">
        <f aca="false">(SUMPRODUCT(2_Matriz_decision!C215:Q215,5_Ponderada!$C$5:$Q$5)-1)/4</f>
        <v>0.634280912367207</v>
      </c>
      <c r="K215" s="15" t="n">
        <f aca="false">MIN(5,INT(J215/0.2)+1)</f>
        <v>4</v>
      </c>
      <c r="L215" s="21" t="n">
        <v>0.634280912367208</v>
      </c>
    </row>
    <row r="216" customFormat="false" ht="15" hidden="false" customHeight="false" outlineLevel="0" collapsed="false">
      <c r="A216" s="15" t="n">
        <f aca="false">2_Matriz_decision!A216</f>
        <v>212</v>
      </c>
      <c r="B216" s="16" t="n">
        <f aca="false">2_Matriz_decision!B216</f>
        <v>21.441</v>
      </c>
      <c r="C216" s="21" t="n">
        <f aca="false">SQRT(SUMXMY2(5_Ponderada!C219:Q219,5_Ponderada!$C$6:$Q$6))</f>
        <v>0.0120667060530484</v>
      </c>
      <c r="D216" s="21" t="n">
        <f aca="false">SQRT(SUMXMY2(5_Ponderada!C219:Q219,5_Ponderada!$C$7:$Q$7))</f>
        <v>0.0166759158514046</v>
      </c>
      <c r="E216" s="21" t="n">
        <f aca="false">D216/(C216+D216)</f>
        <v>0.580180747144055</v>
      </c>
      <c r="F216" s="15" t="n">
        <f aca="false">MIN(5,INT(E216/0.2)+1)</f>
        <v>3</v>
      </c>
      <c r="G216" s="21" t="n">
        <v>0.580180747144055</v>
      </c>
      <c r="H216" s="28" t="n">
        <f aca="false">ABS(E216-G216)</f>
        <v>0</v>
      </c>
      <c r="I216" s="15" t="n">
        <v>3</v>
      </c>
      <c r="J216" s="21" t="n">
        <f aca="false">(SUMPRODUCT(2_Matriz_decision!C216:Q216,5_Ponderada!$C$5:$Q$5)-1)/4</f>
        <v>0.635337480009147</v>
      </c>
      <c r="K216" s="15" t="n">
        <f aca="false">MIN(5,INT(J216/0.2)+1)</f>
        <v>4</v>
      </c>
      <c r="L216" s="21" t="n">
        <v>0.635337480009148</v>
      </c>
    </row>
    <row r="217" customFormat="false" ht="15" hidden="false" customHeight="false" outlineLevel="0" collapsed="false">
      <c r="A217" s="15" t="n">
        <f aca="false">2_Matriz_decision!A217</f>
        <v>213</v>
      </c>
      <c r="B217" s="16" t="n">
        <f aca="false">2_Matriz_decision!B217</f>
        <v>21.542</v>
      </c>
      <c r="C217" s="21" t="n">
        <f aca="false">SQRT(SUMXMY2(5_Ponderada!C220:Q220,5_Ponderada!$C$6:$Q$6))</f>
        <v>0.0120386575269451</v>
      </c>
      <c r="D217" s="21" t="n">
        <f aca="false">SQRT(SUMXMY2(5_Ponderada!C220:Q220,5_Ponderada!$C$7:$Q$7))</f>
        <v>0.0166796723678353</v>
      </c>
      <c r="E217" s="21" t="n">
        <f aca="false">D217/(C217+D217)</f>
        <v>0.580802310891582</v>
      </c>
      <c r="F217" s="15" t="n">
        <f aca="false">MIN(5,INT(E217/0.2)+1)</f>
        <v>3</v>
      </c>
      <c r="G217" s="21" t="n">
        <v>0.580802310891582</v>
      </c>
      <c r="H217" s="28" t="n">
        <f aca="false">ABS(E217-G217)</f>
        <v>0</v>
      </c>
      <c r="I217" s="15" t="n">
        <v>3</v>
      </c>
      <c r="J217" s="21" t="n">
        <f aca="false">(SUMPRODUCT(2_Matriz_decision!C217:Q217,5_Ponderada!$C$5:$Q$5)-1)/4</f>
        <v>0.638736998363569</v>
      </c>
      <c r="K217" s="15" t="n">
        <f aca="false">MIN(5,INT(J217/0.2)+1)</f>
        <v>4</v>
      </c>
      <c r="L217" s="21" t="n">
        <v>0.638736998363569</v>
      </c>
    </row>
    <row r="218" customFormat="false" ht="15" hidden="false" customHeight="false" outlineLevel="0" collapsed="false">
      <c r="A218" s="15" t="n">
        <f aca="false">2_Matriz_decision!A218</f>
        <v>214</v>
      </c>
      <c r="B218" s="16" t="n">
        <f aca="false">2_Matriz_decision!B218</f>
        <v>21.642</v>
      </c>
      <c r="C218" s="21" t="n">
        <f aca="false">SQRT(SUMXMY2(5_Ponderada!C221:Q221,5_Ponderada!$C$6:$Q$6))</f>
        <v>0.0165637754013307</v>
      </c>
      <c r="D218" s="21" t="n">
        <f aca="false">SQRT(SUMXMY2(5_Ponderada!C221:Q221,5_Ponderada!$C$7:$Q$7))</f>
        <v>0.0121755990382161</v>
      </c>
      <c r="E218" s="21" t="n">
        <f aca="false">D218/(C218+D218)</f>
        <v>0.423655673641312</v>
      </c>
      <c r="F218" s="15" t="n">
        <f aca="false">MIN(5,INT(E218/0.2)+1)</f>
        <v>3</v>
      </c>
      <c r="G218" s="21" t="n">
        <v>0.423655673641312</v>
      </c>
      <c r="H218" s="28" t="n">
        <f aca="false">ABS(E218-G218)</f>
        <v>0</v>
      </c>
      <c r="I218" s="15" t="n">
        <v>3</v>
      </c>
      <c r="J218" s="21" t="n">
        <f aca="false">(SUMPRODUCT(2_Matriz_decision!C218:Q218,5_Ponderada!$C$5:$Q$5)-1)/4</f>
        <v>0.432135863453592</v>
      </c>
      <c r="K218" s="15" t="n">
        <f aca="false">MIN(5,INT(J218/0.2)+1)</f>
        <v>3</v>
      </c>
      <c r="L218" s="21" t="n">
        <v>0.432135863453592</v>
      </c>
    </row>
    <row r="219" customFormat="false" ht="15" hidden="false" customHeight="false" outlineLevel="0" collapsed="false">
      <c r="A219" s="15" t="n">
        <f aca="false">2_Matriz_decision!A219</f>
        <v>215</v>
      </c>
      <c r="B219" s="16" t="n">
        <f aca="false">2_Matriz_decision!B219</f>
        <v>21.743</v>
      </c>
      <c r="C219" s="21" t="n">
        <f aca="false">SQRT(SUMXMY2(5_Ponderada!C222:Q222,5_Ponderada!$C$6:$Q$6))</f>
        <v>0.0119675125822598</v>
      </c>
      <c r="D219" s="21" t="n">
        <f aca="false">SQRT(SUMXMY2(5_Ponderada!C222:Q222,5_Ponderada!$C$7:$Q$7))</f>
        <v>0.0167203203999461</v>
      </c>
      <c r="E219" s="21" t="n">
        <f aca="false">D219/(C219+D219)</f>
        <v>0.582836647519426</v>
      </c>
      <c r="F219" s="15" t="n">
        <f aca="false">MIN(5,INT(E219/0.2)+1)</f>
        <v>3</v>
      </c>
      <c r="G219" s="21" t="n">
        <v>0.582836647519426</v>
      </c>
      <c r="H219" s="28" t="n">
        <f aca="false">ABS(E219-G219)</f>
        <v>0</v>
      </c>
      <c r="I219" s="15" t="n">
        <v>3</v>
      </c>
      <c r="J219" s="21" t="n">
        <f aca="false">(SUMPRODUCT(2_Matriz_decision!C219:Q219,5_Ponderada!$C$5:$Q$5)-1)/4</f>
        <v>0.649489541262762</v>
      </c>
      <c r="K219" s="15" t="n">
        <f aca="false">MIN(5,INT(J219/0.2)+1)</f>
        <v>4</v>
      </c>
      <c r="L219" s="21" t="n">
        <v>0.649489541262762</v>
      </c>
    </row>
    <row r="220" customFormat="false" ht="15" hidden="false" customHeight="false" outlineLevel="0" collapsed="false">
      <c r="A220" s="15" t="n">
        <f aca="false">2_Matriz_decision!A220</f>
        <v>216</v>
      </c>
      <c r="B220" s="16" t="n">
        <f aca="false">2_Matriz_decision!B220</f>
        <v>21.843</v>
      </c>
      <c r="C220" s="21" t="n">
        <f aca="false">SQRT(SUMXMY2(5_Ponderada!C223:Q223,5_Ponderada!$C$6:$Q$6))</f>
        <v>0.0165853171275259</v>
      </c>
      <c r="D220" s="21" t="n">
        <f aca="false">SQRT(SUMXMY2(5_Ponderada!C223:Q223,5_Ponderada!$C$7:$Q$7))</f>
        <v>0.012154206213641</v>
      </c>
      <c r="E220" s="21" t="n">
        <f aca="false">D220/(C220+D220)</f>
        <v>0.422909109151131</v>
      </c>
      <c r="F220" s="15" t="n">
        <f aca="false">MIN(5,INT(E220/0.2)+1)</f>
        <v>3</v>
      </c>
      <c r="G220" s="21" t="n">
        <v>0.422909109151131</v>
      </c>
      <c r="H220" s="28" t="n">
        <f aca="false">ABS(E220-G220)</f>
        <v>0</v>
      </c>
      <c r="I220" s="15" t="n">
        <v>3</v>
      </c>
      <c r="J220" s="21" t="n">
        <f aca="false">(SUMPRODUCT(2_Matriz_decision!C220:Q220,5_Ponderada!$C$5:$Q$5)-1)/4</f>
        <v>0.430870833742169</v>
      </c>
      <c r="K220" s="15" t="n">
        <f aca="false">MIN(5,INT(J220/0.2)+1)</f>
        <v>3</v>
      </c>
      <c r="L220" s="21" t="n">
        <v>0.43087083374217</v>
      </c>
    </row>
    <row r="221" customFormat="false" ht="15" hidden="false" customHeight="false" outlineLevel="0" collapsed="false">
      <c r="A221" s="15" t="n">
        <f aca="false">2_Matriz_decision!A221</f>
        <v>217</v>
      </c>
      <c r="B221" s="16" t="n">
        <f aca="false">2_Matriz_decision!B221</f>
        <v>21.944</v>
      </c>
      <c r="C221" s="21" t="n">
        <f aca="false">SQRT(SUMXMY2(5_Ponderada!C224:Q224,5_Ponderada!$C$6:$Q$6))</f>
        <v>0.0119757150914554</v>
      </c>
      <c r="D221" s="21" t="n">
        <f aca="false">SQRT(SUMXMY2(5_Ponderada!C224:Q224,5_Ponderada!$C$7:$Q$7))</f>
        <v>0.0167072990257247</v>
      </c>
      <c r="E221" s="21" t="n">
        <f aca="false">D221/(C221+D221)</f>
        <v>0.58248059138658</v>
      </c>
      <c r="F221" s="15" t="n">
        <f aca="false">MIN(5,INT(E221/0.2)+1)</f>
        <v>3</v>
      </c>
      <c r="G221" s="21" t="n">
        <v>0.58248059138658</v>
      </c>
      <c r="H221" s="28" t="n">
        <f aca="false">ABS(E221-G221)</f>
        <v>0</v>
      </c>
      <c r="I221" s="15" t="n">
        <v>3</v>
      </c>
      <c r="J221" s="21" t="n">
        <f aca="false">(SUMPRODUCT(2_Matriz_decision!C221:Q221,5_Ponderada!$C$5:$Q$5)-1)/4</f>
        <v>0.649141510160843</v>
      </c>
      <c r="K221" s="15" t="n">
        <f aca="false">MIN(5,INT(J221/0.2)+1)</f>
        <v>4</v>
      </c>
      <c r="L221" s="21" t="n">
        <v>0.649141510160843</v>
      </c>
    </row>
    <row r="222" customFormat="false" ht="15" hidden="false" customHeight="false" outlineLevel="0" collapsed="false">
      <c r="A222" s="15" t="n">
        <f aca="false">2_Matriz_decision!A222</f>
        <v>218</v>
      </c>
      <c r="B222" s="16" t="n">
        <f aca="false">2_Matriz_decision!B222</f>
        <v>22.045</v>
      </c>
      <c r="C222" s="21" t="n">
        <f aca="false">SQRT(SUMXMY2(5_Ponderada!C225:Q225,5_Ponderada!$C$6:$Q$6))</f>
        <v>0.0119706214759634</v>
      </c>
      <c r="D222" s="21" t="n">
        <f aca="false">SQRT(SUMXMY2(5_Ponderada!C225:Q225,5_Ponderada!$C$7:$Q$7))</f>
        <v>0.0167180804986298</v>
      </c>
      <c r="E222" s="21" t="n">
        <f aca="false">D222/(C222+D222)</f>
        <v>0.582740917084202</v>
      </c>
      <c r="F222" s="15" t="n">
        <f aca="false">MIN(5,INT(E222/0.2)+1)</f>
        <v>3</v>
      </c>
      <c r="G222" s="21" t="n">
        <v>0.582740917084202</v>
      </c>
      <c r="H222" s="28" t="n">
        <f aca="false">ABS(E222-G222)</f>
        <v>0</v>
      </c>
      <c r="I222" s="15" t="n">
        <v>3</v>
      </c>
      <c r="J222" s="21" t="n">
        <f aca="false">(SUMPRODUCT(2_Matriz_decision!C222:Q222,5_Ponderada!$C$5:$Q$5)-1)/4</f>
        <v>0.647263816750074</v>
      </c>
      <c r="K222" s="15" t="n">
        <f aca="false">MIN(5,INT(J222/0.2)+1)</f>
        <v>4</v>
      </c>
      <c r="L222" s="21" t="n">
        <v>0.647263816750075</v>
      </c>
    </row>
    <row r="223" customFormat="false" ht="15" hidden="false" customHeight="false" outlineLevel="0" collapsed="false">
      <c r="A223" s="15" t="n">
        <f aca="false">2_Matriz_decision!A223</f>
        <v>219</v>
      </c>
      <c r="B223" s="16" t="n">
        <f aca="false">2_Matriz_decision!B223</f>
        <v>22.146</v>
      </c>
      <c r="C223" s="21" t="n">
        <f aca="false">SQRT(SUMXMY2(5_Ponderada!C226:Q226,5_Ponderada!$C$6:$Q$6))</f>
        <v>0.011971210445599</v>
      </c>
      <c r="D223" s="21" t="n">
        <f aca="false">SQRT(SUMXMY2(5_Ponderada!C226:Q226,5_Ponderada!$C$7:$Q$7))</f>
        <v>0.0167173980429812</v>
      </c>
      <c r="E223" s="21" t="n">
        <f aca="false">D223/(C223+D223)</f>
        <v>0.582719027645963</v>
      </c>
      <c r="F223" s="15" t="n">
        <f aca="false">MIN(5,INT(E223/0.2)+1)</f>
        <v>3</v>
      </c>
      <c r="G223" s="21" t="n">
        <v>0.582719027645963</v>
      </c>
      <c r="H223" s="28" t="n">
        <f aca="false">ABS(E223-G223)</f>
        <v>0</v>
      </c>
      <c r="I223" s="15" t="n">
        <v>3</v>
      </c>
      <c r="J223" s="21" t="n">
        <f aca="false">(SUMPRODUCT(2_Matriz_decision!C223:Q223,5_Ponderada!$C$5:$Q$5)-1)/4</f>
        <v>0.647067058652886</v>
      </c>
      <c r="K223" s="15" t="n">
        <f aca="false">MIN(5,INT(J223/0.2)+1)</f>
        <v>4</v>
      </c>
      <c r="L223" s="21" t="n">
        <v>0.647067058652886</v>
      </c>
    </row>
    <row r="224" customFormat="false" ht="15" hidden="false" customHeight="false" outlineLevel="0" collapsed="false">
      <c r="A224" s="15" t="n">
        <f aca="false">2_Matriz_decision!A224</f>
        <v>220</v>
      </c>
      <c r="B224" s="16" t="n">
        <f aca="false">2_Matriz_decision!B224</f>
        <v>22.247</v>
      </c>
      <c r="C224" s="21" t="n">
        <f aca="false">SQRT(SUMXMY2(5_Ponderada!C227:Q227,5_Ponderada!$C$6:$Q$6))</f>
        <v>0.0119685854906731</v>
      </c>
      <c r="D224" s="21" t="n">
        <f aca="false">SQRT(SUMXMY2(5_Ponderada!C227:Q227,5_Ponderada!$C$7:$Q$7))</f>
        <v>0.0167209917749212</v>
      </c>
      <c r="E224" s="21" t="n">
        <f aca="false">D224/(C224+D224)</f>
        <v>0.582824613277718</v>
      </c>
      <c r="F224" s="15" t="n">
        <f aca="false">MIN(5,INT(E224/0.2)+1)</f>
        <v>3</v>
      </c>
      <c r="G224" s="21" t="n">
        <v>0.582824613277718</v>
      </c>
      <c r="H224" s="28" t="n">
        <f aca="false">ABS(E224-G224)</f>
        <v>0</v>
      </c>
      <c r="I224" s="15" t="n">
        <v>3</v>
      </c>
      <c r="J224" s="21" t="n">
        <f aca="false">(SUMPRODUCT(2_Matriz_decision!C224:Q224,5_Ponderada!$C$5:$Q$5)-1)/4</f>
        <v>0.647920111828456</v>
      </c>
      <c r="K224" s="15" t="n">
        <f aca="false">MIN(5,INT(J224/0.2)+1)</f>
        <v>4</v>
      </c>
      <c r="L224" s="21" t="n">
        <v>0.647920111828456</v>
      </c>
    </row>
    <row r="225" customFormat="false" ht="15" hidden="false" customHeight="false" outlineLevel="0" collapsed="false">
      <c r="A225" s="15" t="n">
        <f aca="false">2_Matriz_decision!A225</f>
        <v>221</v>
      </c>
      <c r="B225" s="16" t="n">
        <f aca="false">2_Matriz_decision!B225</f>
        <v>22.348</v>
      </c>
      <c r="C225" s="21" t="n">
        <f aca="false">SQRT(SUMXMY2(5_Ponderada!C228:Q228,5_Ponderada!$C$6:$Q$6))</f>
        <v>0.0119670296010454</v>
      </c>
      <c r="D225" s="21" t="n">
        <f aca="false">SQRT(SUMXMY2(5_Ponderada!C228:Q228,5_Ponderada!$C$7:$Q$7))</f>
        <v>0.016723305806049</v>
      </c>
      <c r="E225" s="21" t="n">
        <f aca="false">D225/(C225+D225)</f>
        <v>0.582889867572402</v>
      </c>
      <c r="F225" s="15" t="n">
        <f aca="false">MIN(5,INT(E225/0.2)+1)</f>
        <v>3</v>
      </c>
      <c r="G225" s="21" t="n">
        <v>0.582889867572402</v>
      </c>
      <c r="H225" s="28" t="n">
        <f aca="false">ABS(E225-G225)</f>
        <v>0</v>
      </c>
      <c r="I225" s="15" t="n">
        <v>3</v>
      </c>
      <c r="J225" s="21" t="n">
        <f aca="false">(SUMPRODUCT(2_Matriz_decision!C225:Q225,5_Ponderada!$C$5:$Q$5)-1)/4</f>
        <v>0.648454441839528</v>
      </c>
      <c r="K225" s="15" t="n">
        <f aca="false">MIN(5,INT(J225/0.2)+1)</f>
        <v>4</v>
      </c>
      <c r="L225" s="21" t="n">
        <v>0.648454441839528</v>
      </c>
    </row>
    <row r="226" customFormat="false" ht="15" hidden="false" customHeight="false" outlineLevel="0" collapsed="false">
      <c r="A226" s="15" t="n">
        <f aca="false">2_Matriz_decision!A226</f>
        <v>222</v>
      </c>
      <c r="B226" s="16" t="n">
        <f aca="false">2_Matriz_decision!B226</f>
        <v>22.45</v>
      </c>
      <c r="C226" s="21" t="n">
        <f aca="false">SQRT(SUMXMY2(5_Ponderada!C229:Q229,5_Ponderada!$C$6:$Q$6))</f>
        <v>0.0122961778042666</v>
      </c>
      <c r="D226" s="21" t="n">
        <f aca="false">SQRT(SUMXMY2(5_Ponderada!C229:Q229,5_Ponderada!$C$7:$Q$7))</f>
        <v>0.0149730389904423</v>
      </c>
      <c r="E226" s="21" t="n">
        <f aca="false">D226/(C226+D226)</f>
        <v>0.549082106140559</v>
      </c>
      <c r="F226" s="15" t="n">
        <f aca="false">MIN(5,INT(E226/0.2)+1)</f>
        <v>3</v>
      </c>
      <c r="G226" s="21" t="n">
        <v>0.549082106140559</v>
      </c>
      <c r="H226" s="28" t="n">
        <f aca="false">ABS(E226-G226)</f>
        <v>0</v>
      </c>
      <c r="I226" s="15" t="n">
        <v>3</v>
      </c>
      <c r="J226" s="21" t="n">
        <f aca="false">(SUMPRODUCT(2_Matriz_decision!C226:Q226,5_Ponderada!$C$5:$Q$5)-1)/4</f>
        <v>0.599842228685704</v>
      </c>
      <c r="K226" s="15" t="n">
        <f aca="false">MIN(5,INT(J226/0.2)+1)</f>
        <v>3</v>
      </c>
      <c r="L226" s="21" t="n">
        <v>0.599842228685704</v>
      </c>
    </row>
    <row r="227" customFormat="false" ht="15" hidden="false" customHeight="false" outlineLevel="0" collapsed="false">
      <c r="A227" s="15" t="n">
        <f aca="false">2_Matriz_decision!A227</f>
        <v>223</v>
      </c>
      <c r="B227" s="16" t="n">
        <f aca="false">2_Matriz_decision!B227</f>
        <v>22.552</v>
      </c>
      <c r="C227" s="21" t="n">
        <f aca="false">SQRT(SUMXMY2(5_Ponderada!C230:Q230,5_Ponderada!$C$6:$Q$6))</f>
        <v>0.0122980786188728</v>
      </c>
      <c r="D227" s="21" t="n">
        <f aca="false">SQRT(SUMXMY2(5_Ponderada!C230:Q230,5_Ponderada!$C$7:$Q$7))</f>
        <v>0.0149702346228588</v>
      </c>
      <c r="E227" s="21" t="n">
        <f aca="false">D227/(C227+D227)</f>
        <v>0.5489974568705</v>
      </c>
      <c r="F227" s="15" t="n">
        <f aca="false">MIN(5,INT(E227/0.2)+1)</f>
        <v>3</v>
      </c>
      <c r="G227" s="21" t="n">
        <v>0.5489974568705</v>
      </c>
      <c r="H227" s="28" t="n">
        <f aca="false">ABS(E227-G227)</f>
        <v>0</v>
      </c>
      <c r="I227" s="15" t="n">
        <v>3</v>
      </c>
      <c r="J227" s="21" t="n">
        <f aca="false">(SUMPRODUCT(2_Matriz_decision!C227:Q227,5_Ponderada!$C$5:$Q$5)-1)/4</f>
        <v>0.599232904988868</v>
      </c>
      <c r="K227" s="15" t="n">
        <f aca="false">MIN(5,INT(J227/0.2)+1)</f>
        <v>3</v>
      </c>
      <c r="L227" s="21" t="n">
        <v>0.599232904988868</v>
      </c>
    </row>
    <row r="228" customFormat="false" ht="15" hidden="false" customHeight="false" outlineLevel="0" collapsed="false">
      <c r="A228" s="15" t="n">
        <f aca="false">2_Matriz_decision!A228</f>
        <v>224</v>
      </c>
      <c r="B228" s="16" t="n">
        <f aca="false">2_Matriz_decision!B228</f>
        <v>22.653</v>
      </c>
      <c r="C228" s="21" t="n">
        <f aca="false">SQRT(SUMXMY2(5_Ponderada!C231:Q231,5_Ponderada!$C$6:$Q$6))</f>
        <v>0.0122960636428015</v>
      </c>
      <c r="D228" s="21" t="n">
        <f aca="false">SQRT(SUMXMY2(5_Ponderada!C231:Q231,5_Ponderada!$C$7:$Q$7))</f>
        <v>0.0149732138666482</v>
      </c>
      <c r="E228" s="21" t="n">
        <f aca="false">D228/(C228+D228)</f>
        <v>0.549087296554136</v>
      </c>
      <c r="F228" s="15" t="n">
        <f aca="false">MIN(5,INT(E228/0.2)+1)</f>
        <v>3</v>
      </c>
      <c r="G228" s="21" t="n">
        <v>0.549087296554135</v>
      </c>
      <c r="H228" s="28" t="n">
        <f aca="false">ABS(E228-G228)</f>
        <v>0</v>
      </c>
      <c r="I228" s="15" t="n">
        <v>3</v>
      </c>
      <c r="J228" s="21" t="n">
        <f aca="false">(SUMPRODUCT(2_Matriz_decision!C228:Q228,5_Ponderada!$C$5:$Q$5)-1)/4</f>
        <v>0.599879725528586</v>
      </c>
      <c r="K228" s="15" t="n">
        <f aca="false">MIN(5,INT(J228/0.2)+1)</f>
        <v>3</v>
      </c>
      <c r="L228" s="21" t="n">
        <v>0.599879725528587</v>
      </c>
    </row>
    <row r="229" customFormat="false" ht="15" hidden="false" customHeight="false" outlineLevel="0" collapsed="false">
      <c r="A229" s="15" t="n">
        <f aca="false">2_Matriz_decision!A229</f>
        <v>225</v>
      </c>
      <c r="B229" s="16" t="n">
        <f aca="false">2_Matriz_decision!B229</f>
        <v>22.754</v>
      </c>
      <c r="C229" s="21" t="n">
        <f aca="false">SQRT(SUMXMY2(5_Ponderada!C232:Q232,5_Ponderada!$C$6:$Q$6))</f>
        <v>0.0122960636428015</v>
      </c>
      <c r="D229" s="21" t="n">
        <f aca="false">SQRT(SUMXMY2(5_Ponderada!C232:Q232,5_Ponderada!$C$7:$Q$7))</f>
        <v>0.0149732138666482</v>
      </c>
      <c r="E229" s="21" t="n">
        <f aca="false">D229/(C229+D229)</f>
        <v>0.549087296554136</v>
      </c>
      <c r="F229" s="15" t="n">
        <f aca="false">MIN(5,INT(E229/0.2)+1)</f>
        <v>3</v>
      </c>
      <c r="G229" s="21" t="n">
        <v>0.549087296554135</v>
      </c>
      <c r="H229" s="28" t="n">
        <f aca="false">ABS(E229-G229)</f>
        <v>0</v>
      </c>
      <c r="I229" s="15" t="n">
        <v>3</v>
      </c>
      <c r="J229" s="21" t="n">
        <f aca="false">(SUMPRODUCT(2_Matriz_decision!C229:Q229,5_Ponderada!$C$5:$Q$5)-1)/4</f>
        <v>0.599879725528586</v>
      </c>
      <c r="K229" s="15" t="n">
        <f aca="false">MIN(5,INT(J229/0.2)+1)</f>
        <v>3</v>
      </c>
      <c r="L229" s="21" t="n">
        <v>0.599879725528587</v>
      </c>
    </row>
    <row r="230" customFormat="false" ht="15" hidden="false" customHeight="false" outlineLevel="0" collapsed="false">
      <c r="A230" s="15" t="n">
        <f aca="false">2_Matriz_decision!A230</f>
        <v>226</v>
      </c>
      <c r="B230" s="16" t="n">
        <f aca="false">2_Matriz_decision!B230</f>
        <v>22.854</v>
      </c>
      <c r="C230" s="21" t="n">
        <f aca="false">SQRT(SUMXMY2(5_Ponderada!C233:Q233,5_Ponderada!$C$6:$Q$6))</f>
        <v>0.0132229208060198</v>
      </c>
      <c r="D230" s="21" t="n">
        <f aca="false">SQRT(SUMXMY2(5_Ponderada!C233:Q233,5_Ponderada!$C$7:$Q$7))</f>
        <v>0.013593769352128</v>
      </c>
      <c r="E230" s="21" t="n">
        <f aca="false">D230/(C230+D230)</f>
        <v>0.506914510029411</v>
      </c>
      <c r="F230" s="15" t="n">
        <f aca="false">MIN(5,INT(E230/0.2)+1)</f>
        <v>3</v>
      </c>
      <c r="G230" s="21" t="n">
        <v>0.506914510029411</v>
      </c>
      <c r="H230" s="28" t="n">
        <f aca="false">ABS(E230-G230)</f>
        <v>0</v>
      </c>
      <c r="I230" s="15" t="n">
        <v>3</v>
      </c>
      <c r="J230" s="21" t="n">
        <f aca="false">(SUMPRODUCT(2_Matriz_decision!C230:Q230,5_Ponderada!$C$5:$Q$5)-1)/4</f>
        <v>0.553151728729594</v>
      </c>
      <c r="K230" s="15" t="n">
        <f aca="false">MIN(5,INT(J230/0.2)+1)</f>
        <v>3</v>
      </c>
      <c r="L230" s="21" t="n">
        <v>0.553151728729594</v>
      </c>
    </row>
    <row r="231" customFormat="false" ht="15" hidden="false" customHeight="false" outlineLevel="0" collapsed="false">
      <c r="A231" s="15" t="n">
        <f aca="false">2_Matriz_decision!A231</f>
        <v>227</v>
      </c>
      <c r="B231" s="16" t="n">
        <f aca="false">2_Matriz_decision!B231</f>
        <v>22.953</v>
      </c>
      <c r="C231" s="21" t="n">
        <f aca="false">SQRT(SUMXMY2(5_Ponderada!C234:Q234,5_Ponderada!$C$6:$Q$6))</f>
        <v>0.0132276749910432</v>
      </c>
      <c r="D231" s="21" t="n">
        <f aca="false">SQRT(SUMXMY2(5_Ponderada!C234:Q234,5_Ponderada!$C$7:$Q$7))</f>
        <v>0.0135454712450217</v>
      </c>
      <c r="E231" s="21" t="n">
        <f aca="false">D231/(C231+D231)</f>
        <v>0.505934981476896</v>
      </c>
      <c r="F231" s="15" t="n">
        <f aca="false">MIN(5,INT(E231/0.2)+1)</f>
        <v>3</v>
      </c>
      <c r="G231" s="21" t="n">
        <v>0.505934981476896</v>
      </c>
      <c r="H231" s="28" t="n">
        <f aca="false">ABS(E231-G231)</f>
        <v>0</v>
      </c>
      <c r="I231" s="15" t="n">
        <v>3</v>
      </c>
      <c r="J231" s="21" t="n">
        <f aca="false">(SUMPRODUCT(2_Matriz_decision!C231:Q231,5_Ponderada!$C$5:$Q$5)-1)/4</f>
        <v>0.542907281177112</v>
      </c>
      <c r="K231" s="15" t="n">
        <f aca="false">MIN(5,INT(J231/0.2)+1)</f>
        <v>3</v>
      </c>
      <c r="L231" s="21" t="n">
        <v>0.542907281177112</v>
      </c>
    </row>
    <row r="232" customFormat="false" ht="15" hidden="false" customHeight="false" outlineLevel="0" collapsed="false">
      <c r="A232" s="15" t="n">
        <f aca="false">2_Matriz_decision!A232</f>
        <v>228</v>
      </c>
      <c r="B232" s="16" t="n">
        <f aca="false">2_Matriz_decision!B232</f>
        <v>23.051</v>
      </c>
      <c r="C232" s="21" t="n">
        <f aca="false">SQRT(SUMXMY2(5_Ponderada!C235:Q235,5_Ponderada!$C$6:$Q$6))</f>
        <v>0.0132278996235047</v>
      </c>
      <c r="D232" s="21" t="n">
        <f aca="false">SQRT(SUMXMY2(5_Ponderada!C235:Q235,5_Ponderada!$C$7:$Q$7))</f>
        <v>0.0135449482500697</v>
      </c>
      <c r="E232" s="21" t="n">
        <f aca="false">D232/(C232+D232)</f>
        <v>0.505921085199119</v>
      </c>
      <c r="F232" s="15" t="n">
        <f aca="false">MIN(5,INT(E232/0.2)+1)</f>
        <v>3</v>
      </c>
      <c r="G232" s="21" t="n">
        <v>0.505921085199118</v>
      </c>
      <c r="H232" s="28" t="n">
        <f aca="false">ABS(E232-G232)</f>
        <v>0</v>
      </c>
      <c r="I232" s="15" t="n">
        <v>3</v>
      </c>
      <c r="J232" s="21" t="n">
        <f aca="false">(SUMPRODUCT(2_Matriz_decision!C232:Q232,5_Ponderada!$C$5:$Q$5)-1)/4</f>
        <v>0.542813539069906</v>
      </c>
      <c r="K232" s="15" t="n">
        <f aca="false">MIN(5,INT(J232/0.2)+1)</f>
        <v>3</v>
      </c>
      <c r="L232" s="21" t="n">
        <v>0.542813539069907</v>
      </c>
    </row>
    <row r="233" customFormat="false" ht="15" hidden="false" customHeight="false" outlineLevel="0" collapsed="false">
      <c r="A233" s="15" t="n">
        <f aca="false">2_Matriz_decision!A233</f>
        <v>229</v>
      </c>
      <c r="B233" s="16" t="n">
        <f aca="false">2_Matriz_decision!B233</f>
        <v>23.147</v>
      </c>
      <c r="C233" s="21" t="n">
        <f aca="false">SQRT(SUMXMY2(5_Ponderada!C236:Q236,5_Ponderada!$C$6:$Q$6))</f>
        <v>0.0132310174303327</v>
      </c>
      <c r="D233" s="21" t="n">
        <f aca="false">SQRT(SUMXMY2(5_Ponderada!C236:Q236,5_Ponderada!$C$7:$Q$7))</f>
        <v>0.0135382666416557</v>
      </c>
      <c r="E233" s="21" t="n">
        <f aca="false">D233/(C233+D233)</f>
        <v>0.505738838784347</v>
      </c>
      <c r="F233" s="15" t="n">
        <f aca="false">MIN(5,INT(E233/0.2)+1)</f>
        <v>3</v>
      </c>
      <c r="G233" s="21" t="n">
        <v>0.505738838784346</v>
      </c>
      <c r="H233" s="28" t="n">
        <f aca="false">ABS(E233-G233)</f>
        <v>0</v>
      </c>
      <c r="I233" s="15" t="n">
        <v>3</v>
      </c>
      <c r="J233" s="21" t="n">
        <f aca="false">(SUMPRODUCT(2_Matriz_decision!C233:Q233,5_Ponderada!$C$5:$Q$5)-1)/4</f>
        <v>0.541585517465513</v>
      </c>
      <c r="K233" s="15" t="n">
        <f aca="false">MIN(5,INT(J233/0.2)+1)</f>
        <v>3</v>
      </c>
      <c r="L233" s="21" t="n">
        <v>0.541585517465514</v>
      </c>
    </row>
    <row r="234" customFormat="false" ht="15" hidden="false" customHeight="false" outlineLevel="0" collapsed="false">
      <c r="A234" s="15" t="n">
        <f aca="false">2_Matriz_decision!A234</f>
        <v>230</v>
      </c>
      <c r="B234" s="16" t="n">
        <f aca="false">2_Matriz_decision!B234</f>
        <v>23.244</v>
      </c>
      <c r="C234" s="21" t="n">
        <f aca="false">SQRT(SUMXMY2(5_Ponderada!C237:Q237,5_Ponderada!$C$6:$Q$6))</f>
        <v>0.014645998472566</v>
      </c>
      <c r="D234" s="21" t="n">
        <f aca="false">SQRT(SUMXMY2(5_Ponderada!C237:Q237,5_Ponderada!$C$7:$Q$7))</f>
        <v>0.0126376145541342</v>
      </c>
      <c r="E234" s="21" t="n">
        <f aca="false">D234/(C234+D234)</f>
        <v>0.46319431894034</v>
      </c>
      <c r="F234" s="15" t="n">
        <f aca="false">MIN(5,INT(E234/0.2)+1)</f>
        <v>3</v>
      </c>
      <c r="G234" s="21" t="n">
        <v>0.46319431894034</v>
      </c>
      <c r="H234" s="28" t="n">
        <f aca="false">ABS(E234-G234)</f>
        <v>0</v>
      </c>
      <c r="I234" s="15" t="n">
        <v>3</v>
      </c>
      <c r="J234" s="21" t="n">
        <f aca="false">(SUMPRODUCT(2_Matriz_decision!C234:Q234,5_Ponderada!$C$5:$Q$5)-1)/4</f>
        <v>0.495035630670212</v>
      </c>
      <c r="K234" s="15" t="n">
        <f aca="false">MIN(5,INT(J234/0.2)+1)</f>
        <v>3</v>
      </c>
      <c r="L234" s="21" t="n">
        <v>0.495035630670212</v>
      </c>
    </row>
    <row r="235" customFormat="false" ht="15" hidden="false" customHeight="false" outlineLevel="0" collapsed="false">
      <c r="A235" s="15" t="n">
        <f aca="false">2_Matriz_decision!A235</f>
        <v>231</v>
      </c>
      <c r="B235" s="16" t="n">
        <f aca="false">2_Matriz_decision!B235</f>
        <v>23.342</v>
      </c>
      <c r="C235" s="21" t="n">
        <f aca="false">SQRT(SUMXMY2(5_Ponderada!C238:Q238,5_Ponderada!$C$6:$Q$6))</f>
        <v>0.0146447078318342</v>
      </c>
      <c r="D235" s="21" t="n">
        <f aca="false">SQRT(SUMXMY2(5_Ponderada!C238:Q238,5_Ponderada!$C$7:$Q$7))</f>
        <v>0.0126411311488033</v>
      </c>
      <c r="E235" s="21" t="n">
        <f aca="false">D235/(C235+D235)</f>
        <v>0.463285411812833</v>
      </c>
      <c r="F235" s="15" t="n">
        <f aca="false">MIN(5,INT(E235/0.2)+1)</f>
        <v>3</v>
      </c>
      <c r="G235" s="21" t="n">
        <v>0.463285411812833</v>
      </c>
      <c r="H235" s="28" t="n">
        <f aca="false">ABS(E235-G235)</f>
        <v>0</v>
      </c>
      <c r="I235" s="15" t="n">
        <v>3</v>
      </c>
      <c r="J235" s="21" t="n">
        <f aca="false">(SUMPRODUCT(2_Matriz_decision!C235:Q235,5_Ponderada!$C$5:$Q$5)-1)/4</f>
        <v>0.495626205945606</v>
      </c>
      <c r="K235" s="15" t="n">
        <f aca="false">MIN(5,INT(J235/0.2)+1)</f>
        <v>3</v>
      </c>
      <c r="L235" s="21" t="n">
        <v>0.495626205945607</v>
      </c>
    </row>
    <row r="236" customFormat="false" ht="15" hidden="false" customHeight="false" outlineLevel="0" collapsed="false">
      <c r="A236" s="15" t="n">
        <f aca="false">2_Matriz_decision!A236</f>
        <v>232</v>
      </c>
      <c r="B236" s="16" t="n">
        <f aca="false">2_Matriz_decision!B236</f>
        <v>23.441</v>
      </c>
      <c r="C236" s="21" t="n">
        <f aca="false">SQRT(SUMXMY2(5_Ponderada!C239:Q239,5_Ponderada!$C$6:$Q$6))</f>
        <v>0.0146430742955823</v>
      </c>
      <c r="D236" s="21" t="n">
        <f aca="false">SQRT(SUMXMY2(5_Ponderada!C239:Q239,5_Ponderada!$C$7:$Q$7))</f>
        <v>0.0126459992488568</v>
      </c>
      <c r="E236" s="21" t="n">
        <f aca="false">D236/(C236+D236)</f>
        <v>0.463408888845688</v>
      </c>
      <c r="F236" s="15" t="n">
        <f aca="false">MIN(5,INT(E236/0.2)+1)</f>
        <v>3</v>
      </c>
      <c r="G236" s="21" t="n">
        <v>0.463408888845688</v>
      </c>
      <c r="H236" s="28" t="n">
        <f aca="false">ABS(E236-G236)</f>
        <v>0</v>
      </c>
      <c r="I236" s="15" t="n">
        <v>3</v>
      </c>
      <c r="J236" s="21" t="n">
        <f aca="false">(SUMPRODUCT(2_Matriz_decision!C236:Q236,5_Ponderada!$C$5:$Q$5)-1)/4</f>
        <v>0.496423013856854</v>
      </c>
      <c r="K236" s="15" t="n">
        <f aca="false">MIN(5,INT(J236/0.2)+1)</f>
        <v>3</v>
      </c>
      <c r="L236" s="21" t="n">
        <v>0.496423013856854</v>
      </c>
    </row>
    <row r="237" customFormat="false" ht="15" hidden="false" customHeight="false" outlineLevel="0" collapsed="false">
      <c r="A237" s="15" t="n">
        <f aca="false">2_Matriz_decision!A237</f>
        <v>233</v>
      </c>
      <c r="B237" s="16" t="n">
        <f aca="false">2_Matriz_decision!B237</f>
        <v>23.54</v>
      </c>
      <c r="C237" s="21" t="n">
        <f aca="false">SQRT(SUMXMY2(5_Ponderada!C240:Q240,5_Ponderada!$C$6:$Q$6))</f>
        <v>0.0146430373508272</v>
      </c>
      <c r="D237" s="21" t="n">
        <f aca="false">SQRT(SUMXMY2(5_Ponderada!C240:Q240,5_Ponderada!$C$7:$Q$7))</f>
        <v>0.0126461154992576</v>
      </c>
      <c r="E237" s="21" t="n">
        <f aca="false">D237/(C237+D237)</f>
        <v>0.463411802071323</v>
      </c>
      <c r="F237" s="15" t="n">
        <f aca="false">MIN(5,INT(E237/0.2)+1)</f>
        <v>3</v>
      </c>
      <c r="G237" s="21" t="n">
        <v>0.463411802071323</v>
      </c>
      <c r="H237" s="28" t="n">
        <f aca="false">ABS(E237-G237)</f>
        <v>0</v>
      </c>
      <c r="I237" s="15" t="n">
        <v>3</v>
      </c>
      <c r="J237" s="21" t="n">
        <f aca="false">(SUMPRODUCT(2_Matriz_decision!C237:Q237,5_Ponderada!$C$5:$Q$5)-1)/4</f>
        <v>0.496441762278295</v>
      </c>
      <c r="K237" s="15" t="n">
        <f aca="false">MIN(5,INT(J237/0.2)+1)</f>
        <v>3</v>
      </c>
      <c r="L237" s="21" t="n">
        <v>0.496441762278295</v>
      </c>
    </row>
    <row r="238" customFormat="false" ht="15" hidden="false" customHeight="false" outlineLevel="0" collapsed="false">
      <c r="A238" s="15" t="n">
        <f aca="false">2_Matriz_decision!A238</f>
        <v>234</v>
      </c>
      <c r="B238" s="16" t="n">
        <f aca="false">2_Matriz_decision!B238</f>
        <v>23.64</v>
      </c>
      <c r="C238" s="21" t="n">
        <f aca="false">SQRT(SUMXMY2(5_Ponderada!C241:Q241,5_Ponderada!$C$6:$Q$6))</f>
        <v>0.0164235997076438</v>
      </c>
      <c r="D238" s="21" t="n">
        <f aca="false">SQRT(SUMXMY2(5_Ponderada!C241:Q241,5_Ponderada!$C$7:$Q$7))</f>
        <v>0.0123290616735212</v>
      </c>
      <c r="E238" s="21" t="n">
        <f aca="false">D238/(C238+D238)</f>
        <v>0.428797234109175</v>
      </c>
      <c r="F238" s="15" t="n">
        <f aca="false">MIN(5,INT(E238/0.2)+1)</f>
        <v>3</v>
      </c>
      <c r="G238" s="21" t="n">
        <v>0.428797234109175</v>
      </c>
      <c r="H238" s="28" t="n">
        <f aca="false">ABS(E238-G238)</f>
        <v>0</v>
      </c>
      <c r="I238" s="15" t="n">
        <v>3</v>
      </c>
      <c r="J238" s="21" t="n">
        <f aca="false">(SUMPRODUCT(2_Matriz_decision!C238:Q238,5_Ponderada!$C$5:$Q$5)-1)/4</f>
        <v>0.450059342676131</v>
      </c>
      <c r="K238" s="15" t="n">
        <f aca="false">MIN(5,INT(J238/0.2)+1)</f>
        <v>3</v>
      </c>
      <c r="L238" s="21" t="n">
        <v>0.450059342676132</v>
      </c>
    </row>
    <row r="239" customFormat="false" ht="15" hidden="false" customHeight="false" outlineLevel="0" collapsed="false">
      <c r="A239" s="15" t="n">
        <f aca="false">2_Matriz_decision!A239</f>
        <v>235</v>
      </c>
      <c r="B239" s="16" t="n">
        <f aca="false">2_Matriz_decision!B239</f>
        <v>23.74</v>
      </c>
      <c r="C239" s="21" t="n">
        <f aca="false">SQRT(SUMXMY2(5_Ponderada!C242:Q242,5_Ponderada!$C$6:$Q$6))</f>
        <v>0.0164226461545025</v>
      </c>
      <c r="D239" s="21" t="n">
        <f aca="false">SQRT(SUMXMY2(5_Ponderada!C242:Q242,5_Ponderada!$C$7:$Q$7))</f>
        <v>0.0123324275386601</v>
      </c>
      <c r="E239" s="21" t="n">
        <f aca="false">D239/(C239+D239)</f>
        <v>0.428878314493505</v>
      </c>
      <c r="F239" s="15" t="n">
        <f aca="false">MIN(5,INT(E239/0.2)+1)</f>
        <v>3</v>
      </c>
      <c r="G239" s="21" t="n">
        <v>0.428878314493505</v>
      </c>
      <c r="H239" s="28" t="n">
        <f aca="false">ABS(E239-G239)</f>
        <v>0</v>
      </c>
      <c r="I239" s="15" t="n">
        <v>3</v>
      </c>
      <c r="J239" s="21" t="n">
        <f aca="false">(SUMPRODUCT(2_Matriz_decision!C239:Q239,5_Ponderada!$C$5:$Q$5)-1)/4</f>
        <v>0.450607671298319</v>
      </c>
      <c r="K239" s="15" t="n">
        <f aca="false">MIN(5,INT(J239/0.2)+1)</f>
        <v>3</v>
      </c>
      <c r="L239" s="21" t="n">
        <v>0.45060767129832</v>
      </c>
    </row>
    <row r="240" customFormat="false" ht="15" hidden="false" customHeight="false" outlineLevel="0" collapsed="false">
      <c r="A240" s="15" t="n">
        <f aca="false">2_Matriz_decision!A240</f>
        <v>236</v>
      </c>
      <c r="B240" s="16" t="n">
        <f aca="false">2_Matriz_decision!B240</f>
        <v>23.84</v>
      </c>
      <c r="C240" s="21" t="n">
        <f aca="false">SQRT(SUMXMY2(5_Ponderada!C243:Q243,5_Ponderada!$C$6:$Q$6))</f>
        <v>0.0164195860918074</v>
      </c>
      <c r="D240" s="21" t="n">
        <f aca="false">SQRT(SUMXMY2(5_Ponderada!C243:Q243,5_Ponderada!$C$7:$Q$7))</f>
        <v>0.0123343543452112</v>
      </c>
      <c r="E240" s="21" t="n">
        <f aca="false">D240/(C240+D240)</f>
        <v>0.428962227706768</v>
      </c>
      <c r="F240" s="15" t="n">
        <f aca="false">MIN(5,INT(E240/0.2)+1)</f>
        <v>3</v>
      </c>
      <c r="G240" s="21" t="n">
        <v>0.428962227706768</v>
      </c>
      <c r="H240" s="28" t="n">
        <f aca="false">ABS(E240-G240)</f>
        <v>0</v>
      </c>
      <c r="I240" s="15" t="n">
        <v>3</v>
      </c>
      <c r="J240" s="21" t="n">
        <f aca="false">(SUMPRODUCT(2_Matriz_decision!C240:Q240,5_Ponderada!$C$5:$Q$5)-1)/4</f>
        <v>0.452580412707331</v>
      </c>
      <c r="K240" s="15" t="n">
        <f aca="false">MIN(5,INT(J240/0.2)+1)</f>
        <v>3</v>
      </c>
      <c r="L240" s="21" t="n">
        <v>0.452580412707331</v>
      </c>
    </row>
    <row r="241" customFormat="false" ht="15" hidden="false" customHeight="false" outlineLevel="0" collapsed="false">
      <c r="A241" s="15" t="n">
        <f aca="false">2_Matriz_decision!A241</f>
        <v>237</v>
      </c>
      <c r="B241" s="16" t="n">
        <f aca="false">2_Matriz_decision!B241</f>
        <v>23.941</v>
      </c>
      <c r="C241" s="21" t="n">
        <f aca="false">SQRT(SUMXMY2(5_Ponderada!C244:Q244,5_Ponderada!$C$6:$Q$6))</f>
        <v>0.0164208156238899</v>
      </c>
      <c r="D241" s="21" t="n">
        <f aca="false">SQRT(SUMXMY2(5_Ponderada!C244:Q244,5_Ponderada!$C$7:$Q$7))</f>
        <v>0.0123342544843347</v>
      </c>
      <c r="E241" s="21" t="n">
        <f aca="false">D241/(C241+D241)</f>
        <v>0.428941902694469</v>
      </c>
      <c r="F241" s="15" t="n">
        <f aca="false">MIN(5,INT(E241/0.2)+1)</f>
        <v>3</v>
      </c>
      <c r="G241" s="21" t="n">
        <v>0.428941902694468</v>
      </c>
      <c r="H241" s="28" t="n">
        <f aca="false">ABS(E241-G241)</f>
        <v>0</v>
      </c>
      <c r="I241" s="15" t="n">
        <v>3</v>
      </c>
      <c r="J241" s="21" t="n">
        <f aca="false">(SUMPRODUCT(2_Matriz_decision!C241:Q241,5_Ponderada!$C$5:$Q$5)-1)/4</f>
        <v>0.451739342268994</v>
      </c>
      <c r="K241" s="15" t="n">
        <f aca="false">MIN(5,INT(J241/0.2)+1)</f>
        <v>3</v>
      </c>
      <c r="L241" s="21" t="n">
        <v>0.451739342268994</v>
      </c>
    </row>
    <row r="242" customFormat="false" ht="15" hidden="false" customHeight="false" outlineLevel="0" collapsed="false">
      <c r="A242" s="15" t="n">
        <f aca="false">2_Matriz_decision!A242</f>
        <v>238</v>
      </c>
      <c r="B242" s="16" t="n">
        <f aca="false">2_Matriz_decision!B242</f>
        <v>24.041</v>
      </c>
      <c r="C242" s="21" t="n">
        <f aca="false">SQRT(SUMXMY2(5_Ponderada!C245:Q245,5_Ponderada!$C$6:$Q$6))</f>
        <v>0.0159175460113808</v>
      </c>
      <c r="D242" s="21" t="n">
        <f aca="false">SQRT(SUMXMY2(5_Ponderada!C245:Q245,5_Ponderada!$C$7:$Q$7))</f>
        <v>0.0124301269602434</v>
      </c>
      <c r="E242" s="21" t="n">
        <f aca="false">D242/(C242+D242)</f>
        <v>0.438488442161932</v>
      </c>
      <c r="F242" s="15" t="n">
        <f aca="false">MIN(5,INT(E242/0.2)+1)</f>
        <v>3</v>
      </c>
      <c r="G242" s="21" t="n">
        <v>0.438488442161932</v>
      </c>
      <c r="H242" s="28" t="n">
        <f aca="false">ABS(E242-G242)</f>
        <v>0</v>
      </c>
      <c r="I242" s="15" t="n">
        <v>3</v>
      </c>
      <c r="J242" s="21" t="n">
        <f aca="false">(SUMPRODUCT(2_Matriz_decision!C242:Q242,5_Ponderada!$C$5:$Q$5)-1)/4</f>
        <v>0.487919628094446</v>
      </c>
      <c r="K242" s="15" t="n">
        <f aca="false">MIN(5,INT(J242/0.2)+1)</f>
        <v>3</v>
      </c>
      <c r="L242" s="21" t="n">
        <v>0.487919628094446</v>
      </c>
    </row>
    <row r="243" customFormat="false" ht="15" hidden="false" customHeight="false" outlineLevel="0" collapsed="false">
      <c r="A243" s="15" t="n">
        <f aca="false">2_Matriz_decision!A243</f>
        <v>239</v>
      </c>
      <c r="B243" s="16" t="n">
        <f aca="false">2_Matriz_decision!B243</f>
        <v>24.141</v>
      </c>
      <c r="C243" s="21" t="n">
        <f aca="false">SQRT(SUMXMY2(5_Ponderada!C246:Q246,5_Ponderada!$C$6:$Q$6))</f>
        <v>0.0159218564643955</v>
      </c>
      <c r="D243" s="21" t="n">
        <f aca="false">SQRT(SUMXMY2(5_Ponderada!C246:Q246,5_Ponderada!$C$7:$Q$7))</f>
        <v>0.0124129484072318</v>
      </c>
      <c r="E243" s="21" t="n">
        <f aca="false">D243/(C243+D243)</f>
        <v>0.438081308957993</v>
      </c>
      <c r="F243" s="15" t="n">
        <f aca="false">MIN(5,INT(E243/0.2)+1)</f>
        <v>3</v>
      </c>
      <c r="G243" s="21" t="n">
        <v>0.438081308957993</v>
      </c>
      <c r="H243" s="28" t="n">
        <f aca="false">ABS(E243-G243)</f>
        <v>0</v>
      </c>
      <c r="I243" s="15" t="n">
        <v>3</v>
      </c>
      <c r="J243" s="21" t="n">
        <f aca="false">(SUMPRODUCT(2_Matriz_decision!C243:Q243,5_Ponderada!$C$5:$Q$5)-1)/4</f>
        <v>0.486517879381929</v>
      </c>
      <c r="K243" s="15" t="n">
        <f aca="false">MIN(5,INT(J243/0.2)+1)</f>
        <v>3</v>
      </c>
      <c r="L243" s="21" t="n">
        <v>0.48651787938193</v>
      </c>
    </row>
    <row r="244" customFormat="false" ht="15" hidden="false" customHeight="false" outlineLevel="0" collapsed="false">
      <c r="A244" s="15" t="n">
        <f aca="false">2_Matriz_decision!A244</f>
        <v>240</v>
      </c>
      <c r="B244" s="16" t="n">
        <f aca="false">2_Matriz_decision!B244</f>
        <v>24.241</v>
      </c>
      <c r="C244" s="21" t="n">
        <f aca="false">SQRT(SUMXMY2(5_Ponderada!C247:Q247,5_Ponderada!$C$6:$Q$6))</f>
        <v>0.015934943970087</v>
      </c>
      <c r="D244" s="21" t="n">
        <f aca="false">SQRT(SUMXMY2(5_Ponderada!C247:Q247,5_Ponderada!$C$7:$Q$7))</f>
        <v>0.0123905563731484</v>
      </c>
      <c r="E244" s="21" t="n">
        <f aca="false">D244/(C244+D244)</f>
        <v>0.437434686872441</v>
      </c>
      <c r="F244" s="15" t="n">
        <f aca="false">MIN(5,INT(E244/0.2)+1)</f>
        <v>3</v>
      </c>
      <c r="G244" s="21" t="n">
        <v>0.437434686872441</v>
      </c>
      <c r="H244" s="28" t="n">
        <f aca="false">ABS(E244-G244)</f>
        <v>0</v>
      </c>
      <c r="I244" s="15" t="n">
        <v>3</v>
      </c>
      <c r="J244" s="21" t="n">
        <f aca="false">(SUMPRODUCT(2_Matriz_decision!C244:Q244,5_Ponderada!$C$5:$Q$5)-1)/4</f>
        <v>0.484356853998061</v>
      </c>
      <c r="K244" s="15" t="n">
        <f aca="false">MIN(5,INT(J244/0.2)+1)</f>
        <v>3</v>
      </c>
      <c r="L244" s="21" t="n">
        <v>0.484356853998061</v>
      </c>
    </row>
    <row r="245" customFormat="false" ht="15" hidden="false" customHeight="false" outlineLevel="0" collapsed="false">
      <c r="A245" s="15" t="n">
        <f aca="false">2_Matriz_decision!A245</f>
        <v>241</v>
      </c>
      <c r="B245" s="16" t="n">
        <f aca="false">2_Matriz_decision!B245</f>
        <v>24.347</v>
      </c>
      <c r="C245" s="21" t="n">
        <f aca="false">SQRT(SUMXMY2(5_Ponderada!C248:Q248,5_Ponderada!$C$6:$Q$6))</f>
        <v>0.0196232142580429</v>
      </c>
      <c r="D245" s="21" t="n">
        <f aca="false">SQRT(SUMXMY2(5_Ponderada!C248:Q248,5_Ponderada!$C$7:$Q$7))</f>
        <v>0.004730901733262</v>
      </c>
      <c r="E245" s="21" t="n">
        <f aca="false">D245/(C245+D245)</f>
        <v>0.194254709756292</v>
      </c>
      <c r="F245" s="15" t="n">
        <f aca="false">MIN(5,INT(E245/0.2)+1)</f>
        <v>1</v>
      </c>
      <c r="G245" s="21" t="n">
        <v>0.194254709756292</v>
      </c>
      <c r="H245" s="28" t="n">
        <f aca="false">ABS(E245-G245)</f>
        <v>0</v>
      </c>
      <c r="I245" s="15" t="n">
        <v>1</v>
      </c>
      <c r="J245" s="21" t="n">
        <f aca="false">(SUMPRODUCT(2_Matriz_decision!C245:Q245,5_Ponderada!$C$5:$Q$5)-1)/4</f>
        <v>0.266805631235117</v>
      </c>
      <c r="K245" s="15" t="n">
        <f aca="false">MIN(5,INT(J245/0.2)+1)</f>
        <v>2</v>
      </c>
      <c r="L245" s="21" t="n">
        <v>0.266805631235118</v>
      </c>
    </row>
    <row r="246" customFormat="false" ht="15" hidden="false" customHeight="false" outlineLevel="0" collapsed="false">
      <c r="A246" s="15" t="n">
        <f aca="false">2_Matriz_decision!A246</f>
        <v>242</v>
      </c>
      <c r="B246" s="16" t="n">
        <f aca="false">2_Matriz_decision!B246</f>
        <v>24.447</v>
      </c>
      <c r="C246" s="21" t="n">
        <f aca="false">SQRT(SUMXMY2(5_Ponderada!C249:Q249,5_Ponderada!$C$6:$Q$6))</f>
        <v>0.0159434248839428</v>
      </c>
      <c r="D246" s="21" t="n">
        <f aca="false">SQRT(SUMXMY2(5_Ponderada!C249:Q249,5_Ponderada!$C$7:$Q$7))</f>
        <v>0.012379639828718</v>
      </c>
      <c r="E246" s="21" t="n">
        <f aca="false">D246/(C246+D246)</f>
        <v>0.437086874401134</v>
      </c>
      <c r="F246" s="15" t="n">
        <f aca="false">MIN(5,INT(E246/0.2)+1)</f>
        <v>3</v>
      </c>
      <c r="G246" s="21" t="n">
        <v>0.437086874401134</v>
      </c>
      <c r="H246" s="28" t="n">
        <f aca="false">ABS(E246-G246)</f>
        <v>0</v>
      </c>
      <c r="I246" s="15" t="n">
        <v>3</v>
      </c>
      <c r="J246" s="21" t="n">
        <f aca="false">(SUMPRODUCT(2_Matriz_decision!C246:Q246,5_Ponderada!$C$5:$Q$5)-1)/4</f>
        <v>0.481275021131697</v>
      </c>
      <c r="K246" s="15" t="n">
        <f aca="false">MIN(5,INT(J246/0.2)+1)</f>
        <v>3</v>
      </c>
      <c r="L246" s="21" t="n">
        <v>0.481275021131697</v>
      </c>
    </row>
    <row r="247" customFormat="false" ht="15" hidden="false" customHeight="false" outlineLevel="0" collapsed="false">
      <c r="A247" s="15" t="n">
        <f aca="false">2_Matriz_decision!A247</f>
        <v>243</v>
      </c>
      <c r="B247" s="16" t="n">
        <f aca="false">2_Matriz_decision!B247</f>
        <v>24.547</v>
      </c>
      <c r="C247" s="21" t="n">
        <f aca="false">SQRT(SUMXMY2(5_Ponderada!C250:Q250,5_Ponderada!$C$6:$Q$6))</f>
        <v>0.0159515113863804</v>
      </c>
      <c r="D247" s="21" t="n">
        <f aca="false">SQRT(SUMXMY2(5_Ponderada!C250:Q250,5_Ponderada!$C$7:$Q$7))</f>
        <v>0.0123696107309399</v>
      </c>
      <c r="E247" s="21" t="n">
        <f aca="false">D247/(C247+D247)</f>
        <v>0.436762734177649</v>
      </c>
      <c r="F247" s="15" t="n">
        <f aca="false">MIN(5,INT(E247/0.2)+1)</f>
        <v>3</v>
      </c>
      <c r="G247" s="21" t="n">
        <v>0.436762734177649</v>
      </c>
      <c r="H247" s="28" t="n">
        <f aca="false">ABS(E247-G247)</f>
        <v>0</v>
      </c>
      <c r="I247" s="15" t="n">
        <v>3</v>
      </c>
      <c r="J247" s="21" t="n">
        <f aca="false">(SUMPRODUCT(2_Matriz_decision!C247:Q247,5_Ponderada!$C$5:$Q$5)-1)/4</f>
        <v>0.477232209482513</v>
      </c>
      <c r="K247" s="15" t="n">
        <f aca="false">MIN(5,INT(J247/0.2)+1)</f>
        <v>3</v>
      </c>
      <c r="L247" s="21" t="n">
        <v>0.477232209482514</v>
      </c>
    </row>
    <row r="248" customFormat="false" ht="15" hidden="false" customHeight="false" outlineLevel="0" collapsed="false">
      <c r="A248" s="15" t="n">
        <f aca="false">2_Matriz_decision!A248</f>
        <v>244</v>
      </c>
      <c r="B248" s="16" t="n">
        <f aca="false">2_Matriz_decision!B248</f>
        <v>24.646</v>
      </c>
      <c r="C248" s="21" t="n">
        <f aca="false">SQRT(SUMXMY2(5_Ponderada!C251:Q251,5_Ponderada!$C$6:$Q$6))</f>
        <v>0.0159461494535107</v>
      </c>
      <c r="D248" s="21" t="n">
        <f aca="false">SQRT(SUMXMY2(5_Ponderada!C251:Q251,5_Ponderada!$C$7:$Q$7))</f>
        <v>0.0123749551473584</v>
      </c>
      <c r="E248" s="21" t="n">
        <f aca="false">D248/(C248+D248)</f>
        <v>0.436951712221656</v>
      </c>
      <c r="F248" s="15" t="n">
        <f aca="false">MIN(5,INT(E248/0.2)+1)</f>
        <v>3</v>
      </c>
      <c r="G248" s="21" t="n">
        <v>0.436951712221656</v>
      </c>
      <c r="H248" s="28" t="n">
        <f aca="false">ABS(E248-G248)</f>
        <v>0</v>
      </c>
      <c r="I248" s="15" t="n">
        <v>3</v>
      </c>
      <c r="J248" s="21" t="n">
        <f aca="false">(SUMPRODUCT(2_Matriz_decision!C248:Q248,5_Ponderada!$C$5:$Q$5)-1)/4</f>
        <v>0.478951135591443</v>
      </c>
      <c r="K248" s="15" t="n">
        <f aca="false">MIN(5,INT(J248/0.2)+1)</f>
        <v>3</v>
      </c>
      <c r="L248" s="21" t="n">
        <v>0.478951135591443</v>
      </c>
    </row>
    <row r="249" customFormat="false" ht="15" hidden="false" customHeight="false" outlineLevel="0" collapsed="false">
      <c r="A249" s="15" t="n">
        <f aca="false">2_Matriz_decision!A249</f>
        <v>245</v>
      </c>
      <c r="B249" s="16" t="n">
        <f aca="false">2_Matriz_decision!B249</f>
        <v>24.745</v>
      </c>
      <c r="C249" s="21" t="n">
        <f aca="false">SQRT(SUMXMY2(5_Ponderada!C252:Q252,5_Ponderada!$C$6:$Q$6))</f>
        <v>0.0159383252361948</v>
      </c>
      <c r="D249" s="21" t="n">
        <f aca="false">SQRT(SUMXMY2(5_Ponderada!C252:Q252,5_Ponderada!$C$7:$Q$7))</f>
        <v>0.0123841823979765</v>
      </c>
      <c r="E249" s="21" t="n">
        <f aca="false">D249/(C249+D249)</f>
        <v>0.43725585876566</v>
      </c>
      <c r="F249" s="15" t="n">
        <f aca="false">MIN(5,INT(E249/0.2)+1)</f>
        <v>3</v>
      </c>
      <c r="G249" s="21" t="n">
        <v>0.437255858765659</v>
      </c>
      <c r="H249" s="28" t="n">
        <f aca="false">ABS(E249-G249)</f>
        <v>0</v>
      </c>
      <c r="I249" s="15" t="n">
        <v>3</v>
      </c>
      <c r="J249" s="21" t="n">
        <f aca="false">(SUMPRODUCT(2_Matriz_decision!C249:Q249,5_Ponderada!$C$5:$Q$5)-1)/4</f>
        <v>0.481663000659166</v>
      </c>
      <c r="K249" s="15" t="n">
        <f aca="false">MIN(5,INT(J249/0.2)+1)</f>
        <v>3</v>
      </c>
      <c r="L249" s="21" t="n">
        <v>0.481663000659166</v>
      </c>
    </row>
    <row r="250" customFormat="false" ht="15" hidden="false" customHeight="false" outlineLevel="0" collapsed="false">
      <c r="A250" s="15" t="n">
        <f aca="false">2_Matriz_decision!A250</f>
        <v>246</v>
      </c>
      <c r="B250" s="16" t="n">
        <f aca="false">2_Matriz_decision!B250</f>
        <v>24.844</v>
      </c>
      <c r="C250" s="21" t="n">
        <f aca="false">SQRT(SUMXMY2(5_Ponderada!C253:Q253,5_Ponderada!$C$6:$Q$6))</f>
        <v>0.0159319215333352</v>
      </c>
      <c r="D250" s="21" t="n">
        <f aca="false">SQRT(SUMXMY2(5_Ponderada!C253:Q253,5_Ponderada!$C$7:$Q$7))</f>
        <v>0.0123937740271552</v>
      </c>
      <c r="E250" s="21" t="n">
        <f aca="false">D250/(C250+D250)</f>
        <v>0.437545267006344</v>
      </c>
      <c r="F250" s="15" t="n">
        <f aca="false">MIN(5,INT(E250/0.2)+1)</f>
        <v>3</v>
      </c>
      <c r="G250" s="21" t="n">
        <v>0.437545267006343</v>
      </c>
      <c r="H250" s="28" t="n">
        <f aca="false">ABS(E250-G250)</f>
        <v>0</v>
      </c>
      <c r="I250" s="15" t="n">
        <v>3</v>
      </c>
      <c r="J250" s="21" t="n">
        <f aca="false">(SUMPRODUCT(2_Matriz_decision!C250:Q250,5_Ponderada!$C$5:$Q$5)-1)/4</f>
        <v>0.48455157113938</v>
      </c>
      <c r="K250" s="15" t="n">
        <f aca="false">MIN(5,INT(J250/0.2)+1)</f>
        <v>3</v>
      </c>
      <c r="L250" s="21" t="n">
        <v>0.484551571139381</v>
      </c>
    </row>
    <row r="251" customFormat="false" ht="15" hidden="false" customHeight="false" outlineLevel="0" collapsed="false">
      <c r="A251" s="15" t="n">
        <f aca="false">2_Matriz_decision!A251</f>
        <v>247</v>
      </c>
      <c r="B251" s="16" t="n">
        <f aca="false">2_Matriz_decision!B251</f>
        <v>24.944</v>
      </c>
      <c r="C251" s="21" t="n">
        <f aca="false">SQRT(SUMXMY2(5_Ponderada!C254:Q254,5_Ponderada!$C$6:$Q$6))</f>
        <v>0.0155639917948267</v>
      </c>
      <c r="D251" s="21" t="n">
        <f aca="false">SQRT(SUMXMY2(5_Ponderada!C254:Q254,5_Ponderada!$C$7:$Q$7))</f>
        <v>0.0126720860438174</v>
      </c>
      <c r="E251" s="21" t="n">
        <f aca="false">D251/(C251+D251)</f>
        <v>0.44879059040113</v>
      </c>
      <c r="F251" s="15" t="n">
        <f aca="false">MIN(5,INT(E251/0.2)+1)</f>
        <v>3</v>
      </c>
      <c r="G251" s="21" t="n">
        <v>0.44879059040113</v>
      </c>
      <c r="H251" s="28" t="n">
        <f aca="false">ABS(E251-G251)</f>
        <v>0</v>
      </c>
      <c r="I251" s="15" t="n">
        <v>3</v>
      </c>
      <c r="J251" s="21" t="n">
        <f aca="false">(SUMPRODUCT(2_Matriz_decision!C251:Q251,5_Ponderada!$C$5:$Q$5)-1)/4</f>
        <v>0.518863009415304</v>
      </c>
      <c r="K251" s="15" t="n">
        <f aca="false">MIN(5,INT(J251/0.2)+1)</f>
        <v>3</v>
      </c>
      <c r="L251" s="21" t="n">
        <v>0.518863009415304</v>
      </c>
    </row>
    <row r="252" customFormat="false" ht="15" hidden="false" customHeight="false" outlineLevel="0" collapsed="false">
      <c r="A252" s="15" t="n">
        <f aca="false">2_Matriz_decision!A252</f>
        <v>248</v>
      </c>
      <c r="B252" s="16" t="n">
        <f aca="false">2_Matriz_decision!B252</f>
        <v>25.043</v>
      </c>
      <c r="C252" s="21" t="n">
        <f aca="false">SQRT(SUMXMY2(5_Ponderada!C255:Q255,5_Ponderada!$C$6:$Q$6))</f>
        <v>0.0193061543998392</v>
      </c>
      <c r="D252" s="21" t="n">
        <f aca="false">SQRT(SUMXMY2(5_Ponderada!C255:Q255,5_Ponderada!$C$7:$Q$7))</f>
        <v>0.00549939939459669</v>
      </c>
      <c r="E252" s="21" t="n">
        <f aca="false">D252/(C252+D252)</f>
        <v>0.221700327280347</v>
      </c>
      <c r="F252" s="15" t="n">
        <f aca="false">MIN(5,INT(E252/0.2)+1)</f>
        <v>2</v>
      </c>
      <c r="G252" s="21" t="n">
        <v>0.221700327280347</v>
      </c>
      <c r="H252" s="28" t="n">
        <f aca="false">ABS(E252-G252)</f>
        <v>0</v>
      </c>
      <c r="I252" s="15" t="n">
        <v>2</v>
      </c>
      <c r="J252" s="21" t="n">
        <f aca="false">(SUMPRODUCT(2_Matriz_decision!C252:Q252,5_Ponderada!$C$5:$Q$5)-1)/4</f>
        <v>0.30932192107718</v>
      </c>
      <c r="K252" s="15" t="n">
        <f aca="false">MIN(5,INT(J252/0.2)+1)</f>
        <v>2</v>
      </c>
      <c r="L252" s="21" t="n">
        <v>0.309321921077181</v>
      </c>
    </row>
    <row r="253" customFormat="false" ht="15" hidden="false" customHeight="false" outlineLevel="0" collapsed="false">
      <c r="A253" s="15" t="n">
        <f aca="false">2_Matriz_decision!A253</f>
        <v>249</v>
      </c>
      <c r="B253" s="16" t="n">
        <f aca="false">2_Matriz_decision!B253</f>
        <v>25.143</v>
      </c>
      <c r="C253" s="21" t="n">
        <f aca="false">SQRT(SUMXMY2(5_Ponderada!C256:Q256,5_Ponderada!$C$6:$Q$6))</f>
        <v>0.0193383286696214</v>
      </c>
      <c r="D253" s="21" t="n">
        <f aca="false">SQRT(SUMXMY2(5_Ponderada!C256:Q256,5_Ponderada!$C$7:$Q$7))</f>
        <v>0.00538809232528373</v>
      </c>
      <c r="E253" s="21" t="n">
        <f aca="false">D253/(C253+D253)</f>
        <v>0.217908298430814</v>
      </c>
      <c r="F253" s="15" t="n">
        <f aca="false">MIN(5,INT(E253/0.2)+1)</f>
        <v>2</v>
      </c>
      <c r="G253" s="21" t="n">
        <v>0.217908298430814</v>
      </c>
      <c r="H253" s="28" t="n">
        <f aca="false">ABS(E253-G253)</f>
        <v>0</v>
      </c>
      <c r="I253" s="15" t="n">
        <v>2</v>
      </c>
      <c r="J253" s="21" t="n">
        <f aca="false">(SUMPRODUCT(2_Matriz_decision!C253:Q253,5_Ponderada!$C$5:$Q$5)-1)/4</f>
        <v>0.297371859131301</v>
      </c>
      <c r="K253" s="15" t="n">
        <f aca="false">MIN(5,INT(J253/0.2)+1)</f>
        <v>2</v>
      </c>
      <c r="L253" s="21" t="n">
        <v>0.297371859131301</v>
      </c>
    </row>
    <row r="254" customFormat="false" ht="15" hidden="false" customHeight="false" outlineLevel="0" collapsed="false">
      <c r="A254" s="15" t="n">
        <f aca="false">2_Matriz_decision!A254</f>
        <v>250</v>
      </c>
      <c r="B254" s="16" t="n">
        <f aca="false">2_Matriz_decision!B254</f>
        <v>25.244</v>
      </c>
      <c r="C254" s="21" t="n">
        <f aca="false">SQRT(SUMXMY2(5_Ponderada!C257:Q257,5_Ponderada!$C$6:$Q$6))</f>
        <v>0.0165939462559952</v>
      </c>
      <c r="D254" s="21" t="n">
        <f aca="false">SQRT(SUMXMY2(5_Ponderada!C257:Q257,5_Ponderada!$C$7:$Q$7))</f>
        <v>0.00787781465453872</v>
      </c>
      <c r="E254" s="21" t="n">
        <f aca="false">D254/(C254+D254)</f>
        <v>0.321914499056245</v>
      </c>
      <c r="F254" s="15" t="n">
        <f aca="false">MIN(5,INT(E254/0.2)+1)</f>
        <v>2</v>
      </c>
      <c r="G254" s="21" t="n">
        <v>0.321914499056245</v>
      </c>
      <c r="H254" s="28" t="n">
        <f aca="false">ABS(E254-G254)</f>
        <v>0</v>
      </c>
      <c r="I254" s="15" t="n">
        <v>2</v>
      </c>
      <c r="J254" s="21" t="n">
        <f aca="false">(SUMPRODUCT(2_Matriz_decision!C254:Q254,5_Ponderada!$C$5:$Q$5)-1)/4</f>
        <v>0.40802638059608</v>
      </c>
      <c r="K254" s="15" t="n">
        <f aca="false">MIN(5,INT(J254/0.2)+1)</f>
        <v>3</v>
      </c>
      <c r="L254" s="21" t="n">
        <v>0.408026380596081</v>
      </c>
    </row>
    <row r="255" customFormat="false" ht="15" hidden="false" customHeight="false" outlineLevel="0" collapsed="false">
      <c r="A255" s="15" t="n">
        <f aca="false">2_Matriz_decision!A255</f>
        <v>251</v>
      </c>
      <c r="B255" s="16" t="n">
        <f aca="false">2_Matriz_decision!B255</f>
        <v>25.346</v>
      </c>
      <c r="C255" s="21" t="n">
        <f aca="false">SQRT(SUMXMY2(5_Ponderada!C258:Q258,5_Ponderada!$C$6:$Q$6))</f>
        <v>0.0155560804053938</v>
      </c>
      <c r="D255" s="21" t="n">
        <f aca="false">SQRT(SUMXMY2(5_Ponderada!C258:Q258,5_Ponderada!$C$7:$Q$7))</f>
        <v>0.0126876835120489</v>
      </c>
      <c r="E255" s="21" t="n">
        <f aca="false">D255/(C255+D255)</f>
        <v>0.449220704051179</v>
      </c>
      <c r="F255" s="15" t="n">
        <f aca="false">MIN(5,INT(E255/0.2)+1)</f>
        <v>3</v>
      </c>
      <c r="G255" s="21" t="n">
        <v>0.449220704051179</v>
      </c>
      <c r="H255" s="28" t="n">
        <f aca="false">ABS(E255-G255)</f>
        <v>0</v>
      </c>
      <c r="I255" s="15" t="n">
        <v>3</v>
      </c>
      <c r="J255" s="21" t="n">
        <f aca="false">(SUMPRODUCT(2_Matriz_decision!C255:Q255,5_Ponderada!$C$5:$Q$5)-1)/4</f>
        <v>0.519439968761298</v>
      </c>
      <c r="K255" s="15" t="n">
        <f aca="false">MIN(5,INT(J255/0.2)+1)</f>
        <v>3</v>
      </c>
      <c r="L255" s="21" t="n">
        <v>0.519439968761299</v>
      </c>
    </row>
    <row r="256" customFormat="false" ht="15" hidden="false" customHeight="false" outlineLevel="0" collapsed="false">
      <c r="A256" s="15" t="n">
        <f aca="false">2_Matriz_decision!A256</f>
        <v>252</v>
      </c>
      <c r="B256" s="16" t="n">
        <f aca="false">2_Matriz_decision!B256</f>
        <v>25.448</v>
      </c>
      <c r="C256" s="21" t="n">
        <f aca="false">SQRT(SUMXMY2(5_Ponderada!C259:Q259,5_Ponderada!$C$6:$Q$6))</f>
        <v>0.0155889854512055</v>
      </c>
      <c r="D256" s="21" t="n">
        <f aca="false">SQRT(SUMXMY2(5_Ponderada!C259:Q259,5_Ponderada!$C$7:$Q$7))</f>
        <v>0.0126472338731181</v>
      </c>
      <c r="E256" s="21" t="n">
        <f aca="false">D256/(C256+D256)</f>
        <v>0.447908189402091</v>
      </c>
      <c r="F256" s="15" t="n">
        <f aca="false">MIN(5,INT(E256/0.2)+1)</f>
        <v>3</v>
      </c>
      <c r="G256" s="21" t="n">
        <v>0.447908189402091</v>
      </c>
      <c r="H256" s="28" t="n">
        <f aca="false">ABS(E256-G256)</f>
        <v>0</v>
      </c>
      <c r="I256" s="15" t="n">
        <v>3</v>
      </c>
      <c r="J256" s="21" t="n">
        <f aca="false">(SUMPRODUCT(2_Matriz_decision!C256:Q256,5_Ponderada!$C$5:$Q$5)-1)/4</f>
        <v>0.512753867604914</v>
      </c>
      <c r="K256" s="15" t="n">
        <f aca="false">MIN(5,INT(J256/0.2)+1)</f>
        <v>3</v>
      </c>
      <c r="L256" s="21" t="n">
        <v>0.512753867604914</v>
      </c>
    </row>
    <row r="257" customFormat="false" ht="15" hidden="false" customHeight="false" outlineLevel="0" collapsed="false">
      <c r="A257" s="15" t="n">
        <f aca="false">2_Matriz_decision!A257</f>
        <v>253</v>
      </c>
      <c r="B257" s="16" t="n">
        <f aca="false">2_Matriz_decision!B257</f>
        <v>25.55</v>
      </c>
      <c r="C257" s="21" t="n">
        <f aca="false">SQRT(SUMXMY2(5_Ponderada!C260:Q260,5_Ponderada!$C$6:$Q$6))</f>
        <v>0.0193807127069044</v>
      </c>
      <c r="D257" s="21" t="n">
        <f aca="false">SQRT(SUMXMY2(5_Ponderada!C260:Q260,5_Ponderada!$C$7:$Q$7))</f>
        <v>0.00535533256603601</v>
      </c>
      <c r="E257" s="21" t="n">
        <f aca="false">D257/(C257+D257)</f>
        <v>0.216499141513716</v>
      </c>
      <c r="F257" s="15" t="n">
        <f aca="false">MIN(5,INT(E257/0.2)+1)</f>
        <v>2</v>
      </c>
      <c r="G257" s="21" t="n">
        <v>0.216499141513716</v>
      </c>
      <c r="H257" s="28" t="n">
        <f aca="false">ABS(E257-G257)</f>
        <v>0</v>
      </c>
      <c r="I257" s="15" t="n">
        <v>2</v>
      </c>
      <c r="J257" s="21" t="n">
        <f aca="false">(SUMPRODUCT(2_Matriz_decision!C257:Q257,5_Ponderada!$C$5:$Q$5)-1)/4</f>
        <v>0.289244377587636</v>
      </c>
      <c r="K257" s="15" t="n">
        <f aca="false">MIN(5,INT(J257/0.2)+1)</f>
        <v>2</v>
      </c>
      <c r="L257" s="21" t="n">
        <v>0.289244377587637</v>
      </c>
    </row>
    <row r="258" customFormat="false" ht="15" hidden="false" customHeight="false" outlineLevel="0" collapsed="false">
      <c r="A258" s="15" t="n">
        <f aca="false">2_Matriz_decision!A258</f>
        <v>254</v>
      </c>
      <c r="B258" s="16" t="n">
        <f aca="false">2_Matriz_decision!B258</f>
        <v>25.652</v>
      </c>
      <c r="C258" s="21" t="n">
        <f aca="false">SQRT(SUMXMY2(5_Ponderada!C261:Q261,5_Ponderada!$C$6:$Q$6))</f>
        <v>0.0158651049039156</v>
      </c>
      <c r="D258" s="21" t="n">
        <f aca="false">SQRT(SUMXMY2(5_Ponderada!C261:Q261,5_Ponderada!$C$7:$Q$7))</f>
        <v>0.0101219760091013</v>
      </c>
      <c r="E258" s="21" t="n">
        <f aca="false">D258/(C258+D258)</f>
        <v>0.389500307594425</v>
      </c>
      <c r="F258" s="15" t="n">
        <f aca="false">MIN(5,INT(E258/0.2)+1)</f>
        <v>2</v>
      </c>
      <c r="G258" s="21" t="n">
        <v>0.389500307594425</v>
      </c>
      <c r="H258" s="28" t="n">
        <f aca="false">ABS(E258-G258)</f>
        <v>0</v>
      </c>
      <c r="I258" s="15" t="n">
        <v>2</v>
      </c>
      <c r="J258" s="21" t="n">
        <f aca="false">(SUMPRODUCT(2_Matriz_decision!C258:Q258,5_Ponderada!$C$5:$Q$5)-1)/4</f>
        <v>0.45520706344153</v>
      </c>
      <c r="K258" s="15" t="n">
        <f aca="false">MIN(5,INT(J258/0.2)+1)</f>
        <v>3</v>
      </c>
      <c r="L258" s="21" t="n">
        <v>0.45520706344153</v>
      </c>
    </row>
    <row r="259" customFormat="false" ht="15" hidden="false" customHeight="false" outlineLevel="0" collapsed="false">
      <c r="A259" s="15" t="n">
        <f aca="false">2_Matriz_decision!A259</f>
        <v>255</v>
      </c>
      <c r="B259" s="16" t="n">
        <f aca="false">2_Matriz_decision!B259</f>
        <v>25.754</v>
      </c>
      <c r="C259" s="21" t="n">
        <f aca="false">SQRT(SUMXMY2(5_Ponderada!C262:Q262,5_Ponderada!$C$6:$Q$6))</f>
        <v>0.0158451964152518</v>
      </c>
      <c r="D259" s="21" t="n">
        <f aca="false">SQRT(SUMXMY2(5_Ponderada!C262:Q262,5_Ponderada!$C$7:$Q$7))</f>
        <v>0.0101370687183682</v>
      </c>
      <c r="E259" s="21" t="n">
        <f aca="false">D259/(C259+D259)</f>
        <v>0.390153386020654</v>
      </c>
      <c r="F259" s="15" t="n">
        <f aca="false">MIN(5,INT(E259/0.2)+1)</f>
        <v>2</v>
      </c>
      <c r="G259" s="21" t="n">
        <v>0.390153386020654</v>
      </c>
      <c r="H259" s="28" t="n">
        <f aca="false">ABS(E259-G259)</f>
        <v>0</v>
      </c>
      <c r="I259" s="15" t="n">
        <v>2</v>
      </c>
      <c r="J259" s="21" t="n">
        <f aca="false">(SUMPRODUCT(2_Matriz_decision!C259:Q259,5_Ponderada!$C$5:$Q$5)-1)/4</f>
        <v>0.459356042095867</v>
      </c>
      <c r="K259" s="15" t="n">
        <f aca="false">MIN(5,INT(J259/0.2)+1)</f>
        <v>3</v>
      </c>
      <c r="L259" s="21" t="n">
        <v>0.459356042095868</v>
      </c>
    </row>
    <row r="260" customFormat="false" ht="15" hidden="false" customHeight="false" outlineLevel="0" collapsed="false">
      <c r="A260" s="15" t="n">
        <f aca="false">2_Matriz_decision!A260</f>
        <v>256</v>
      </c>
      <c r="B260" s="16" t="n">
        <f aca="false">2_Matriz_decision!B260</f>
        <v>25.854</v>
      </c>
      <c r="C260" s="21" t="n">
        <f aca="false">SQRT(SUMXMY2(5_Ponderada!C263:Q263,5_Ponderada!$C$6:$Q$6))</f>
        <v>0.0153415364458747</v>
      </c>
      <c r="D260" s="21" t="n">
        <f aca="false">SQRT(SUMXMY2(5_Ponderada!C263:Q263,5_Ponderada!$C$7:$Q$7))</f>
        <v>0.0131167432596043</v>
      </c>
      <c r="E260" s="21" t="n">
        <f aca="false">D260/(C260+D260)</f>
        <v>0.460911319846187</v>
      </c>
      <c r="F260" s="15" t="n">
        <f aca="false">MIN(5,INT(E260/0.2)+1)</f>
        <v>3</v>
      </c>
      <c r="G260" s="21" t="n">
        <v>0.460911319846187</v>
      </c>
      <c r="H260" s="28" t="n">
        <f aca="false">ABS(E260-G260)</f>
        <v>0</v>
      </c>
      <c r="I260" s="15" t="n">
        <v>3</v>
      </c>
      <c r="J260" s="21" t="n">
        <f aca="false">(SUMPRODUCT(2_Matriz_decision!C260:Q260,5_Ponderada!$C$5:$Q$5)-1)/4</f>
        <v>0.550005268624011</v>
      </c>
      <c r="K260" s="15" t="n">
        <f aca="false">MIN(5,INT(J260/0.2)+1)</f>
        <v>3</v>
      </c>
      <c r="L260" s="21" t="n">
        <v>0.550005268624011</v>
      </c>
    </row>
    <row r="261" customFormat="false" ht="15" hidden="false" customHeight="false" outlineLevel="0" collapsed="false">
      <c r="A261" s="15" t="n">
        <f aca="false">2_Matriz_decision!A261</f>
        <v>257</v>
      </c>
      <c r="B261" s="16" t="n">
        <f aca="false">2_Matriz_decision!B261</f>
        <v>25.954</v>
      </c>
      <c r="C261" s="21" t="n">
        <f aca="false">SQRT(SUMXMY2(5_Ponderada!C264:Q264,5_Ponderada!$C$6:$Q$6))</f>
        <v>0.0153491405256501</v>
      </c>
      <c r="D261" s="21" t="n">
        <f aca="false">SQRT(SUMXMY2(5_Ponderada!C264:Q264,5_Ponderada!$C$7:$Q$7))</f>
        <v>0.0131069665233924</v>
      </c>
      <c r="E261" s="21" t="n">
        <f aca="false">D261/(C261+D261)</f>
        <v>0.460602938441414</v>
      </c>
      <c r="F261" s="15" t="n">
        <f aca="false">MIN(5,INT(E261/0.2)+1)</f>
        <v>3</v>
      </c>
      <c r="G261" s="21" t="n">
        <v>0.460602938441413</v>
      </c>
      <c r="H261" s="28" t="n">
        <f aca="false">ABS(E261-G261)</f>
        <v>0</v>
      </c>
      <c r="I261" s="15" t="n">
        <v>3</v>
      </c>
      <c r="J261" s="21" t="n">
        <f aca="false">(SUMPRODUCT(2_Matriz_decision!C261:Q261,5_Ponderada!$C$5:$Q$5)-1)/4</f>
        <v>0.548366847785769</v>
      </c>
      <c r="K261" s="15" t="n">
        <f aca="false">MIN(5,INT(J261/0.2)+1)</f>
        <v>3</v>
      </c>
      <c r="L261" s="21" t="n">
        <v>0.548366847785769</v>
      </c>
    </row>
    <row r="262" customFormat="false" ht="15" hidden="false" customHeight="false" outlineLevel="0" collapsed="false">
      <c r="A262" s="15" t="n">
        <f aca="false">2_Matriz_decision!A262</f>
        <v>258</v>
      </c>
      <c r="B262" s="16" t="n">
        <f aca="false">2_Matriz_decision!B262</f>
        <v>26.053</v>
      </c>
      <c r="C262" s="21" t="n">
        <f aca="false">SQRT(SUMXMY2(5_Ponderada!C265:Q265,5_Ponderada!$C$6:$Q$6))</f>
        <v>0.0153708229650556</v>
      </c>
      <c r="D262" s="21" t="n">
        <f aca="false">SQRT(SUMXMY2(5_Ponderada!C265:Q265,5_Ponderada!$C$7:$Q$7))</f>
        <v>0.0130500017028001</v>
      </c>
      <c r="E262" s="21" t="n">
        <f aca="false">D262/(C262+D262)</f>
        <v>0.45917040956098</v>
      </c>
      <c r="F262" s="15" t="n">
        <f aca="false">MIN(5,INT(E262/0.2)+1)</f>
        <v>3</v>
      </c>
      <c r="G262" s="21" t="n">
        <v>0.45917040956098</v>
      </c>
      <c r="H262" s="28" t="n">
        <f aca="false">ABS(E262-G262)</f>
        <v>0</v>
      </c>
      <c r="I262" s="15" t="n">
        <v>3</v>
      </c>
      <c r="J262" s="21" t="n">
        <f aca="false">(SUMPRODUCT(2_Matriz_decision!C262:Q262,5_Ponderada!$C$5:$Q$5)-1)/4</f>
        <v>0.535098052253982</v>
      </c>
      <c r="K262" s="15" t="n">
        <f aca="false">MIN(5,INT(J262/0.2)+1)</f>
        <v>3</v>
      </c>
      <c r="L262" s="21" t="n">
        <v>0.535098052253982</v>
      </c>
    </row>
    <row r="263" customFormat="false" ht="15" hidden="false" customHeight="false" outlineLevel="0" collapsed="false">
      <c r="A263" s="15" t="n">
        <f aca="false">2_Matriz_decision!A263</f>
        <v>259</v>
      </c>
      <c r="B263" s="16" t="n">
        <f aca="false">2_Matriz_decision!B263</f>
        <v>26.151</v>
      </c>
      <c r="C263" s="21" t="n">
        <f aca="false">SQRT(SUMXMY2(5_Ponderada!C266:Q266,5_Ponderada!$C$6:$Q$6))</f>
        <v>0.0156352047514269</v>
      </c>
      <c r="D263" s="21" t="n">
        <f aca="false">SQRT(SUMXMY2(5_Ponderada!C266:Q266,5_Ponderada!$C$7:$Q$7))</f>
        <v>0.0106854567177256</v>
      </c>
      <c r="E263" s="21" t="n">
        <f aca="false">D263/(C263+D263)</f>
        <v>0.405972195275139</v>
      </c>
      <c r="F263" s="15" t="n">
        <f aca="false">MIN(5,INT(E263/0.2)+1)</f>
        <v>3</v>
      </c>
      <c r="G263" s="21" t="n">
        <v>0.405972195275139</v>
      </c>
      <c r="H263" s="28" t="n">
        <f aca="false">ABS(E263-G263)</f>
        <v>0</v>
      </c>
      <c r="I263" s="15" t="n">
        <v>3</v>
      </c>
      <c r="J263" s="21" t="n">
        <f aca="false">(SUMPRODUCT(2_Matriz_decision!C263:Q263,5_Ponderada!$C$5:$Q$5)-1)/4</f>
        <v>0.491058454453739</v>
      </c>
      <c r="K263" s="15" t="n">
        <f aca="false">MIN(5,INT(J263/0.2)+1)</f>
        <v>3</v>
      </c>
      <c r="L263" s="21" t="n">
        <v>0.49105845445374</v>
      </c>
    </row>
    <row r="264" customFormat="false" ht="15" hidden="false" customHeight="false" outlineLevel="0" collapsed="false">
      <c r="A264" s="15" t="n">
        <f aca="false">2_Matriz_decision!A264</f>
        <v>260</v>
      </c>
      <c r="B264" s="16" t="n">
        <f aca="false">2_Matriz_decision!B264</f>
        <v>26.249</v>
      </c>
      <c r="C264" s="21" t="n">
        <f aca="false">SQRT(SUMXMY2(5_Ponderada!C267:Q267,5_Ponderada!$C$6:$Q$6))</f>
        <v>0.0192027384570427</v>
      </c>
      <c r="D264" s="21" t="n">
        <f aca="false">SQRT(SUMXMY2(5_Ponderada!C267:Q267,5_Ponderada!$C$7:$Q$7))</f>
        <v>0.00634146418628389</v>
      </c>
      <c r="E264" s="21" t="n">
        <f aca="false">D264/(C264+D264)</f>
        <v>0.248254536453131</v>
      </c>
      <c r="F264" s="15" t="n">
        <f aca="false">MIN(5,INT(E264/0.2)+1)</f>
        <v>2</v>
      </c>
      <c r="G264" s="21" t="n">
        <v>0.248254536453131</v>
      </c>
      <c r="H264" s="28" t="n">
        <f aca="false">ABS(E264-G264)</f>
        <v>0</v>
      </c>
      <c r="I264" s="15" t="n">
        <v>2</v>
      </c>
      <c r="J264" s="21" t="n">
        <f aca="false">(SUMPRODUCT(2_Matriz_decision!C264:Q264,5_Ponderada!$C$5:$Q$5)-1)/4</f>
        <v>0.321644695312426</v>
      </c>
      <c r="K264" s="15" t="n">
        <f aca="false">MIN(5,INT(J264/0.2)+1)</f>
        <v>2</v>
      </c>
      <c r="L264" s="21" t="n">
        <v>0.321644695312427</v>
      </c>
    </row>
    <row r="265" customFormat="false" ht="15" hidden="false" customHeight="false" outlineLevel="0" collapsed="false">
      <c r="A265" s="15" t="n">
        <f aca="false">2_Matriz_decision!A265</f>
        <v>261</v>
      </c>
      <c r="B265" s="16" t="n">
        <f aca="false">2_Matriz_decision!B265</f>
        <v>26.348</v>
      </c>
      <c r="C265" s="21" t="n">
        <f aca="false">SQRT(SUMXMY2(5_Ponderada!C268:Q268,5_Ponderada!$C$6:$Q$6))</f>
        <v>0.0192056892460355</v>
      </c>
      <c r="D265" s="21" t="n">
        <f aca="false">SQRT(SUMXMY2(5_Ponderada!C268:Q268,5_Ponderada!$C$7:$Q$7))</f>
        <v>0.00634088618338661</v>
      </c>
      <c r="E265" s="21" t="n">
        <f aca="false">D265/(C265+D265)</f>
        <v>0.248208852920607</v>
      </c>
      <c r="F265" s="15" t="n">
        <f aca="false">MIN(5,INT(E265/0.2)+1)</f>
        <v>2</v>
      </c>
      <c r="G265" s="21" t="n">
        <v>0.248208852920607</v>
      </c>
      <c r="H265" s="28" t="n">
        <f aca="false">ABS(E265-G265)</f>
        <v>0</v>
      </c>
      <c r="I265" s="15" t="n">
        <v>2</v>
      </c>
      <c r="J265" s="21" t="n">
        <f aca="false">(SUMPRODUCT(2_Matriz_decision!C265:Q265,5_Ponderada!$C$5:$Q$5)-1)/4</f>
        <v>0.321082242669193</v>
      </c>
      <c r="K265" s="15" t="n">
        <f aca="false">MIN(5,INT(J265/0.2)+1)</f>
        <v>2</v>
      </c>
      <c r="L265" s="21" t="n">
        <v>0.321082242669194</v>
      </c>
    </row>
    <row r="266" customFormat="false" ht="15" hidden="false" customHeight="false" outlineLevel="0" collapsed="false">
      <c r="A266" s="15" t="n">
        <f aca="false">2_Matriz_decision!A266</f>
        <v>262</v>
      </c>
      <c r="B266" s="16" t="n">
        <f aca="false">2_Matriz_decision!B266</f>
        <v>26.446</v>
      </c>
      <c r="C266" s="21" t="n">
        <f aca="false">SQRT(SUMXMY2(5_Ponderada!C269:Q269,5_Ponderada!$C$6:$Q$6))</f>
        <v>0.0191381019645589</v>
      </c>
      <c r="D266" s="21" t="n">
        <f aca="false">SQRT(SUMXMY2(5_Ponderada!C269:Q269,5_Ponderada!$C$7:$Q$7))</f>
        <v>0.00750980696934126</v>
      </c>
      <c r="E266" s="21" t="n">
        <f aca="false">D266/(C266+D266)</f>
        <v>0.281815994942389</v>
      </c>
      <c r="F266" s="15" t="n">
        <f aca="false">MIN(5,INT(E266/0.2)+1)</f>
        <v>2</v>
      </c>
      <c r="G266" s="21" t="n">
        <v>0.281815994942389</v>
      </c>
      <c r="H266" s="28" t="n">
        <f aca="false">ABS(E266-G266)</f>
        <v>0</v>
      </c>
      <c r="I266" s="15" t="n">
        <v>2</v>
      </c>
      <c r="J266" s="21" t="n">
        <f aca="false">(SUMPRODUCT(2_Matriz_decision!C266:Q266,5_Ponderada!$C$5:$Q$5)-1)/4</f>
        <v>0.35639209709182</v>
      </c>
      <c r="K266" s="15" t="n">
        <f aca="false">MIN(5,INT(J266/0.2)+1)</f>
        <v>2</v>
      </c>
      <c r="L266" s="21" t="n">
        <v>0.35639209709182</v>
      </c>
    </row>
    <row r="267" customFormat="false" ht="15" hidden="false" customHeight="false" outlineLevel="0" collapsed="false">
      <c r="A267" s="15" t="n">
        <f aca="false">2_Matriz_decision!A267</f>
        <v>263</v>
      </c>
      <c r="B267" s="16" t="n">
        <f aca="false">2_Matriz_decision!B267</f>
        <v>26.545</v>
      </c>
      <c r="C267" s="21" t="n">
        <f aca="false">SQRT(SUMXMY2(5_Ponderada!C270:Q270,5_Ponderada!$C$6:$Q$6))</f>
        <v>0.0136474312873714</v>
      </c>
      <c r="D267" s="21" t="n">
        <f aca="false">SQRT(SUMXMY2(5_Ponderada!C270:Q270,5_Ponderada!$C$7:$Q$7))</f>
        <v>0.0117742820854998</v>
      </c>
      <c r="E267" s="21" t="n">
        <f aca="false">D267/(C267+D267)</f>
        <v>0.463158478455064</v>
      </c>
      <c r="F267" s="15" t="n">
        <f aca="false">MIN(5,INT(E267/0.2)+1)</f>
        <v>3</v>
      </c>
      <c r="G267" s="21" t="n">
        <v>0.463158478455064</v>
      </c>
      <c r="H267" s="28" t="n">
        <f aca="false">ABS(E267-G267)</f>
        <v>0</v>
      </c>
      <c r="I267" s="15" t="n">
        <v>3</v>
      </c>
      <c r="J267" s="21" t="n">
        <f aca="false">(SUMPRODUCT(2_Matriz_decision!C267:Q267,5_Ponderada!$C$5:$Q$5)-1)/4</f>
        <v>0.57718240810612</v>
      </c>
      <c r="K267" s="15" t="n">
        <f aca="false">MIN(5,INT(J267/0.2)+1)</f>
        <v>3</v>
      </c>
      <c r="L267" s="21" t="n">
        <v>0.577182408106121</v>
      </c>
    </row>
    <row r="268" customFormat="false" ht="15" hidden="false" customHeight="false" outlineLevel="0" collapsed="false">
      <c r="A268" s="15" t="n">
        <f aca="false">2_Matriz_decision!A268</f>
        <v>264</v>
      </c>
      <c r="B268" s="16" t="n">
        <f aca="false">2_Matriz_decision!B268</f>
        <v>26.644</v>
      </c>
      <c r="C268" s="21" t="n">
        <f aca="false">SQRT(SUMXMY2(5_Ponderada!C271:Q271,5_Ponderada!$C$6:$Q$6))</f>
        <v>0.0191164843376062</v>
      </c>
      <c r="D268" s="21" t="n">
        <f aca="false">SQRT(SUMXMY2(5_Ponderada!C271:Q271,5_Ponderada!$C$7:$Q$7))</f>
        <v>0.00751748259385854</v>
      </c>
      <c r="E268" s="21" t="n">
        <f aca="false">D268/(C268+D268)</f>
        <v>0.282251705620974</v>
      </c>
      <c r="F268" s="15" t="n">
        <f aca="false">MIN(5,INT(E268/0.2)+1)</f>
        <v>2</v>
      </c>
      <c r="G268" s="21" t="n">
        <v>0.282251705620974</v>
      </c>
      <c r="H268" s="28" t="n">
        <f aca="false">ABS(E268-G268)</f>
        <v>0</v>
      </c>
      <c r="I268" s="15" t="n">
        <v>2</v>
      </c>
      <c r="J268" s="21" t="n">
        <f aca="false">(SUMPRODUCT(2_Matriz_decision!C268:Q268,5_Ponderada!$C$5:$Q$5)-1)/4</f>
        <v>0.360340445708143</v>
      </c>
      <c r="K268" s="15" t="n">
        <f aca="false">MIN(5,INT(J268/0.2)+1)</f>
        <v>2</v>
      </c>
      <c r="L268" s="21" t="n">
        <v>0.360340445708144</v>
      </c>
    </row>
    <row r="269" customFormat="false" ht="15" hidden="false" customHeight="false" outlineLevel="0" collapsed="false">
      <c r="A269" s="15" t="n">
        <f aca="false">2_Matriz_decision!A269</f>
        <v>265</v>
      </c>
      <c r="B269" s="16" t="n">
        <f aca="false">2_Matriz_decision!B269</f>
        <v>26.743</v>
      </c>
      <c r="C269" s="21" t="n">
        <f aca="false">SQRT(SUMXMY2(5_Ponderada!C272:Q272,5_Ponderada!$C$6:$Q$6))</f>
        <v>0.0191352711538693</v>
      </c>
      <c r="D269" s="21" t="n">
        <f aca="false">SQRT(SUMXMY2(5_Ponderada!C272:Q272,5_Ponderada!$C$7:$Q$7))</f>
        <v>0.00750624897950644</v>
      </c>
      <c r="E269" s="21" t="n">
        <f aca="false">D269/(C269+D269)</f>
        <v>0.281750025596431</v>
      </c>
      <c r="F269" s="15" t="n">
        <f aca="false">MIN(5,INT(E269/0.2)+1)</f>
        <v>2</v>
      </c>
      <c r="G269" s="21" t="n">
        <v>0.281750025596431</v>
      </c>
      <c r="H269" s="28" t="n">
        <f aca="false">ABS(E269-G269)</f>
        <v>0</v>
      </c>
      <c r="I269" s="15" t="n">
        <v>2</v>
      </c>
      <c r="J269" s="21" t="n">
        <f aca="false">(SUMPRODUCT(2_Matriz_decision!C269:Q269,5_Ponderada!$C$5:$Q$5)-1)/4</f>
        <v>0.355781610308614</v>
      </c>
      <c r="K269" s="15" t="n">
        <f aca="false">MIN(5,INT(J269/0.2)+1)</f>
        <v>2</v>
      </c>
      <c r="L269" s="21" t="n">
        <v>0.355781610308615</v>
      </c>
    </row>
    <row r="270" customFormat="false" ht="15" hidden="false" customHeight="false" outlineLevel="0" collapsed="false">
      <c r="A270" s="15" t="n">
        <f aca="false">2_Matriz_decision!A270</f>
        <v>266</v>
      </c>
      <c r="B270" s="16" t="n">
        <f aca="false">2_Matriz_decision!B270</f>
        <v>26.84</v>
      </c>
      <c r="C270" s="21" t="n">
        <f aca="false">SQRT(SUMXMY2(5_Ponderada!C273:Q273,5_Ponderada!$C$6:$Q$6))</f>
        <v>0.0153317909007363</v>
      </c>
      <c r="D270" s="21" t="n">
        <f aca="false">SQRT(SUMXMY2(5_Ponderada!C273:Q273,5_Ponderada!$C$7:$Q$7))</f>
        <v>0.0136835099467135</v>
      </c>
      <c r="E270" s="21" t="n">
        <f aca="false">D270/(C270+D270)</f>
        <v>0.471596349066157</v>
      </c>
      <c r="F270" s="15" t="n">
        <f aca="false">MIN(5,INT(E270/0.2)+1)</f>
        <v>3</v>
      </c>
      <c r="G270" s="21" t="n">
        <v>0.471596349066157</v>
      </c>
      <c r="H270" s="28" t="n">
        <f aca="false">ABS(E270-G270)</f>
        <v>0</v>
      </c>
      <c r="I270" s="15" t="n">
        <v>3</v>
      </c>
      <c r="J270" s="21" t="n">
        <f aca="false">(SUMPRODUCT(2_Matriz_decision!C270:Q270,5_Ponderada!$C$5:$Q$5)-1)/4</f>
        <v>0.571707272840048</v>
      </c>
      <c r="K270" s="15" t="n">
        <f aca="false">MIN(5,INT(J270/0.2)+1)</f>
        <v>3</v>
      </c>
      <c r="L270" s="21" t="n">
        <v>0.571707272840048</v>
      </c>
    </row>
    <row r="271" customFormat="false" ht="15" hidden="false" customHeight="false" outlineLevel="0" collapsed="false">
      <c r="A271" s="15" t="n">
        <f aca="false">2_Matriz_decision!A271</f>
        <v>267</v>
      </c>
      <c r="B271" s="16" t="n">
        <f aca="false">2_Matriz_decision!B271</f>
        <v>26.936</v>
      </c>
      <c r="C271" s="21" t="n">
        <f aca="false">SQRT(SUMXMY2(5_Ponderada!C274:Q274,5_Ponderada!$C$6:$Q$6))</f>
        <v>0.0190931894551855</v>
      </c>
      <c r="D271" s="21" t="n">
        <f aca="false">SQRT(SUMXMY2(5_Ponderada!C274:Q274,5_Ponderada!$C$7:$Q$7))</f>
        <v>0.00754027417732083</v>
      </c>
      <c r="E271" s="21" t="n">
        <f aca="false">D271/(C271+D271)</f>
        <v>0.283112789285051</v>
      </c>
      <c r="F271" s="15" t="n">
        <f aca="false">MIN(5,INT(E271/0.2)+1)</f>
        <v>2</v>
      </c>
      <c r="G271" s="21" t="n">
        <v>0.283112789285051</v>
      </c>
      <c r="H271" s="28" t="n">
        <f aca="false">ABS(E271-G271)</f>
        <v>0</v>
      </c>
      <c r="I271" s="15" t="n">
        <v>2</v>
      </c>
      <c r="J271" s="21" t="n">
        <f aca="false">(SUMPRODUCT(2_Matriz_decision!C271:Q271,5_Ponderada!$C$5:$Q$5)-1)/4</f>
        <v>0.365657378925697</v>
      </c>
      <c r="K271" s="15" t="n">
        <f aca="false">MIN(5,INT(J271/0.2)+1)</f>
        <v>2</v>
      </c>
      <c r="L271" s="21" t="n">
        <v>0.365657378925697</v>
      </c>
    </row>
    <row r="272" customFormat="false" ht="15" hidden="false" customHeight="false" outlineLevel="0" collapsed="false">
      <c r="A272" s="15" t="n">
        <f aca="false">2_Matriz_decision!A272</f>
        <v>268</v>
      </c>
      <c r="B272" s="16" t="n">
        <f aca="false">2_Matriz_decision!B272</f>
        <v>27.031</v>
      </c>
      <c r="C272" s="21" t="n">
        <f aca="false">SQRT(SUMXMY2(5_Ponderada!C275:Q275,5_Ponderada!$C$6:$Q$6))</f>
        <v>0.0153081780919528</v>
      </c>
      <c r="D272" s="21" t="n">
        <f aca="false">SQRT(SUMXMY2(5_Ponderada!C275:Q275,5_Ponderada!$C$7:$Q$7))</f>
        <v>0.0136906015216754</v>
      </c>
      <c r="E272" s="21" t="n">
        <f aca="false">D272/(C272+D272)</f>
        <v>0.472109575095408</v>
      </c>
      <c r="F272" s="15" t="n">
        <f aca="false">MIN(5,INT(E272/0.2)+1)</f>
        <v>3</v>
      </c>
      <c r="G272" s="21" t="n">
        <v>0.472109575095408</v>
      </c>
      <c r="H272" s="28" t="n">
        <f aca="false">ABS(E272-G272)</f>
        <v>0</v>
      </c>
      <c r="I272" s="15" t="n">
        <v>3</v>
      </c>
      <c r="J272" s="21" t="n">
        <f aca="false">(SUMPRODUCT(2_Matriz_decision!C272:Q272,5_Ponderada!$C$5:$Q$5)-1)/4</f>
        <v>0.576098626545892</v>
      </c>
      <c r="K272" s="15" t="n">
        <f aca="false">MIN(5,INT(J272/0.2)+1)</f>
        <v>3</v>
      </c>
      <c r="L272" s="21" t="n">
        <v>0.576098626545892</v>
      </c>
    </row>
    <row r="273" customFormat="false" ht="15" hidden="false" customHeight="false" outlineLevel="0" collapsed="false">
      <c r="A273" s="15" t="n">
        <f aca="false">2_Matriz_decision!A273</f>
        <v>269</v>
      </c>
      <c r="B273" s="16" t="n">
        <f aca="false">2_Matriz_decision!B273</f>
        <v>27.124</v>
      </c>
      <c r="C273" s="21" t="n">
        <f aca="false">SQRT(SUMXMY2(5_Ponderada!C276:Q276,5_Ponderada!$C$6:$Q$6))</f>
        <v>0.019089235068718</v>
      </c>
      <c r="D273" s="21" t="n">
        <f aca="false">SQRT(SUMXMY2(5_Ponderada!C276:Q276,5_Ponderada!$C$7:$Q$7))</f>
        <v>0.007546293068729</v>
      </c>
      <c r="E273" s="21" t="n">
        <f aca="false">D273/(C273+D273)</f>
        <v>0.283316817665035</v>
      </c>
      <c r="F273" s="15" t="n">
        <f aca="false">MIN(5,INT(E273/0.2)+1)</f>
        <v>2</v>
      </c>
      <c r="G273" s="21" t="n">
        <v>0.283316817665035</v>
      </c>
      <c r="H273" s="28" t="n">
        <f aca="false">ABS(E273-G273)</f>
        <v>0</v>
      </c>
      <c r="I273" s="15" t="n">
        <v>2</v>
      </c>
      <c r="J273" s="21" t="n">
        <f aca="false">(SUMPRODUCT(2_Matriz_decision!C273:Q273,5_Ponderada!$C$5:$Q$5)-1)/4</f>
        <v>0.366679594287994</v>
      </c>
      <c r="K273" s="15" t="n">
        <f aca="false">MIN(5,INT(J273/0.2)+1)</f>
        <v>2</v>
      </c>
      <c r="L273" s="21" t="n">
        <v>0.366679594287994</v>
      </c>
    </row>
    <row r="274" customFormat="false" ht="15" hidden="false" customHeight="false" outlineLevel="0" collapsed="false">
      <c r="A274" s="15" t="n">
        <f aca="false">2_Matriz_decision!A274</f>
        <v>270</v>
      </c>
      <c r="B274" s="16" t="n">
        <f aca="false">2_Matriz_decision!B274</f>
        <v>27.218</v>
      </c>
      <c r="C274" s="21" t="n">
        <f aca="false">SQRT(SUMXMY2(5_Ponderada!C277:Q277,5_Ponderada!$C$6:$Q$6))</f>
        <v>0.0136563617000265</v>
      </c>
      <c r="D274" s="21" t="n">
        <f aca="false">SQRT(SUMXMY2(5_Ponderada!C277:Q277,5_Ponderada!$C$7:$Q$7))</f>
        <v>0.0117627774982749</v>
      </c>
      <c r="E274" s="21" t="n">
        <f aca="false">D274/(C274+D274)</f>
        <v>0.462752786650656</v>
      </c>
      <c r="F274" s="15" t="n">
        <f aca="false">MIN(5,INT(E274/0.2)+1)</f>
        <v>3</v>
      </c>
      <c r="G274" s="21" t="n">
        <v>0.462752786650656</v>
      </c>
      <c r="H274" s="28" t="n">
        <f aca="false">ABS(E274-G274)</f>
        <v>0</v>
      </c>
      <c r="I274" s="15" t="n">
        <v>3</v>
      </c>
      <c r="J274" s="21" t="n">
        <f aca="false">(SUMPRODUCT(2_Matriz_decision!C274:Q274,5_Ponderada!$C$5:$Q$5)-1)/4</f>
        <v>0.572878021508246</v>
      </c>
      <c r="K274" s="15" t="n">
        <f aca="false">MIN(5,INT(J274/0.2)+1)</f>
        <v>3</v>
      </c>
      <c r="L274" s="21" t="n">
        <v>0.572878021508247</v>
      </c>
    </row>
    <row r="275" customFormat="false" ht="15" hidden="false" customHeight="false" outlineLevel="0" collapsed="false">
      <c r="A275" s="15" t="n">
        <f aca="false">2_Matriz_decision!A275</f>
        <v>271</v>
      </c>
      <c r="B275" s="16" t="n">
        <f aca="false">2_Matriz_decision!B275</f>
        <v>27.311</v>
      </c>
      <c r="C275" s="21" t="n">
        <f aca="false">SQRT(SUMXMY2(5_Ponderada!C278:Q278,5_Ponderada!$C$6:$Q$6))</f>
        <v>0.0158770495794471</v>
      </c>
      <c r="D275" s="21" t="n">
        <f aca="false">SQRT(SUMXMY2(5_Ponderada!C278:Q278,5_Ponderada!$C$7:$Q$7))</f>
        <v>0.00853462004273866</v>
      </c>
      <c r="E275" s="21" t="n">
        <f aca="false">D275/(C275+D275)</f>
        <v>0.349612303247879</v>
      </c>
      <c r="F275" s="15" t="n">
        <f aca="false">MIN(5,INT(E275/0.2)+1)</f>
        <v>2</v>
      </c>
      <c r="G275" s="21" t="n">
        <v>0.349612303247879</v>
      </c>
      <c r="H275" s="28" t="n">
        <f aca="false">ABS(E275-G275)</f>
        <v>0</v>
      </c>
      <c r="I275" s="15" t="n">
        <v>2</v>
      </c>
      <c r="J275" s="21" t="n">
        <f aca="false">(SUMPRODUCT(2_Matriz_decision!C275:Q275,5_Ponderada!$C$5:$Q$5)-1)/4</f>
        <v>0.464558280480542</v>
      </c>
      <c r="K275" s="15" t="n">
        <f aca="false">MIN(5,INT(J275/0.2)+1)</f>
        <v>3</v>
      </c>
      <c r="L275" s="21" t="n">
        <v>0.464558280480542</v>
      </c>
    </row>
    <row r="276" customFormat="false" ht="15" hidden="false" customHeight="false" outlineLevel="0" collapsed="false">
      <c r="A276" s="15" t="n">
        <f aca="false">2_Matriz_decision!A276</f>
        <v>272</v>
      </c>
      <c r="B276" s="16" t="n">
        <f aca="false">2_Matriz_decision!B276</f>
        <v>27.404</v>
      </c>
      <c r="C276" s="21" t="n">
        <f aca="false">SQRT(SUMXMY2(5_Ponderada!C279:Q279,5_Ponderada!$C$6:$Q$6))</f>
        <v>0.0164714127987108</v>
      </c>
      <c r="D276" s="21" t="n">
        <f aca="false">SQRT(SUMXMY2(5_Ponderada!C279:Q279,5_Ponderada!$C$7:$Q$7))</f>
        <v>0.00937725244460916</v>
      </c>
      <c r="E276" s="21" t="n">
        <f aca="false">D276/(C276+D276)</f>
        <v>0.362775112615632</v>
      </c>
      <c r="F276" s="15" t="n">
        <f aca="false">MIN(5,INT(E276/0.2)+1)</f>
        <v>2</v>
      </c>
      <c r="G276" s="21" t="n">
        <v>0.362775112615632</v>
      </c>
      <c r="H276" s="28" t="n">
        <f aca="false">ABS(E276-G276)</f>
        <v>0</v>
      </c>
      <c r="I276" s="15" t="n">
        <v>2</v>
      </c>
      <c r="J276" s="21" t="n">
        <f aca="false">(SUMPRODUCT(2_Matriz_decision!C276:Q276,5_Ponderada!$C$5:$Q$5)-1)/4</f>
        <v>0.450452730507246</v>
      </c>
      <c r="K276" s="15" t="n">
        <f aca="false">MIN(5,INT(J276/0.2)+1)</f>
        <v>3</v>
      </c>
      <c r="L276" s="21" t="n">
        <v>0.450452730507246</v>
      </c>
    </row>
    <row r="277" customFormat="false" ht="15" hidden="false" customHeight="false" outlineLevel="0" collapsed="false">
      <c r="A277" s="15" t="n">
        <f aca="false">2_Matriz_decision!A277</f>
        <v>273</v>
      </c>
      <c r="B277" s="16" t="n">
        <f aca="false">2_Matriz_decision!B277</f>
        <v>27.498</v>
      </c>
      <c r="C277" s="21" t="n">
        <f aca="false">SQRT(SUMXMY2(5_Ponderada!C280:Q280,5_Ponderada!$C$6:$Q$6))</f>
        <v>0.0164722324729201</v>
      </c>
      <c r="D277" s="21" t="n">
        <f aca="false">SQRT(SUMXMY2(5_Ponderada!C280:Q280,5_Ponderada!$C$7:$Q$7))</f>
        <v>0.00937638426331279</v>
      </c>
      <c r="E277" s="21" t="n">
        <f aca="false">D277/(C277+D277)</f>
        <v>0.36274220624617</v>
      </c>
      <c r="F277" s="15" t="n">
        <f aca="false">MIN(5,INT(E277/0.2)+1)</f>
        <v>2</v>
      </c>
      <c r="G277" s="21" t="n">
        <v>0.36274220624617</v>
      </c>
      <c r="H277" s="28" t="n">
        <f aca="false">ABS(E277-G277)</f>
        <v>0</v>
      </c>
      <c r="I277" s="15" t="n">
        <v>2</v>
      </c>
      <c r="J277" s="21" t="n">
        <f aca="false">(SUMPRODUCT(2_Matriz_decision!C277:Q277,5_Ponderada!$C$5:$Q$5)-1)/4</f>
        <v>0.450059791198539</v>
      </c>
      <c r="K277" s="15" t="n">
        <f aca="false">MIN(5,INT(J277/0.2)+1)</f>
        <v>3</v>
      </c>
      <c r="L277" s="21" t="n">
        <v>0.45005979119854</v>
      </c>
    </row>
    <row r="278" customFormat="false" ht="15" hidden="false" customHeight="false" outlineLevel="0" collapsed="false">
      <c r="A278" s="15" t="n">
        <f aca="false">2_Matriz_decision!A278</f>
        <v>274</v>
      </c>
      <c r="B278" s="16" t="n">
        <f aca="false">2_Matriz_decision!B278</f>
        <v>27.593</v>
      </c>
      <c r="C278" s="21" t="n">
        <f aca="false">SQRT(SUMXMY2(5_Ponderada!C281:Q281,5_Ponderada!$C$6:$Q$6))</f>
        <v>0.0157254233273508</v>
      </c>
      <c r="D278" s="21" t="n">
        <f aca="false">SQRT(SUMXMY2(5_Ponderada!C281:Q281,5_Ponderada!$C$7:$Q$7))</f>
        <v>0.0113048950703208</v>
      </c>
      <c r="E278" s="21" t="n">
        <f aca="false">D278/(C278+D278)</f>
        <v>0.418230185231359</v>
      </c>
      <c r="F278" s="15" t="n">
        <f aca="false">MIN(5,INT(E278/0.2)+1)</f>
        <v>3</v>
      </c>
      <c r="G278" s="21" t="n">
        <v>0.418230185231359</v>
      </c>
      <c r="H278" s="28" t="n">
        <f aca="false">ABS(E278-G278)</f>
        <v>0</v>
      </c>
      <c r="I278" s="15" t="n">
        <v>3</v>
      </c>
      <c r="J278" s="21" t="n">
        <f aca="false">(SUMPRODUCT(2_Matriz_decision!C278:Q278,5_Ponderada!$C$5:$Q$5)-1)/4</f>
        <v>0.499679962259068</v>
      </c>
      <c r="K278" s="15" t="n">
        <f aca="false">MIN(5,INT(J278/0.2)+1)</f>
        <v>3</v>
      </c>
      <c r="L278" s="21" t="n">
        <v>0.499679962259069</v>
      </c>
    </row>
    <row r="279" customFormat="false" ht="15" hidden="false" customHeight="false" outlineLevel="0" collapsed="false">
      <c r="A279" s="15" t="n">
        <f aca="false">2_Matriz_decision!A279</f>
        <v>275</v>
      </c>
      <c r="B279" s="16" t="n">
        <f aca="false">2_Matriz_decision!B279</f>
        <v>27.691</v>
      </c>
      <c r="C279" s="21" t="n">
        <f aca="false">SQRT(SUMXMY2(5_Ponderada!C282:Q282,5_Ponderada!$C$6:$Q$6))</f>
        <v>0.0157624532325312</v>
      </c>
      <c r="D279" s="21" t="n">
        <f aca="false">SQRT(SUMXMY2(5_Ponderada!C282:Q282,5_Ponderada!$C$7:$Q$7))</f>
        <v>0.0112652435104756</v>
      </c>
      <c r="E279" s="21" t="n">
        <f aca="false">D279/(C279+D279)</f>
        <v>0.416803681704413</v>
      </c>
      <c r="F279" s="15" t="n">
        <f aca="false">MIN(5,INT(E279/0.2)+1)</f>
        <v>3</v>
      </c>
      <c r="G279" s="21" t="n">
        <v>0.416803681704413</v>
      </c>
      <c r="H279" s="28" t="n">
        <f aca="false">ABS(E279-G279)</f>
        <v>0</v>
      </c>
      <c r="I279" s="15" t="n">
        <v>3</v>
      </c>
      <c r="J279" s="21" t="n">
        <f aca="false">(SUMPRODUCT(2_Matriz_decision!C279:Q279,5_Ponderada!$C$5:$Q$5)-1)/4</f>
        <v>0.486006837333971</v>
      </c>
      <c r="K279" s="15" t="n">
        <f aca="false">MIN(5,INT(J279/0.2)+1)</f>
        <v>3</v>
      </c>
      <c r="L279" s="21" t="n">
        <v>0.486006837333972</v>
      </c>
    </row>
    <row r="280" customFormat="false" ht="15" hidden="false" customHeight="false" outlineLevel="0" collapsed="false">
      <c r="A280" s="15" t="n">
        <f aca="false">2_Matriz_decision!A280</f>
        <v>276</v>
      </c>
      <c r="B280" s="16" t="n">
        <f aca="false">2_Matriz_decision!B280</f>
        <v>27.791</v>
      </c>
      <c r="C280" s="21" t="n">
        <f aca="false">SQRT(SUMXMY2(5_Ponderada!C283:Q283,5_Ponderada!$C$6:$Q$6))</f>
        <v>0.0155416783752627</v>
      </c>
      <c r="D280" s="21" t="n">
        <f aca="false">SQRT(SUMXMY2(5_Ponderada!C283:Q283,5_Ponderada!$C$7:$Q$7))</f>
        <v>0.0134828525723924</v>
      </c>
      <c r="E280" s="21" t="n">
        <f aca="false">D280/(C280+D280)</f>
        <v>0.464533004743758</v>
      </c>
      <c r="F280" s="15" t="n">
        <f aca="false">MIN(5,INT(E280/0.2)+1)</f>
        <v>3</v>
      </c>
      <c r="G280" s="21" t="n">
        <v>0.464533004743758</v>
      </c>
      <c r="H280" s="28" t="n">
        <f aca="false">ABS(E280-G280)</f>
        <v>0</v>
      </c>
      <c r="I280" s="15" t="n">
        <v>3</v>
      </c>
      <c r="J280" s="21" t="n">
        <f aca="false">(SUMPRODUCT(2_Matriz_decision!C280:Q280,5_Ponderada!$C$5:$Q$5)-1)/4</f>
        <v>0.519806305259909</v>
      </c>
      <c r="K280" s="15" t="n">
        <f aca="false">MIN(5,INT(J280/0.2)+1)</f>
        <v>3</v>
      </c>
      <c r="L280" s="21" t="n">
        <v>0.51980630525991</v>
      </c>
    </row>
    <row r="281" customFormat="false" ht="15" hidden="false" customHeight="false" outlineLevel="0" collapsed="false">
      <c r="A281" s="15" t="n">
        <f aca="false">2_Matriz_decision!A281</f>
        <v>277</v>
      </c>
      <c r="B281" s="16" t="n">
        <f aca="false">2_Matriz_decision!B281</f>
        <v>27.894</v>
      </c>
      <c r="C281" s="21" t="n">
        <f aca="false">SQRT(SUMXMY2(5_Ponderada!C284:Q284,5_Ponderada!$C$6:$Q$6))</f>
        <v>0.0154649541734548</v>
      </c>
      <c r="D281" s="21" t="n">
        <f aca="false">SQRT(SUMXMY2(5_Ponderada!C284:Q284,5_Ponderada!$C$7:$Q$7))</f>
        <v>0.0135381695402093</v>
      </c>
      <c r="E281" s="21" t="n">
        <f aca="false">D281/(C281+D281)</f>
        <v>0.466783153217083</v>
      </c>
      <c r="F281" s="15" t="n">
        <f aca="false">MIN(5,INT(E281/0.2)+1)</f>
        <v>3</v>
      </c>
      <c r="G281" s="21" t="n">
        <v>0.466783153217083</v>
      </c>
      <c r="H281" s="28" t="n">
        <f aca="false">ABS(E281-G281)</f>
        <v>0</v>
      </c>
      <c r="I281" s="15" t="n">
        <v>3</v>
      </c>
      <c r="J281" s="21" t="n">
        <f aca="false">(SUMPRODUCT(2_Matriz_decision!C281:Q281,5_Ponderada!$C$5:$Q$5)-1)/4</f>
        <v>0.55087633163858</v>
      </c>
      <c r="K281" s="15" t="n">
        <f aca="false">MIN(5,INT(J281/0.2)+1)</f>
        <v>3</v>
      </c>
      <c r="L281" s="21" t="n">
        <v>0.550876331638581</v>
      </c>
    </row>
    <row r="282" customFormat="false" ht="15" hidden="false" customHeight="false" outlineLevel="0" collapsed="false">
      <c r="A282" s="15" t="n">
        <f aca="false">2_Matriz_decision!A282</f>
        <v>278</v>
      </c>
      <c r="B282" s="16" t="n">
        <f aca="false">2_Matriz_decision!B282</f>
        <v>27.999</v>
      </c>
      <c r="C282" s="21" t="n">
        <f aca="false">SQRT(SUMXMY2(5_Ponderada!C285:Q285,5_Ponderada!$C$6:$Q$6))</f>
        <v>0.0164725593006847</v>
      </c>
      <c r="D282" s="21" t="n">
        <f aca="false">SQRT(SUMXMY2(5_Ponderada!C285:Q285,5_Ponderada!$C$7:$Q$7))</f>
        <v>0.0094004332735391</v>
      </c>
      <c r="E282" s="21" t="n">
        <f aca="false">D282/(C282+D282)</f>
        <v>0.363329956771385</v>
      </c>
      <c r="F282" s="15" t="n">
        <f aca="false">MIN(5,INT(E282/0.2)+1)</f>
        <v>2</v>
      </c>
      <c r="G282" s="21" t="n">
        <v>0.363329956771385</v>
      </c>
      <c r="H282" s="28" t="n">
        <f aca="false">ABS(E282-G282)</f>
        <v>0</v>
      </c>
      <c r="I282" s="15" t="n">
        <v>2</v>
      </c>
      <c r="J282" s="21" t="n">
        <f aca="false">(SUMPRODUCT(2_Matriz_decision!C282:Q282,5_Ponderada!$C$5:$Q$5)-1)/4</f>
        <v>0.452771130834971</v>
      </c>
      <c r="K282" s="15" t="n">
        <f aca="false">MIN(5,INT(J282/0.2)+1)</f>
        <v>3</v>
      </c>
      <c r="L282" s="21" t="n">
        <v>0.452771130834972</v>
      </c>
    </row>
    <row r="283" customFormat="false" ht="15" hidden="false" customHeight="false" outlineLevel="0" collapsed="false">
      <c r="A283" s="15" t="n">
        <f aca="false">2_Matriz_decision!A283</f>
        <v>279</v>
      </c>
      <c r="B283" s="16" t="n">
        <f aca="false">2_Matriz_decision!B283</f>
        <v>28.108</v>
      </c>
      <c r="C283" s="21" t="n">
        <f aca="false">SQRT(SUMXMY2(5_Ponderada!C286:Q286,5_Ponderada!$C$6:$Q$6))</f>
        <v>0.0176469595100008</v>
      </c>
      <c r="D283" s="21" t="n">
        <f aca="false">SQRT(SUMXMY2(5_Ponderada!C286:Q286,5_Ponderada!$C$7:$Q$7))</f>
        <v>0.00789523174001513</v>
      </c>
      <c r="E283" s="21" t="n">
        <f aca="false">D283/(C283+D283)</f>
        <v>0.309105497752085</v>
      </c>
      <c r="F283" s="15" t="n">
        <f aca="false">MIN(5,INT(E283/0.2)+1)</f>
        <v>2</v>
      </c>
      <c r="G283" s="21" t="n">
        <v>0.309105497752085</v>
      </c>
      <c r="H283" s="28" t="n">
        <f aca="false">ABS(E283-G283)</f>
        <v>0</v>
      </c>
      <c r="I283" s="15" t="n">
        <v>2</v>
      </c>
      <c r="J283" s="21" t="n">
        <f aca="false">(SUMPRODUCT(2_Matriz_decision!C283:Q283,5_Ponderada!$C$5:$Q$5)-1)/4</f>
        <v>0.383842647367346</v>
      </c>
      <c r="K283" s="15" t="n">
        <f aca="false">MIN(5,INT(J283/0.2)+1)</f>
        <v>2</v>
      </c>
      <c r="L283" s="21" t="n">
        <v>0.383842647367347</v>
      </c>
    </row>
    <row r="284" customFormat="false" ht="15" hidden="false" customHeight="false" outlineLevel="0" collapsed="false">
      <c r="A284" s="15" t="n">
        <f aca="false">2_Matriz_decision!A284</f>
        <v>280</v>
      </c>
      <c r="B284" s="16" t="n">
        <f aca="false">2_Matriz_decision!B284</f>
        <v>28.219</v>
      </c>
      <c r="C284" s="21" t="n">
        <f aca="false">SQRT(SUMXMY2(5_Ponderada!C287:Q287,5_Ponderada!$C$6:$Q$6))</f>
        <v>0.0191207374214534</v>
      </c>
      <c r="D284" s="21" t="n">
        <f aca="false">SQRT(SUMXMY2(5_Ponderada!C287:Q287,5_Ponderada!$C$7:$Q$7))</f>
        <v>0.00743727963158008</v>
      </c>
      <c r="E284" s="21" t="n">
        <f aca="false">D284/(C284+D284)</f>
        <v>0.280038965888479</v>
      </c>
      <c r="F284" s="15" t="n">
        <f aca="false">MIN(5,INT(E284/0.2)+1)</f>
        <v>2</v>
      </c>
      <c r="G284" s="21" t="n">
        <v>0.280038965888479</v>
      </c>
      <c r="H284" s="28" t="n">
        <f aca="false">ABS(E284-G284)</f>
        <v>0</v>
      </c>
      <c r="I284" s="15" t="n">
        <v>2</v>
      </c>
      <c r="J284" s="21" t="n">
        <f aca="false">(SUMPRODUCT(2_Matriz_decision!C284:Q284,5_Ponderada!$C$5:$Q$5)-1)/4</f>
        <v>0.348935218330765</v>
      </c>
      <c r="K284" s="15" t="n">
        <f aca="false">MIN(5,INT(J284/0.2)+1)</f>
        <v>2</v>
      </c>
      <c r="L284" s="21" t="n">
        <v>0.348935218330765</v>
      </c>
    </row>
    <row r="285" customFormat="false" ht="15" hidden="false" customHeight="false" outlineLevel="0" collapsed="false">
      <c r="A285" s="15" t="n">
        <f aca="false">2_Matriz_decision!A285</f>
        <v>281</v>
      </c>
      <c r="B285" s="16" t="n">
        <f aca="false">2_Matriz_decision!B285</f>
        <v>28.331</v>
      </c>
      <c r="C285" s="21" t="n">
        <f aca="false">SQRT(SUMXMY2(5_Ponderada!C288:Q288,5_Ponderada!$C$6:$Q$6))</f>
        <v>0.0191239140480605</v>
      </c>
      <c r="D285" s="21" t="n">
        <f aca="false">SQRT(SUMXMY2(5_Ponderada!C288:Q288,5_Ponderada!$C$7:$Q$7))</f>
        <v>0.00743828877999226</v>
      </c>
      <c r="E285" s="21" t="n">
        <f aca="false">D285/(C285+D285)</f>
        <v>0.280032828155976</v>
      </c>
      <c r="F285" s="15" t="n">
        <f aca="false">MIN(5,INT(E285/0.2)+1)</f>
        <v>2</v>
      </c>
      <c r="G285" s="21" t="n">
        <v>0.280032828155976</v>
      </c>
      <c r="H285" s="28" t="n">
        <f aca="false">ABS(E285-G285)</f>
        <v>0</v>
      </c>
      <c r="I285" s="15" t="n">
        <v>2</v>
      </c>
      <c r="J285" s="21" t="n">
        <f aca="false">(SUMPRODUCT(2_Matriz_decision!C285:Q285,5_Ponderada!$C$5:$Q$5)-1)/4</f>
        <v>0.349166613924466</v>
      </c>
      <c r="K285" s="15" t="n">
        <f aca="false">MIN(5,INT(J285/0.2)+1)</f>
        <v>2</v>
      </c>
      <c r="L285" s="21" t="n">
        <v>0.349166613924467</v>
      </c>
    </row>
    <row r="286" customFormat="false" ht="15" hidden="false" customHeight="false" outlineLevel="0" collapsed="false">
      <c r="A286" s="15" t="n">
        <f aca="false">2_Matriz_decision!A286</f>
        <v>282</v>
      </c>
      <c r="B286" s="16" t="n">
        <f aca="false">2_Matriz_decision!B286</f>
        <v>28.442</v>
      </c>
      <c r="C286" s="21" t="n">
        <f aca="false">SQRT(SUMXMY2(5_Ponderada!C289:Q289,5_Ponderada!$C$6:$Q$6))</f>
        <v>0.0175950898699998</v>
      </c>
      <c r="D286" s="21" t="n">
        <f aca="false">SQRT(SUMXMY2(5_Ponderada!C289:Q289,5_Ponderada!$C$7:$Q$7))</f>
        <v>0.00797284651216236</v>
      </c>
      <c r="E286" s="21" t="n">
        <f aca="false">D286/(C286+D286)</f>
        <v>0.311829879149916</v>
      </c>
      <c r="F286" s="15" t="n">
        <f aca="false">MIN(5,INT(E286/0.2)+1)</f>
        <v>2</v>
      </c>
      <c r="G286" s="21" t="n">
        <v>0.311829879149916</v>
      </c>
      <c r="H286" s="28" t="n">
        <f aca="false">ABS(E286-G286)</f>
        <v>0</v>
      </c>
      <c r="I286" s="15" t="n">
        <v>2</v>
      </c>
      <c r="J286" s="21" t="n">
        <f aca="false">(SUMPRODUCT(2_Matriz_decision!C286:Q286,5_Ponderada!$C$5:$Q$5)-1)/4</f>
        <v>0.402580865234854</v>
      </c>
      <c r="K286" s="15" t="n">
        <f aca="false">MIN(5,INT(J286/0.2)+1)</f>
        <v>3</v>
      </c>
      <c r="L286" s="21" t="n">
        <v>0.402580865234854</v>
      </c>
    </row>
    <row r="287" customFormat="false" ht="15" hidden="false" customHeight="false" outlineLevel="0" collapsed="false">
      <c r="A287" s="15" t="n">
        <f aca="false">2_Matriz_decision!A287</f>
        <v>283</v>
      </c>
      <c r="B287" s="16" t="n">
        <f aca="false">2_Matriz_decision!B287</f>
        <v>28.552</v>
      </c>
      <c r="C287" s="21" t="n">
        <f aca="false">SQRT(SUMXMY2(5_Ponderada!C290:Q290,5_Ponderada!$C$6:$Q$6))</f>
        <v>0.0191314591907569</v>
      </c>
      <c r="D287" s="21" t="n">
        <f aca="false">SQRT(SUMXMY2(5_Ponderada!C290:Q290,5_Ponderada!$C$7:$Q$7))</f>
        <v>0.00737591528566836</v>
      </c>
      <c r="E287" s="21" t="n">
        <f aca="false">D287/(C287+D287)</f>
        <v>0.278258991369675</v>
      </c>
      <c r="F287" s="15" t="n">
        <f aca="false">MIN(5,INT(E287/0.2)+1)</f>
        <v>2</v>
      </c>
      <c r="G287" s="21" t="n">
        <v>0.278258991369675</v>
      </c>
      <c r="H287" s="28" t="n">
        <f aca="false">ABS(E287-G287)</f>
        <v>0</v>
      </c>
      <c r="I287" s="15" t="n">
        <v>2</v>
      </c>
      <c r="J287" s="21" t="n">
        <f aca="false">(SUMPRODUCT(2_Matriz_decision!C287:Q287,5_Ponderada!$C$5:$Q$5)-1)/4</f>
        <v>0.334791979935793</v>
      </c>
      <c r="K287" s="15" t="n">
        <f aca="false">MIN(5,INT(J287/0.2)+1)</f>
        <v>2</v>
      </c>
      <c r="L287" s="21" t="n">
        <v>0.334791979935793</v>
      </c>
    </row>
    <row r="288" customFormat="false" ht="15" hidden="false" customHeight="false" outlineLevel="0" collapsed="false">
      <c r="A288" s="15" t="n">
        <f aca="false">2_Matriz_decision!A288</f>
        <v>284</v>
      </c>
      <c r="B288" s="16" t="n">
        <f aca="false">2_Matriz_decision!B288</f>
        <v>28.658</v>
      </c>
      <c r="C288" s="21" t="n">
        <f aca="false">SQRT(SUMXMY2(5_Ponderada!C291:Q291,5_Ponderada!$C$6:$Q$6))</f>
        <v>0.0191338062601186</v>
      </c>
      <c r="D288" s="21" t="n">
        <f aca="false">SQRT(SUMXMY2(5_Ponderada!C291:Q291,5_Ponderada!$C$7:$Q$7))</f>
        <v>0.00737936842014971</v>
      </c>
      <c r="E288" s="21" t="n">
        <f aca="false">D288/(C288+D288)</f>
        <v>0.278328359735871</v>
      </c>
      <c r="F288" s="15" t="n">
        <f aca="false">MIN(5,INT(E288/0.2)+1)</f>
        <v>2</v>
      </c>
      <c r="G288" s="21" t="n">
        <v>0.278328359735871</v>
      </c>
      <c r="H288" s="28" t="n">
        <f aca="false">ABS(E288-G288)</f>
        <v>0</v>
      </c>
      <c r="I288" s="15" t="n">
        <v>2</v>
      </c>
      <c r="J288" s="21" t="n">
        <f aca="false">(SUMPRODUCT(2_Matriz_decision!C288:Q288,5_Ponderada!$C$5:$Q$5)-1)/4</f>
        <v>0.3377307965653</v>
      </c>
      <c r="K288" s="15" t="n">
        <f aca="false">MIN(5,INT(J288/0.2)+1)</f>
        <v>2</v>
      </c>
      <c r="L288" s="21" t="n">
        <v>0.3377307965653</v>
      </c>
    </row>
    <row r="289" customFormat="false" ht="15" hidden="false" customHeight="false" outlineLevel="0" collapsed="false">
      <c r="A289" s="15" t="n">
        <f aca="false">2_Matriz_decision!A289</f>
        <v>285</v>
      </c>
      <c r="B289" s="16" t="n">
        <f aca="false">2_Matriz_decision!B289</f>
        <v>28.761</v>
      </c>
      <c r="C289" s="21" t="n">
        <f aca="false">SQRT(SUMXMY2(5_Ponderada!C292:Q292,5_Ponderada!$C$6:$Q$6))</f>
        <v>0.0191288543471024</v>
      </c>
      <c r="D289" s="21" t="n">
        <f aca="false">SQRT(SUMXMY2(5_Ponderada!C292:Q292,5_Ponderada!$C$7:$Q$7))</f>
        <v>0.0073780089943573</v>
      </c>
      <c r="E289" s="21" t="n">
        <f aca="false">D289/(C289+D289)</f>
        <v>0.278343344488341</v>
      </c>
      <c r="F289" s="15" t="n">
        <f aca="false">MIN(5,INT(E289/0.2)+1)</f>
        <v>2</v>
      </c>
      <c r="G289" s="21" t="n">
        <v>0.278343344488341</v>
      </c>
      <c r="H289" s="28" t="n">
        <f aca="false">ABS(E289-G289)</f>
        <v>0</v>
      </c>
      <c r="I289" s="15" t="n">
        <v>2</v>
      </c>
      <c r="J289" s="21" t="n">
        <f aca="false">(SUMPRODUCT(2_Matriz_decision!C289:Q289,5_Ponderada!$C$5:$Q$5)-1)/4</f>
        <v>0.336072144605364</v>
      </c>
      <c r="K289" s="15" t="n">
        <f aca="false">MIN(5,INT(J289/0.2)+1)</f>
        <v>2</v>
      </c>
      <c r="L289" s="21" t="n">
        <v>0.336072144605364</v>
      </c>
    </row>
    <row r="290" customFormat="false" ht="15" hidden="false" customHeight="false" outlineLevel="0" collapsed="false">
      <c r="A290" s="15" t="n">
        <f aca="false">2_Matriz_decision!A290</f>
        <v>286</v>
      </c>
      <c r="B290" s="16" t="n">
        <f aca="false">2_Matriz_decision!B290</f>
        <v>28.863</v>
      </c>
      <c r="C290" s="21" t="n">
        <f aca="false">SQRT(SUMXMY2(5_Ponderada!C293:Q293,5_Ponderada!$C$6:$Q$6))</f>
        <v>0.0190960796737892</v>
      </c>
      <c r="D290" s="21" t="n">
        <f aca="false">SQRT(SUMXMY2(5_Ponderada!C293:Q293,5_Ponderada!$C$7:$Q$7))</f>
        <v>0.00746100071288192</v>
      </c>
      <c r="E290" s="21" t="n">
        <f aca="false">D290/(C290+D290)</f>
        <v>0.280942054030403</v>
      </c>
      <c r="F290" s="15" t="n">
        <f aca="false">MIN(5,INT(E290/0.2)+1)</f>
        <v>2</v>
      </c>
      <c r="G290" s="21" t="n">
        <v>0.280942054030403</v>
      </c>
      <c r="H290" s="28" t="n">
        <f aca="false">ABS(E290-G290)</f>
        <v>0</v>
      </c>
      <c r="I290" s="15" t="n">
        <v>2</v>
      </c>
      <c r="J290" s="21" t="n">
        <f aca="false">(SUMPRODUCT(2_Matriz_decision!C290:Q290,5_Ponderada!$C$5:$Q$5)-1)/4</f>
        <v>0.353090969121241</v>
      </c>
      <c r="K290" s="15" t="n">
        <f aca="false">MIN(5,INT(J290/0.2)+1)</f>
        <v>2</v>
      </c>
      <c r="L290" s="21" t="n">
        <v>0.353090969121242</v>
      </c>
    </row>
    <row r="291" customFormat="false" ht="15" hidden="false" customHeight="false" outlineLevel="0" collapsed="false">
      <c r="A291" s="15" t="n">
        <f aca="false">2_Matriz_decision!A291</f>
        <v>287</v>
      </c>
      <c r="B291" s="16" t="n">
        <f aca="false">2_Matriz_decision!B291</f>
        <v>28.962</v>
      </c>
      <c r="C291" s="21" t="n">
        <f aca="false">SQRT(SUMXMY2(5_Ponderada!C294:Q294,5_Ponderada!$C$6:$Q$6))</f>
        <v>0.0153085950835855</v>
      </c>
      <c r="D291" s="21" t="n">
        <f aca="false">SQRT(SUMXMY2(5_Ponderada!C294:Q294,5_Ponderada!$C$7:$Q$7))</f>
        <v>0.0136452863807335</v>
      </c>
      <c r="E291" s="21" t="n">
        <f aca="false">D291/(C291+D291)</f>
        <v>0.471276585059905</v>
      </c>
      <c r="F291" s="15" t="n">
        <f aca="false">MIN(5,INT(E291/0.2)+1)</f>
        <v>3</v>
      </c>
      <c r="G291" s="21" t="n">
        <v>0.471276585059905</v>
      </c>
      <c r="H291" s="28" t="n">
        <f aca="false">ABS(E291-G291)</f>
        <v>0</v>
      </c>
      <c r="I291" s="15" t="n">
        <v>3</v>
      </c>
      <c r="J291" s="21" t="n">
        <f aca="false">(SUMPRODUCT(2_Matriz_decision!C291:Q291,5_Ponderada!$C$5:$Q$5)-1)/4</f>
        <v>0.562991622685871</v>
      </c>
      <c r="K291" s="15" t="n">
        <f aca="false">MIN(5,INT(J291/0.2)+1)</f>
        <v>3</v>
      </c>
      <c r="L291" s="21" t="n">
        <v>0.562991622685871</v>
      </c>
    </row>
    <row r="292" customFormat="false" ht="15" hidden="false" customHeight="false" outlineLevel="0" collapsed="false">
      <c r="A292" s="15" t="n">
        <f aca="false">2_Matriz_decision!A292</f>
        <v>288</v>
      </c>
      <c r="B292" s="16" t="n">
        <f aca="false">2_Matriz_decision!B292</f>
        <v>29.061</v>
      </c>
      <c r="C292" s="21" t="n">
        <f aca="false">SQRT(SUMXMY2(5_Ponderada!C295:Q295,5_Ponderada!$C$6:$Q$6))</f>
        <v>0.0155678364742872</v>
      </c>
      <c r="D292" s="21" t="n">
        <f aca="false">SQRT(SUMXMY2(5_Ponderada!C295:Q295,5_Ponderada!$C$7:$Q$7))</f>
        <v>0.0113607742825429</v>
      </c>
      <c r="E292" s="21" t="n">
        <f aca="false">D292/(C292+D292)</f>
        <v>0.421884900975124</v>
      </c>
      <c r="F292" s="15" t="n">
        <f aca="false">MIN(5,INT(E292/0.2)+1)</f>
        <v>3</v>
      </c>
      <c r="G292" s="21" t="n">
        <v>0.421884900975123</v>
      </c>
      <c r="H292" s="28" t="n">
        <f aca="false">ABS(E292-G292)</f>
        <v>0</v>
      </c>
      <c r="I292" s="15" t="n">
        <v>3</v>
      </c>
      <c r="J292" s="21" t="n">
        <f aca="false">(SUMPRODUCT(2_Matriz_decision!C292:Q292,5_Ponderada!$C$5:$Q$5)-1)/4</f>
        <v>0.511514566574109</v>
      </c>
      <c r="K292" s="15" t="n">
        <f aca="false">MIN(5,INT(J292/0.2)+1)</f>
        <v>3</v>
      </c>
      <c r="L292" s="21" t="n">
        <v>0.51151456657411</v>
      </c>
    </row>
    <row r="293" customFormat="false" ht="15" hidden="false" customHeight="false" outlineLevel="0" collapsed="false">
      <c r="A293" s="15" t="n">
        <f aca="false">2_Matriz_decision!A293</f>
        <v>289</v>
      </c>
      <c r="B293" s="16" t="n">
        <f aca="false">2_Matriz_decision!B293</f>
        <v>29.159</v>
      </c>
      <c r="C293" s="21" t="n">
        <f aca="false">SQRT(SUMXMY2(5_Ponderada!C296:Q296,5_Ponderada!$C$6:$Q$6))</f>
        <v>0.0153000142398362</v>
      </c>
      <c r="D293" s="21" t="n">
        <f aca="false">SQRT(SUMXMY2(5_Ponderada!C296:Q296,5_Ponderada!$C$7:$Q$7))</f>
        <v>0.0136522793331987</v>
      </c>
      <c r="E293" s="21" t="n">
        <f aca="false">D293/(C293+D293)</f>
        <v>0.471543965895466</v>
      </c>
      <c r="F293" s="15" t="n">
        <f aca="false">MIN(5,INT(E293/0.2)+1)</f>
        <v>3</v>
      </c>
      <c r="G293" s="21" t="n">
        <v>0.471543965895466</v>
      </c>
      <c r="H293" s="28" t="n">
        <f aca="false">ABS(E293-G293)</f>
        <v>0</v>
      </c>
      <c r="I293" s="15" t="n">
        <v>3</v>
      </c>
      <c r="J293" s="21" t="n">
        <f aca="false">(SUMPRODUCT(2_Matriz_decision!C293:Q293,5_Ponderada!$C$5:$Q$5)-1)/4</f>
        <v>0.566804703467437</v>
      </c>
      <c r="K293" s="15" t="n">
        <f aca="false">MIN(5,INT(J293/0.2)+1)</f>
        <v>3</v>
      </c>
      <c r="L293" s="21" t="n">
        <v>0.566804703467437</v>
      </c>
    </row>
    <row r="294" customFormat="false" ht="15" hidden="false" customHeight="false" outlineLevel="0" collapsed="false">
      <c r="A294" s="15" t="n">
        <f aca="false">2_Matriz_decision!A294</f>
        <v>290</v>
      </c>
      <c r="B294" s="16" t="n">
        <f aca="false">2_Matriz_decision!B294</f>
        <v>29.257</v>
      </c>
      <c r="C294" s="21" t="n">
        <f aca="false">SQRT(SUMXMY2(5_Ponderada!C297:Q297,5_Ponderada!$C$6:$Q$6))</f>
        <v>0.0153033246379044</v>
      </c>
      <c r="D294" s="21" t="n">
        <f aca="false">SQRT(SUMXMY2(5_Ponderada!C297:Q297,5_Ponderada!$C$7:$Q$7))</f>
        <v>0.0136499545695983</v>
      </c>
      <c r="E294" s="21" t="n">
        <f aca="false">D294/(C294+D294)</f>
        <v>0.471447619862734</v>
      </c>
      <c r="F294" s="15" t="n">
        <f aca="false">MIN(5,INT(E294/0.2)+1)</f>
        <v>3</v>
      </c>
      <c r="G294" s="21" t="n">
        <v>0.471447619862734</v>
      </c>
      <c r="H294" s="28" t="n">
        <f aca="false">ABS(E294-G294)</f>
        <v>0</v>
      </c>
      <c r="I294" s="15" t="n">
        <v>3</v>
      </c>
      <c r="J294" s="21" t="n">
        <f aca="false">(SUMPRODUCT(2_Matriz_decision!C294:Q294,5_Ponderada!$C$5:$Q$5)-1)/4</f>
        <v>0.565765269684826</v>
      </c>
      <c r="K294" s="15" t="n">
        <f aca="false">MIN(5,INT(J294/0.2)+1)</f>
        <v>3</v>
      </c>
      <c r="L294" s="21" t="n">
        <v>0.565765269684826</v>
      </c>
    </row>
    <row r="295" customFormat="false" ht="15" hidden="false" customHeight="false" outlineLevel="0" collapsed="false">
      <c r="A295" s="15" t="n">
        <f aca="false">2_Matriz_decision!A295</f>
        <v>291</v>
      </c>
      <c r="B295" s="16" t="n">
        <f aca="false">2_Matriz_decision!B295</f>
        <v>29.355</v>
      </c>
      <c r="C295" s="21" t="n">
        <f aca="false">SQRT(SUMXMY2(5_Ponderada!C298:Q298,5_Ponderada!$C$6:$Q$6))</f>
        <v>0.0191193305013804</v>
      </c>
      <c r="D295" s="21" t="n">
        <f aca="false">SQRT(SUMXMY2(5_Ponderada!C298:Q298,5_Ponderada!$C$7:$Q$7))</f>
        <v>0.00750752218159752</v>
      </c>
      <c r="E295" s="21" t="n">
        <f aca="false">D295/(C295+D295)</f>
        <v>0.281953044581831</v>
      </c>
      <c r="F295" s="15" t="n">
        <f aca="false">MIN(5,INT(E295/0.2)+1)</f>
        <v>2</v>
      </c>
      <c r="G295" s="21" t="n">
        <v>0.281953044581831</v>
      </c>
      <c r="H295" s="28" t="n">
        <f aca="false">ABS(E295-G295)</f>
        <v>0</v>
      </c>
      <c r="I295" s="15" t="n">
        <v>2</v>
      </c>
      <c r="J295" s="21" t="n">
        <f aca="false">(SUMPRODUCT(2_Matriz_decision!C295:Q295,5_Ponderada!$C$5:$Q$5)-1)/4</f>
        <v>0.35709122216101</v>
      </c>
      <c r="K295" s="15" t="n">
        <f aca="false">MIN(5,INT(J295/0.2)+1)</f>
        <v>2</v>
      </c>
      <c r="L295" s="21" t="n">
        <v>0.35709122216101</v>
      </c>
    </row>
    <row r="296" customFormat="false" ht="15" hidden="false" customHeight="false" outlineLevel="0" collapsed="false">
      <c r="A296" s="15" t="n">
        <f aca="false">2_Matriz_decision!A296</f>
        <v>292</v>
      </c>
      <c r="B296" s="16" t="n">
        <f aca="false">2_Matriz_decision!B296</f>
        <v>29.453</v>
      </c>
      <c r="C296" s="21" t="n">
        <f aca="false">SQRT(SUMXMY2(5_Ponderada!C299:Q299,5_Ponderada!$C$6:$Q$6))</f>
        <v>0.0152874403106876</v>
      </c>
      <c r="D296" s="21" t="n">
        <f aca="false">SQRT(SUMXMY2(5_Ponderada!C299:Q299,5_Ponderada!$C$7:$Q$7))</f>
        <v>0.0136965860994586</v>
      </c>
      <c r="E296" s="21" t="n">
        <f aca="false">D296/(C296+D296)</f>
        <v>0.472556362792437</v>
      </c>
      <c r="F296" s="15" t="n">
        <f aca="false">MIN(5,INT(E296/0.2)+1)</f>
        <v>3</v>
      </c>
      <c r="G296" s="21" t="n">
        <v>0.472556362792437</v>
      </c>
      <c r="H296" s="28" t="n">
        <f aca="false">ABS(E296-G296)</f>
        <v>0</v>
      </c>
      <c r="I296" s="15" t="n">
        <v>3</v>
      </c>
      <c r="J296" s="21" t="n">
        <f aca="false">(SUMPRODUCT(2_Matriz_decision!C296:Q296,5_Ponderada!$C$5:$Q$5)-1)/4</f>
        <v>0.576113700819297</v>
      </c>
      <c r="K296" s="15" t="n">
        <f aca="false">MIN(5,INT(J296/0.2)+1)</f>
        <v>3</v>
      </c>
      <c r="L296" s="21" t="n">
        <v>0.576113700819298</v>
      </c>
    </row>
    <row r="297" customFormat="false" ht="15" hidden="false" customHeight="false" outlineLevel="0" collapsed="false">
      <c r="A297" s="15" t="n">
        <f aca="false">2_Matriz_decision!A297</f>
        <v>293</v>
      </c>
      <c r="B297" s="16" t="n">
        <f aca="false">2_Matriz_decision!B297</f>
        <v>29.552</v>
      </c>
      <c r="C297" s="21" t="n">
        <f aca="false">SQRT(SUMXMY2(5_Ponderada!C300:Q300,5_Ponderada!$C$6:$Q$6))</f>
        <v>0.0153554056348295</v>
      </c>
      <c r="D297" s="21" t="n">
        <f aca="false">SQRT(SUMXMY2(5_Ponderada!C300:Q300,5_Ponderada!$C$7:$Q$7))</f>
        <v>0.0130997408548349</v>
      </c>
      <c r="E297" s="21" t="n">
        <f aca="false">D297/(C297+D297)</f>
        <v>0.46036455512865</v>
      </c>
      <c r="F297" s="15" t="n">
        <f aca="false">MIN(5,INT(E297/0.2)+1)</f>
        <v>3</v>
      </c>
      <c r="G297" s="21" t="n">
        <v>0.46036455512865</v>
      </c>
      <c r="H297" s="28" t="n">
        <f aca="false">ABS(E297-G297)</f>
        <v>0</v>
      </c>
      <c r="I297" s="15" t="n">
        <v>3</v>
      </c>
      <c r="J297" s="21" t="n">
        <f aca="false">(SUMPRODUCT(2_Matriz_decision!C297:Q297,5_Ponderada!$C$5:$Q$5)-1)/4</f>
        <v>0.544150213886037</v>
      </c>
      <c r="K297" s="15" t="n">
        <f aca="false">MIN(5,INT(J297/0.2)+1)</f>
        <v>3</v>
      </c>
      <c r="L297" s="21" t="n">
        <v>0.544150213886038</v>
      </c>
    </row>
    <row r="298" customFormat="false" ht="15" hidden="false" customHeight="false" outlineLevel="0" collapsed="false">
      <c r="A298" s="15" t="n">
        <f aca="false">2_Matriz_decision!A298</f>
        <v>294</v>
      </c>
      <c r="B298" s="16" t="n">
        <f aca="false">2_Matriz_decision!B298</f>
        <v>29.65</v>
      </c>
      <c r="C298" s="21" t="n">
        <f aca="false">SQRT(SUMXMY2(5_Ponderada!C301:Q301,5_Ponderada!$C$6:$Q$6))</f>
        <v>0.0153434449814286</v>
      </c>
      <c r="D298" s="21" t="n">
        <f aca="false">SQRT(SUMXMY2(5_Ponderada!C301:Q301,5_Ponderada!$C$7:$Q$7))</f>
        <v>0.0131157639734346</v>
      </c>
      <c r="E298" s="21" t="n">
        <f aca="false">D298/(C298+D298)</f>
        <v>0.46086186001292</v>
      </c>
      <c r="F298" s="15" t="n">
        <f aca="false">MIN(5,INT(E298/0.2)+1)</f>
        <v>3</v>
      </c>
      <c r="G298" s="21" t="n">
        <v>0.46086186001292</v>
      </c>
      <c r="H298" s="28" t="n">
        <f aca="false">ABS(E298-G298)</f>
        <v>0</v>
      </c>
      <c r="I298" s="15" t="n">
        <v>3</v>
      </c>
      <c r="J298" s="21" t="n">
        <f aca="false">(SUMPRODUCT(2_Matriz_decision!C298:Q298,5_Ponderada!$C$5:$Q$5)-1)/4</f>
        <v>0.546755884003524</v>
      </c>
      <c r="K298" s="15" t="n">
        <f aca="false">MIN(5,INT(J298/0.2)+1)</f>
        <v>3</v>
      </c>
      <c r="L298" s="21" t="n">
        <v>0.546755884003525</v>
      </c>
    </row>
    <row r="299" customFormat="false" ht="15" hidden="false" customHeight="false" outlineLevel="0" collapsed="false">
      <c r="A299" s="15" t="n">
        <f aca="false">2_Matriz_decision!A299</f>
        <v>295</v>
      </c>
      <c r="B299" s="16" t="n">
        <f aca="false">2_Matriz_decision!B299</f>
        <v>29.749</v>
      </c>
      <c r="C299" s="21" t="n">
        <f aca="false">SQRT(SUMXMY2(5_Ponderada!C302:Q302,5_Ponderada!$C$6:$Q$6))</f>
        <v>0.0156115613883223</v>
      </c>
      <c r="D299" s="21" t="n">
        <f aca="false">SQRT(SUMXMY2(5_Ponderada!C302:Q302,5_Ponderada!$C$7:$Q$7))</f>
        <v>0.0107083510517892</v>
      </c>
      <c r="E299" s="21" t="n">
        <f aca="false">D299/(C299+D299)</f>
        <v>0.406853597106567</v>
      </c>
      <c r="F299" s="15" t="n">
        <f aca="false">MIN(5,INT(E299/0.2)+1)</f>
        <v>3</v>
      </c>
      <c r="G299" s="21" t="n">
        <v>0.406853597106567</v>
      </c>
      <c r="H299" s="28" t="n">
        <f aca="false">ABS(E299-G299)</f>
        <v>0</v>
      </c>
      <c r="I299" s="15" t="n">
        <v>3</v>
      </c>
      <c r="J299" s="21" t="n">
        <f aca="false">(SUMPRODUCT(2_Matriz_decision!C299:Q299,5_Ponderada!$C$5:$Q$5)-1)/4</f>
        <v>0.491641825473045</v>
      </c>
      <c r="K299" s="15" t="n">
        <f aca="false">MIN(5,INT(J299/0.2)+1)</f>
        <v>3</v>
      </c>
      <c r="L299" s="21" t="n">
        <v>0.491641825473046</v>
      </c>
    </row>
    <row r="300" customFormat="false" ht="15" hidden="false" customHeight="false" outlineLevel="0" collapsed="false">
      <c r="A300" s="15" t="n">
        <f aca="false">2_Matriz_decision!A300</f>
        <v>296</v>
      </c>
      <c r="B300" s="16" t="n">
        <f aca="false">2_Matriz_decision!B300</f>
        <v>29.847</v>
      </c>
      <c r="C300" s="21" t="n">
        <f aca="false">SQRT(SUMXMY2(5_Ponderada!C303:Q303,5_Ponderada!$C$6:$Q$6))</f>
        <v>0.0153517678413291</v>
      </c>
      <c r="D300" s="21" t="n">
        <f aca="false">SQRT(SUMXMY2(5_Ponderada!C303:Q303,5_Ponderada!$C$7:$Q$7))</f>
        <v>0.0131046322757276</v>
      </c>
      <c r="E300" s="21" t="n">
        <f aca="false">D300/(C300+D300)</f>
        <v>0.460516165847441</v>
      </c>
      <c r="F300" s="15" t="n">
        <f aca="false">MIN(5,INT(E300/0.2)+1)</f>
        <v>3</v>
      </c>
      <c r="G300" s="21" t="n">
        <v>0.460516165847441</v>
      </c>
      <c r="H300" s="28" t="n">
        <f aca="false">ABS(E300-G300)</f>
        <v>0</v>
      </c>
      <c r="I300" s="15" t="n">
        <v>3</v>
      </c>
      <c r="J300" s="21" t="n">
        <f aca="false">(SUMPRODUCT(2_Matriz_decision!C300:Q300,5_Ponderada!$C$5:$Q$5)-1)/4</f>
        <v>0.544038040108177</v>
      </c>
      <c r="K300" s="15" t="n">
        <f aca="false">MIN(5,INT(J300/0.2)+1)</f>
        <v>3</v>
      </c>
      <c r="L300" s="21" t="n">
        <v>0.544038040108178</v>
      </c>
    </row>
    <row r="301" customFormat="false" ht="15" hidden="false" customHeight="false" outlineLevel="0" collapsed="false">
      <c r="A301" s="15" t="n">
        <f aca="false">2_Matriz_decision!A301</f>
        <v>297</v>
      </c>
      <c r="B301" s="16" t="n">
        <f aca="false">2_Matriz_decision!B301</f>
        <v>29.946</v>
      </c>
      <c r="C301" s="21" t="n">
        <f aca="false">SQRT(SUMXMY2(5_Ponderada!C304:Q304,5_Ponderada!$C$6:$Q$6))</f>
        <v>0.01541454679827</v>
      </c>
      <c r="D301" s="21" t="n">
        <f aca="false">SQRT(SUMXMY2(5_Ponderada!C304:Q304,5_Ponderada!$C$7:$Q$7))</f>
        <v>0.0130267617008532</v>
      </c>
      <c r="E301" s="21" t="n">
        <f aca="false">D301/(C301+D301)</f>
        <v>0.458022587155397</v>
      </c>
      <c r="F301" s="15" t="n">
        <f aca="false">MIN(5,INT(E301/0.2)+1)</f>
        <v>3</v>
      </c>
      <c r="G301" s="21" t="n">
        <v>0.458022587155397</v>
      </c>
      <c r="H301" s="28" t="n">
        <f aca="false">ABS(E301-G301)</f>
        <v>0</v>
      </c>
      <c r="I301" s="15" t="n">
        <v>3</v>
      </c>
      <c r="J301" s="21" t="n">
        <f aca="false">(SUMPRODUCT(2_Matriz_decision!C301:Q301,5_Ponderada!$C$5:$Q$5)-1)/4</f>
        <v>0.522038358684515</v>
      </c>
      <c r="K301" s="15" t="n">
        <f aca="false">MIN(5,INT(J301/0.2)+1)</f>
        <v>3</v>
      </c>
      <c r="L301" s="21" t="n">
        <v>0.522038358684515</v>
      </c>
    </row>
    <row r="302" customFormat="false" ht="15" hidden="false" customHeight="false" outlineLevel="0" collapsed="false">
      <c r="A302" s="15" t="n">
        <f aca="false">2_Matriz_decision!A302</f>
        <v>298</v>
      </c>
      <c r="B302" s="16" t="n">
        <f aca="false">2_Matriz_decision!B302</f>
        <v>30.044</v>
      </c>
      <c r="C302" s="21" t="n">
        <f aca="false">SQRT(SUMXMY2(5_Ponderada!C305:Q305,5_Ponderada!$C$6:$Q$6))</f>
        <v>0.0193571047906194</v>
      </c>
      <c r="D302" s="21" t="n">
        <f aca="false">SQRT(SUMXMY2(5_Ponderada!C305:Q305,5_Ponderada!$C$7:$Q$7))</f>
        <v>0.00525299648610425</v>
      </c>
      <c r="E302" s="21" t="n">
        <f aca="false">D302/(C302+D302)</f>
        <v>0.213448795965442</v>
      </c>
      <c r="F302" s="15" t="n">
        <f aca="false">MIN(5,INT(E302/0.2)+1)</f>
        <v>2</v>
      </c>
      <c r="G302" s="21" t="n">
        <v>0.213448795965442</v>
      </c>
      <c r="H302" s="28" t="n">
        <f aca="false">ABS(E302-G302)</f>
        <v>0</v>
      </c>
      <c r="I302" s="15" t="n">
        <v>2</v>
      </c>
      <c r="J302" s="21" t="n">
        <f aca="false">(SUMPRODUCT(2_Matriz_decision!C302:Q302,5_Ponderada!$C$5:$Q$5)-1)/4</f>
        <v>0.280953149094</v>
      </c>
      <c r="K302" s="15" t="n">
        <f aca="false">MIN(5,INT(J302/0.2)+1)</f>
        <v>2</v>
      </c>
      <c r="L302" s="21" t="n">
        <v>0.280953149094</v>
      </c>
    </row>
    <row r="303" customFormat="false" ht="15" hidden="false" customHeight="false" outlineLevel="0" collapsed="false">
      <c r="A303" s="15" t="n">
        <f aca="false">2_Matriz_decision!A303</f>
        <v>299</v>
      </c>
      <c r="B303" s="16" t="n">
        <f aca="false">2_Matriz_decision!B303</f>
        <v>30.143</v>
      </c>
      <c r="C303" s="21" t="n">
        <f aca="false">SQRT(SUMXMY2(5_Ponderada!C306:Q306,5_Ponderada!$C$6:$Q$6))</f>
        <v>0.0177963289080648</v>
      </c>
      <c r="D303" s="21" t="n">
        <f aca="false">SQRT(SUMXMY2(5_Ponderada!C306:Q306,5_Ponderada!$C$7:$Q$7))</f>
        <v>0.00601063109074841</v>
      </c>
      <c r="E303" s="21" t="n">
        <f aca="false">D303/(C303+D303)</f>
        <v>0.252473692191193</v>
      </c>
      <c r="F303" s="15" t="n">
        <f aca="false">MIN(5,INT(E303/0.2)+1)</f>
        <v>2</v>
      </c>
      <c r="G303" s="21" t="n">
        <v>0.252473692191193</v>
      </c>
      <c r="H303" s="28" t="n">
        <f aca="false">ABS(E303-G303)</f>
        <v>0</v>
      </c>
      <c r="I303" s="15" t="n">
        <v>2</v>
      </c>
      <c r="J303" s="21" t="n">
        <f aca="false">(SUMPRODUCT(2_Matriz_decision!C303:Q303,5_Ponderada!$C$5:$Q$5)-1)/4</f>
        <v>0.339650037268658</v>
      </c>
      <c r="K303" s="15" t="n">
        <f aca="false">MIN(5,INT(J303/0.2)+1)</f>
        <v>2</v>
      </c>
      <c r="L303" s="21" t="n">
        <v>0.339650037268658</v>
      </c>
    </row>
    <row r="304" customFormat="false" ht="15" hidden="false" customHeight="false" outlineLevel="0" collapsed="false">
      <c r="A304" s="15" t="n">
        <f aca="false">2_Matriz_decision!A304</f>
        <v>300</v>
      </c>
      <c r="B304" s="16" t="n">
        <f aca="false">2_Matriz_decision!B304</f>
        <v>30.243</v>
      </c>
      <c r="C304" s="21" t="n">
        <f aca="false">SQRT(SUMXMY2(5_Ponderada!C307:Q307,5_Ponderada!$C$6:$Q$6))</f>
        <v>0.0156280285463514</v>
      </c>
      <c r="D304" s="21" t="n">
        <f aca="false">SQRT(SUMXMY2(5_Ponderada!C307:Q307,5_Ponderada!$C$7:$Q$7))</f>
        <v>0.0125450754641003</v>
      </c>
      <c r="E304" s="21" t="n">
        <f aca="false">D304/(C304+D304)</f>
        <v>0.44528552691412</v>
      </c>
      <c r="F304" s="15" t="n">
        <f aca="false">MIN(5,INT(E304/0.2)+1)</f>
        <v>3</v>
      </c>
      <c r="G304" s="21" t="n">
        <v>0.44528552691412</v>
      </c>
      <c r="H304" s="28" t="n">
        <f aca="false">ABS(E304-G304)</f>
        <v>0</v>
      </c>
      <c r="I304" s="15" t="n">
        <v>3</v>
      </c>
      <c r="J304" s="21" t="n">
        <f aca="false">(SUMPRODUCT(2_Matriz_decision!C304:Q304,5_Ponderada!$C$5:$Q$5)-1)/4</f>
        <v>0.482483300750704</v>
      </c>
      <c r="K304" s="15" t="n">
        <f aca="false">MIN(5,INT(J304/0.2)+1)</f>
        <v>3</v>
      </c>
      <c r="L304" s="21" t="n">
        <v>0.482483300750705</v>
      </c>
    </row>
    <row r="305" customFormat="false" ht="15" hidden="false" customHeight="false" outlineLevel="0" collapsed="false">
      <c r="A305" s="15" t="n">
        <f aca="false">2_Matriz_decision!A305</f>
        <v>301</v>
      </c>
      <c r="B305" s="16" t="n">
        <f aca="false">2_Matriz_decision!B305</f>
        <v>30.342</v>
      </c>
      <c r="C305" s="21" t="n">
        <f aca="false">SQRT(SUMXMY2(5_Ponderada!C308:Q308,5_Ponderada!$C$6:$Q$6))</f>
        <v>0.0193651622580411</v>
      </c>
      <c r="D305" s="21" t="n">
        <f aca="false">SQRT(SUMXMY2(5_Ponderada!C308:Q308,5_Ponderada!$C$7:$Q$7))</f>
        <v>0.00510756282739848</v>
      </c>
      <c r="E305" s="21" t="n">
        <f aca="false">D305/(C305+D305)</f>
        <v>0.208704294661378</v>
      </c>
      <c r="F305" s="15" t="n">
        <f aca="false">MIN(5,INT(E305/0.2)+1)</f>
        <v>2</v>
      </c>
      <c r="G305" s="21" t="n">
        <v>0.208704294661378</v>
      </c>
      <c r="H305" s="28" t="n">
        <f aca="false">ABS(E305-G305)</f>
        <v>0</v>
      </c>
      <c r="I305" s="15" t="n">
        <v>2</v>
      </c>
      <c r="J305" s="21" t="n">
        <f aca="false">(SUMPRODUCT(2_Matriz_decision!C305:Q305,5_Ponderada!$C$5:$Q$5)-1)/4</f>
        <v>0.264400887745351</v>
      </c>
      <c r="K305" s="15" t="n">
        <f aca="false">MIN(5,INT(J305/0.2)+1)</f>
        <v>2</v>
      </c>
      <c r="L305" s="21" t="n">
        <v>0.264400887745351</v>
      </c>
    </row>
    <row r="306" customFormat="false" ht="15" hidden="false" customHeight="false" outlineLevel="0" collapsed="false">
      <c r="A306" s="15" t="n">
        <f aca="false">2_Matriz_decision!A306</f>
        <v>302</v>
      </c>
      <c r="B306" s="16" t="n">
        <f aca="false">2_Matriz_decision!B306</f>
        <v>30.441</v>
      </c>
      <c r="C306" s="21" t="n">
        <f aca="false">SQRT(SUMXMY2(5_Ponderada!C309:Q309,5_Ponderada!$C$6:$Q$6))</f>
        <v>0.019357077576072</v>
      </c>
      <c r="D306" s="21" t="n">
        <f aca="false">SQRT(SUMXMY2(5_Ponderada!C309:Q309,5_Ponderada!$C$7:$Q$7))</f>
        <v>0.00513201063210379</v>
      </c>
      <c r="E306" s="21" t="n">
        <f aca="false">D306/(C306+D306)</f>
        <v>0.20956315680183</v>
      </c>
      <c r="F306" s="15" t="n">
        <f aca="false">MIN(5,INT(E306/0.2)+1)</f>
        <v>2</v>
      </c>
      <c r="G306" s="21" t="n">
        <v>0.20956315680183</v>
      </c>
      <c r="H306" s="28" t="n">
        <f aca="false">ABS(E306-G306)</f>
        <v>0</v>
      </c>
      <c r="I306" s="15" t="n">
        <v>2</v>
      </c>
      <c r="J306" s="21" t="n">
        <f aca="false">(SUMPRODUCT(2_Matriz_decision!C306:Q306,5_Ponderada!$C$5:$Q$5)-1)/4</f>
        <v>0.267338436165967</v>
      </c>
      <c r="K306" s="15" t="n">
        <f aca="false">MIN(5,INT(J306/0.2)+1)</f>
        <v>2</v>
      </c>
      <c r="L306" s="21" t="n">
        <v>0.267338436165967</v>
      </c>
    </row>
    <row r="307" customFormat="false" ht="15" hidden="false" customHeight="false" outlineLevel="0" collapsed="false">
      <c r="A307" s="15" t="n">
        <f aca="false">2_Matriz_decision!A307</f>
        <v>303</v>
      </c>
      <c r="B307" s="16" t="n">
        <f aca="false">2_Matriz_decision!B307</f>
        <v>30.541</v>
      </c>
      <c r="C307" s="21" t="n">
        <f aca="false">SQRT(SUMXMY2(5_Ponderada!C310:Q310,5_Ponderada!$C$6:$Q$6))</f>
        <v>0.0166527599735573</v>
      </c>
      <c r="D307" s="21" t="n">
        <f aca="false">SQRT(SUMXMY2(5_Ponderada!C310:Q310,5_Ponderada!$C$7:$Q$7))</f>
        <v>0.00766961982153248</v>
      </c>
      <c r="E307" s="21" t="n">
        <f aca="false">D307/(C307+D307)</f>
        <v>0.315331800841332</v>
      </c>
      <c r="F307" s="15" t="n">
        <f aca="false">MIN(5,INT(E307/0.2)+1)</f>
        <v>2</v>
      </c>
      <c r="G307" s="21" t="n">
        <v>0.315331800841332</v>
      </c>
      <c r="H307" s="28" t="n">
        <f aca="false">ABS(E307-G307)</f>
        <v>0</v>
      </c>
      <c r="I307" s="15" t="n">
        <v>2</v>
      </c>
      <c r="J307" s="21" t="n">
        <f aca="false">(SUMPRODUCT(2_Matriz_decision!C307:Q307,5_Ponderada!$C$5:$Q$5)-1)/4</f>
        <v>0.364143041441764</v>
      </c>
      <c r="K307" s="15" t="n">
        <f aca="false">MIN(5,INT(J307/0.2)+1)</f>
        <v>2</v>
      </c>
      <c r="L307" s="21" t="n">
        <v>0.364143041441764</v>
      </c>
    </row>
    <row r="308" customFormat="false" ht="15" hidden="false" customHeight="false" outlineLevel="0" collapsed="false">
      <c r="A308" s="15" t="n">
        <f aca="false">2_Matriz_decision!A308</f>
        <v>304</v>
      </c>
      <c r="B308" s="16" t="n">
        <f aca="false">2_Matriz_decision!B308</f>
        <v>30.64</v>
      </c>
      <c r="C308" s="21" t="n">
        <f aca="false">SQRT(SUMXMY2(5_Ponderada!C311:Q311,5_Ponderada!$C$6:$Q$6))</f>
        <v>0.0166514848279542</v>
      </c>
      <c r="D308" s="21" t="n">
        <f aca="false">SQRT(SUMXMY2(5_Ponderada!C311:Q311,5_Ponderada!$C$7:$Q$7))</f>
        <v>0.00767568660039093</v>
      </c>
      <c r="E308" s="21" t="n">
        <f aca="false">D308/(C308+D308)</f>
        <v>0.315519073929306</v>
      </c>
      <c r="F308" s="15" t="n">
        <f aca="false">MIN(5,INT(E308/0.2)+1)</f>
        <v>2</v>
      </c>
      <c r="G308" s="21" t="n">
        <v>0.315519073929306</v>
      </c>
      <c r="H308" s="28" t="n">
        <f aca="false">ABS(E308-G308)</f>
        <v>0</v>
      </c>
      <c r="I308" s="15" t="n">
        <v>2</v>
      </c>
      <c r="J308" s="21" t="n">
        <f aca="false">(SUMPRODUCT(2_Matriz_decision!C308:Q308,5_Ponderada!$C$5:$Q$5)-1)/4</f>
        <v>0.364346330170262</v>
      </c>
      <c r="K308" s="15" t="n">
        <f aca="false">MIN(5,INT(J308/0.2)+1)</f>
        <v>2</v>
      </c>
      <c r="L308" s="21" t="n">
        <v>0.364346330170262</v>
      </c>
    </row>
    <row r="309" customFormat="false" ht="15" hidden="false" customHeight="false" outlineLevel="0" collapsed="false">
      <c r="A309" s="15" t="n">
        <f aca="false">2_Matriz_decision!A309</f>
        <v>305</v>
      </c>
      <c r="B309" s="16" t="n">
        <f aca="false">2_Matriz_decision!B309</f>
        <v>30.739</v>
      </c>
      <c r="C309" s="21" t="n">
        <f aca="false">SQRT(SUMXMY2(5_Ponderada!C312:Q312,5_Ponderada!$C$6:$Q$6))</f>
        <v>0.0178477443023145</v>
      </c>
      <c r="D309" s="21" t="n">
        <f aca="false">SQRT(SUMXMY2(5_Ponderada!C312:Q312,5_Ponderada!$C$7:$Q$7))</f>
        <v>0.00582022887540535</v>
      </c>
      <c r="E309" s="21" t="n">
        <f aca="false">D309/(C309+D309)</f>
        <v>0.245911588275937</v>
      </c>
      <c r="F309" s="15" t="n">
        <f aca="false">MIN(5,INT(E309/0.2)+1)</f>
        <v>2</v>
      </c>
      <c r="G309" s="21" t="n">
        <v>0.245911588275937</v>
      </c>
      <c r="H309" s="28" t="n">
        <f aca="false">ABS(E309-G309)</f>
        <v>0</v>
      </c>
      <c r="I309" s="15" t="n">
        <v>2</v>
      </c>
      <c r="J309" s="21" t="n">
        <f aca="false">(SUMPRODUCT(2_Matriz_decision!C309:Q309,5_Ponderada!$C$5:$Q$5)-1)/4</f>
        <v>0.308723826778627</v>
      </c>
      <c r="K309" s="15" t="n">
        <f aca="false">MIN(5,INT(J309/0.2)+1)</f>
        <v>2</v>
      </c>
      <c r="L309" s="21" t="n">
        <v>0.308723826778628</v>
      </c>
    </row>
    <row r="310" customFormat="false" ht="15" hidden="false" customHeight="false" outlineLevel="0" collapsed="false">
      <c r="A310" s="15" t="n">
        <f aca="false">2_Matriz_decision!A310</f>
        <v>306</v>
      </c>
      <c r="B310" s="16" t="n">
        <f aca="false">2_Matriz_decision!B310</f>
        <v>30.838</v>
      </c>
      <c r="C310" s="21" t="n">
        <f aca="false">SQRT(SUMXMY2(5_Ponderada!C313:Q313,5_Ponderada!$C$6:$Q$6))</f>
        <v>0.017850772838996</v>
      </c>
      <c r="D310" s="21" t="n">
        <f aca="false">SQRT(SUMXMY2(5_Ponderada!C313:Q313,5_Ponderada!$C$7:$Q$7))</f>
        <v>0.00580873740767246</v>
      </c>
      <c r="E310" s="21" t="n">
        <f aca="false">D310/(C310+D310)</f>
        <v>0.245513848220522</v>
      </c>
      <c r="F310" s="15" t="n">
        <f aca="false">MIN(5,INT(E310/0.2)+1)</f>
        <v>2</v>
      </c>
      <c r="G310" s="21" t="n">
        <v>0.245513848220522</v>
      </c>
      <c r="H310" s="28" t="n">
        <f aca="false">ABS(E310-G310)</f>
        <v>0</v>
      </c>
      <c r="I310" s="15" t="n">
        <v>2</v>
      </c>
      <c r="J310" s="21" t="n">
        <f aca="false">(SUMPRODUCT(2_Matriz_decision!C310:Q310,5_Ponderada!$C$5:$Q$5)-1)/4</f>
        <v>0.308028556310616</v>
      </c>
      <c r="K310" s="15" t="n">
        <f aca="false">MIN(5,INT(J310/0.2)+1)</f>
        <v>2</v>
      </c>
      <c r="L310" s="21" t="n">
        <v>0.308028556310616</v>
      </c>
    </row>
    <row r="311" customFormat="false" ht="15" hidden="false" customHeight="false" outlineLevel="0" collapsed="false">
      <c r="A311" s="15" t="n">
        <f aca="false">2_Matriz_decision!A311</f>
        <v>307</v>
      </c>
      <c r="B311" s="16" t="n">
        <f aca="false">2_Matriz_decision!B311</f>
        <v>30.937</v>
      </c>
      <c r="C311" s="21" t="n">
        <f aca="false">SQRT(SUMXMY2(5_Ponderada!C314:Q314,5_Ponderada!$C$6:$Q$6))</f>
        <v>0.0193981677907569</v>
      </c>
      <c r="D311" s="21" t="n">
        <f aca="false">SQRT(SUMXMY2(5_Ponderada!C314:Q314,5_Ponderada!$C$7:$Q$7))</f>
        <v>0.00504009424267542</v>
      </c>
      <c r="E311" s="21" t="n">
        <f aca="false">D311/(C311+D311)</f>
        <v>0.20623783458007</v>
      </c>
      <c r="F311" s="15" t="n">
        <f aca="false">MIN(5,INT(E311/0.2)+1)</f>
        <v>2</v>
      </c>
      <c r="G311" s="21" t="n">
        <v>0.20623783458007</v>
      </c>
      <c r="H311" s="28" t="n">
        <f aca="false">ABS(E311-G311)</f>
        <v>0</v>
      </c>
      <c r="I311" s="15" t="n">
        <v>2</v>
      </c>
      <c r="J311" s="21" t="n">
        <f aca="false">(SUMPRODUCT(2_Matriz_decision!C311:Q311,5_Ponderada!$C$5:$Q$5)-1)/4</f>
        <v>0.253477897086896</v>
      </c>
      <c r="K311" s="15" t="n">
        <f aca="false">MIN(5,INT(J311/0.2)+1)</f>
        <v>2</v>
      </c>
      <c r="L311" s="21" t="n">
        <v>0.253477897086897</v>
      </c>
    </row>
    <row r="312" customFormat="false" ht="15" hidden="false" customHeight="false" outlineLevel="0" collapsed="false">
      <c r="A312" s="15" t="n">
        <f aca="false">2_Matriz_decision!A312</f>
        <v>308</v>
      </c>
      <c r="B312" s="16" t="n">
        <f aca="false">2_Matriz_decision!B312</f>
        <v>31.036</v>
      </c>
      <c r="C312" s="21" t="n">
        <f aca="false">SQRT(SUMXMY2(5_Ponderada!C315:Q315,5_Ponderada!$C$6:$Q$6))</f>
        <v>0.0166255637112742</v>
      </c>
      <c r="D312" s="21" t="n">
        <f aca="false">SQRT(SUMXMY2(5_Ponderada!C315:Q315,5_Ponderada!$C$7:$Q$7))</f>
        <v>0.00769507601393053</v>
      </c>
      <c r="E312" s="21" t="n">
        <f aca="false">D312/(C312+D312)</f>
        <v>0.316401052804369</v>
      </c>
      <c r="F312" s="15" t="n">
        <f aca="false">MIN(5,INT(E312/0.2)+1)</f>
        <v>2</v>
      </c>
      <c r="G312" s="21" t="n">
        <v>0.316401052804369</v>
      </c>
      <c r="H312" s="28" t="n">
        <f aca="false">ABS(E312-G312)</f>
        <v>0</v>
      </c>
      <c r="I312" s="15" t="n">
        <v>2</v>
      </c>
      <c r="J312" s="21" t="n">
        <f aca="false">(SUMPRODUCT(2_Matriz_decision!C312:Q312,5_Ponderada!$C$5:$Q$5)-1)/4</f>
        <v>0.374954349615031</v>
      </c>
      <c r="K312" s="15" t="n">
        <f aca="false">MIN(5,INT(J312/0.2)+1)</f>
        <v>2</v>
      </c>
      <c r="L312" s="21" t="n">
        <v>0.374954349615032</v>
      </c>
    </row>
    <row r="313" customFormat="false" ht="15" hidden="false" customHeight="false" outlineLevel="0" collapsed="false">
      <c r="A313" s="15" t="n">
        <f aca="false">2_Matriz_decision!A313</f>
        <v>309</v>
      </c>
      <c r="B313" s="16" t="n">
        <f aca="false">2_Matriz_decision!B313</f>
        <v>31.135</v>
      </c>
      <c r="C313" s="21" t="n">
        <f aca="false">SQRT(SUMXMY2(5_Ponderada!C316:Q316,5_Ponderada!$C$6:$Q$6))</f>
        <v>0.0155872835054021</v>
      </c>
      <c r="D313" s="21" t="n">
        <f aca="false">SQRT(SUMXMY2(5_Ponderada!C316:Q316,5_Ponderada!$C$7:$Q$7))</f>
        <v>0.0125931075757109</v>
      </c>
      <c r="E313" s="21" t="n">
        <f aca="false">D313/(C313+D313)</f>
        <v>0.446874833619715</v>
      </c>
      <c r="F313" s="15" t="n">
        <f aca="false">MIN(5,INT(E313/0.2)+1)</f>
        <v>3</v>
      </c>
      <c r="G313" s="21" t="n">
        <v>0.446874833619715</v>
      </c>
      <c r="H313" s="28" t="n">
        <f aca="false">ABS(E313-G313)</f>
        <v>0</v>
      </c>
      <c r="I313" s="15" t="n">
        <v>3</v>
      </c>
      <c r="J313" s="21" t="n">
        <f aca="false">(SUMPRODUCT(2_Matriz_decision!C313:Q313,5_Ponderada!$C$5:$Q$5)-1)/4</f>
        <v>0.493182761578869</v>
      </c>
      <c r="K313" s="15" t="n">
        <f aca="false">MIN(5,INT(J313/0.2)+1)</f>
        <v>3</v>
      </c>
      <c r="L313" s="21" t="n">
        <v>0.493182761578869</v>
      </c>
    </row>
    <row r="314" customFormat="false" ht="15" hidden="false" customHeight="false" outlineLevel="0" collapsed="false">
      <c r="A314" s="15" t="n">
        <f aca="false">2_Matriz_decision!A314</f>
        <v>310</v>
      </c>
      <c r="B314" s="16" t="n">
        <f aca="false">2_Matriz_decision!B314</f>
        <v>31.234</v>
      </c>
      <c r="C314" s="21" t="n">
        <f aca="false">SQRT(SUMXMY2(5_Ponderada!C317:Q317,5_Ponderada!$C$6:$Q$6))</f>
        <v>0.0193599953683971</v>
      </c>
      <c r="D314" s="21" t="n">
        <f aca="false">SQRT(SUMXMY2(5_Ponderada!C317:Q317,5_Ponderada!$C$7:$Q$7))</f>
        <v>0.00519333577516301</v>
      </c>
      <c r="E314" s="21" t="n">
        <f aca="false">D314/(C314+D314)</f>
        <v>0.211512472372822</v>
      </c>
      <c r="F314" s="15" t="n">
        <f aca="false">MIN(5,INT(E314/0.2)+1)</f>
        <v>2</v>
      </c>
      <c r="G314" s="21" t="n">
        <v>0.211512472372822</v>
      </c>
      <c r="H314" s="28" t="n">
        <f aca="false">ABS(E314-G314)</f>
        <v>0</v>
      </c>
      <c r="I314" s="15" t="n">
        <v>2</v>
      </c>
      <c r="J314" s="21" t="n">
        <f aca="false">(SUMPRODUCT(2_Matriz_decision!C314:Q314,5_Ponderada!$C$5:$Q$5)-1)/4</f>
        <v>0.268739534037264</v>
      </c>
      <c r="K314" s="15" t="n">
        <f aca="false">MIN(5,INT(J314/0.2)+1)</f>
        <v>2</v>
      </c>
      <c r="L314" s="21" t="n">
        <v>0.268739534037264</v>
      </c>
    </row>
    <row r="315" customFormat="false" ht="15" hidden="false" customHeight="false" outlineLevel="0" collapsed="false">
      <c r="A315" s="15" t="n">
        <f aca="false">2_Matriz_decision!A315</f>
        <v>311</v>
      </c>
      <c r="B315" s="16" t="n">
        <f aca="false">2_Matriz_decision!B315</f>
        <v>31.333</v>
      </c>
      <c r="C315" s="21" t="n">
        <f aca="false">SQRT(SUMXMY2(5_Ponderada!C318:Q318,5_Ponderada!$C$6:$Q$6))</f>
        <v>0.0125977826296732</v>
      </c>
      <c r="D315" s="21" t="n">
        <f aca="false">SQRT(SUMXMY2(5_Ponderada!C318:Q318,5_Ponderada!$C$7:$Q$7))</f>
        <v>0.0115189041581416</v>
      </c>
      <c r="E315" s="21" t="n">
        <f aca="false">D315/(C315+D315)</f>
        <v>0.477632116695302</v>
      </c>
      <c r="F315" s="15" t="n">
        <f aca="false">MIN(5,INT(E315/0.2)+1)</f>
        <v>3</v>
      </c>
      <c r="G315" s="21" t="n">
        <v>0.477632116695302</v>
      </c>
      <c r="H315" s="28" t="n">
        <f aca="false">ABS(E315-G315)</f>
        <v>0</v>
      </c>
      <c r="I315" s="15" t="n">
        <v>3</v>
      </c>
      <c r="J315" s="21" t="n">
        <f aca="false">(SUMPRODUCT(2_Matriz_decision!C315:Q315,5_Ponderada!$C$5:$Q$5)-1)/4</f>
        <v>0.52209459028508</v>
      </c>
      <c r="K315" s="15" t="n">
        <f aca="false">MIN(5,INT(J315/0.2)+1)</f>
        <v>3</v>
      </c>
      <c r="L315" s="21" t="n">
        <v>0.52209459028508</v>
      </c>
    </row>
    <row r="316" customFormat="false" ht="15" hidden="false" customHeight="false" outlineLevel="0" collapsed="false">
      <c r="A316" s="15" t="n">
        <f aca="false">2_Matriz_decision!A316</f>
        <v>312</v>
      </c>
      <c r="B316" s="16" t="n">
        <f aca="false">2_Matriz_decision!B316</f>
        <v>31.433</v>
      </c>
      <c r="C316" s="21" t="n">
        <f aca="false">SQRT(SUMXMY2(5_Ponderada!C319:Q319,5_Ponderada!$C$6:$Q$6))</f>
        <v>0.0124680473070079</v>
      </c>
      <c r="D316" s="21" t="n">
        <f aca="false">SQRT(SUMXMY2(5_Ponderada!C319:Q319,5_Ponderada!$C$7:$Q$7))</f>
        <v>0.0116431322927029</v>
      </c>
      <c r="E316" s="21" t="n">
        <f aca="false">D316/(C316+D316)</f>
        <v>0.482893516036958</v>
      </c>
      <c r="F316" s="15" t="n">
        <f aca="false">MIN(5,INT(E316/0.2)+1)</f>
        <v>3</v>
      </c>
      <c r="G316" s="21" t="n">
        <v>0.482893516036958</v>
      </c>
      <c r="H316" s="28" t="n">
        <f aca="false">ABS(E316-G316)</f>
        <v>0</v>
      </c>
      <c r="I316" s="15" t="n">
        <v>3</v>
      </c>
      <c r="J316" s="21" t="n">
        <f aca="false">(SUMPRODUCT(2_Matriz_decision!C316:Q316,5_Ponderada!$C$5:$Q$5)-1)/4</f>
        <v>0.558029176343451</v>
      </c>
      <c r="K316" s="15" t="n">
        <f aca="false">MIN(5,INT(J316/0.2)+1)</f>
        <v>3</v>
      </c>
      <c r="L316" s="21" t="n">
        <v>0.558029176343451</v>
      </c>
    </row>
    <row r="317" customFormat="false" ht="15" hidden="false" customHeight="false" outlineLevel="0" collapsed="false">
      <c r="A317" s="15" t="n">
        <f aca="false">2_Matriz_decision!A317</f>
        <v>313</v>
      </c>
      <c r="B317" s="16" t="n">
        <f aca="false">2_Matriz_decision!B317</f>
        <v>31.533</v>
      </c>
      <c r="C317" s="21" t="n">
        <f aca="false">SQRT(SUMXMY2(5_Ponderada!C320:Q320,5_Ponderada!$C$6:$Q$6))</f>
        <v>0.0158269844068591</v>
      </c>
      <c r="D317" s="21" t="n">
        <f aca="false">SQRT(SUMXMY2(5_Ponderada!C320:Q320,5_Ponderada!$C$7:$Q$7))</f>
        <v>0.0101207222814236</v>
      </c>
      <c r="E317" s="21" t="n">
        <f aca="false">D317/(C317+D317)</f>
        <v>0.390043035517811</v>
      </c>
      <c r="F317" s="15" t="n">
        <f aca="false">MIN(5,INT(E317/0.2)+1)</f>
        <v>2</v>
      </c>
      <c r="G317" s="21" t="n">
        <v>0.390043035517811</v>
      </c>
      <c r="H317" s="28" t="n">
        <f aca="false">ABS(E317-G317)</f>
        <v>0</v>
      </c>
      <c r="I317" s="15" t="n">
        <v>2</v>
      </c>
      <c r="J317" s="21" t="n">
        <f aca="false">(SUMPRODUCT(2_Matriz_decision!C317:Q317,5_Ponderada!$C$5:$Q$5)-1)/4</f>
        <v>0.45139478281135</v>
      </c>
      <c r="K317" s="15" t="n">
        <f aca="false">MIN(5,INT(J317/0.2)+1)</f>
        <v>3</v>
      </c>
      <c r="L317" s="21" t="n">
        <v>0.451394782811351</v>
      </c>
    </row>
    <row r="318" customFormat="false" ht="15" hidden="false" customHeight="false" outlineLevel="0" collapsed="false">
      <c r="A318" s="15" t="n">
        <f aca="false">2_Matriz_decision!A318</f>
        <v>314</v>
      </c>
      <c r="B318" s="16" t="n">
        <f aca="false">2_Matriz_decision!B318</f>
        <v>31.633</v>
      </c>
      <c r="C318" s="21" t="n">
        <f aca="false">SQRT(SUMXMY2(5_Ponderada!C321:Q321,5_Ponderada!$C$6:$Q$6))</f>
        <v>0.0158249631730175</v>
      </c>
      <c r="D318" s="21" t="n">
        <f aca="false">SQRT(SUMXMY2(5_Ponderada!C321:Q321,5_Ponderada!$C$7:$Q$7))</f>
        <v>0.0101338987719877</v>
      </c>
      <c r="E318" s="21" t="n">
        <f aca="false">D318/(C318+D318)</f>
        <v>0.39038301422677</v>
      </c>
      <c r="F318" s="15" t="n">
        <f aca="false">MIN(5,INT(E318/0.2)+1)</f>
        <v>2</v>
      </c>
      <c r="G318" s="21" t="n">
        <v>0.39038301422677</v>
      </c>
      <c r="H318" s="28" t="n">
        <f aca="false">ABS(E318-G318)</f>
        <v>0</v>
      </c>
      <c r="I318" s="15" t="n">
        <v>2</v>
      </c>
      <c r="J318" s="21" t="n">
        <f aca="false">(SUMPRODUCT(2_Matriz_decision!C318:Q318,5_Ponderada!$C$5:$Q$5)-1)/4</f>
        <v>0.453061662929008</v>
      </c>
      <c r="K318" s="15" t="n">
        <f aca="false">MIN(5,INT(J318/0.2)+1)</f>
        <v>3</v>
      </c>
      <c r="L318" s="21" t="n">
        <v>0.453061662929008</v>
      </c>
    </row>
    <row r="319" customFormat="false" ht="15" hidden="false" customHeight="false" outlineLevel="0" collapsed="false">
      <c r="A319" s="15" t="n">
        <f aca="false">2_Matriz_decision!A319</f>
        <v>315</v>
      </c>
      <c r="B319" s="16" t="n">
        <f aca="false">2_Matriz_decision!B319</f>
        <v>31.734</v>
      </c>
      <c r="C319" s="21" t="n">
        <f aca="false">SQRT(SUMXMY2(5_Ponderada!C322:Q322,5_Ponderada!$C$6:$Q$6))</f>
        <v>0.0155622427195539</v>
      </c>
      <c r="D319" s="21" t="n">
        <f aca="false">SQRT(SUMXMY2(5_Ponderada!C322:Q322,5_Ponderada!$C$7:$Q$7))</f>
        <v>0.0126529201854605</v>
      </c>
      <c r="E319" s="21" t="n">
        <f aca="false">D319/(C319+D319)</f>
        <v>0.448443988363854</v>
      </c>
      <c r="F319" s="15" t="n">
        <f aca="false">MIN(5,INT(E319/0.2)+1)</f>
        <v>3</v>
      </c>
      <c r="G319" s="21" t="n">
        <v>0.448443988363854</v>
      </c>
      <c r="H319" s="28" t="n">
        <f aca="false">ABS(E319-G319)</f>
        <v>0</v>
      </c>
      <c r="I319" s="15" t="n">
        <v>3</v>
      </c>
      <c r="J319" s="21" t="n">
        <f aca="false">(SUMPRODUCT(2_Matriz_decision!C319:Q319,5_Ponderada!$C$5:$Q$5)-1)/4</f>
        <v>0.507582728998437</v>
      </c>
      <c r="K319" s="15" t="n">
        <f aca="false">MIN(5,INT(J319/0.2)+1)</f>
        <v>3</v>
      </c>
      <c r="L319" s="21" t="n">
        <v>0.507582728998437</v>
      </c>
    </row>
    <row r="320" customFormat="false" ht="15" hidden="false" customHeight="false" outlineLevel="0" collapsed="false">
      <c r="A320" s="15" t="n">
        <f aca="false">2_Matriz_decision!A320</f>
        <v>316</v>
      </c>
      <c r="B320" s="16" t="n">
        <f aca="false">2_Matriz_decision!B320</f>
        <v>31.834</v>
      </c>
      <c r="C320" s="21" t="n">
        <f aca="false">SQRT(SUMXMY2(5_Ponderada!C323:Q323,5_Ponderada!$C$6:$Q$6))</f>
        <v>0.0111103816614872</v>
      </c>
      <c r="D320" s="21" t="n">
        <f aca="false">SQRT(SUMXMY2(5_Ponderada!C323:Q323,5_Ponderada!$C$7:$Q$7))</f>
        <v>0.0152560632573483</v>
      </c>
      <c r="E320" s="21" t="n">
        <f aca="false">D320/(C320+D320)</f>
        <v>0.578616620644589</v>
      </c>
      <c r="F320" s="15" t="n">
        <f aca="false">MIN(5,INT(E320/0.2)+1)</f>
        <v>3</v>
      </c>
      <c r="G320" s="21" t="n">
        <v>0.578616620644589</v>
      </c>
      <c r="H320" s="28" t="n">
        <f aca="false">ABS(E320-G320)</f>
        <v>0</v>
      </c>
      <c r="I320" s="15" t="n">
        <v>3</v>
      </c>
      <c r="J320" s="21" t="n">
        <f aca="false">(SUMPRODUCT(2_Matriz_decision!C320:Q320,5_Ponderada!$C$5:$Q$5)-1)/4</f>
        <v>0.661648360707471</v>
      </c>
      <c r="K320" s="15" t="n">
        <f aca="false">MIN(5,INT(J320/0.2)+1)</f>
        <v>4</v>
      </c>
      <c r="L320" s="21" t="n">
        <v>0.661648360707472</v>
      </c>
    </row>
    <row r="321" customFormat="false" ht="15" hidden="false" customHeight="false" outlineLevel="0" collapsed="false">
      <c r="A321" s="15" t="n">
        <f aca="false">2_Matriz_decision!A321</f>
        <v>317</v>
      </c>
      <c r="B321" s="16" t="n">
        <f aca="false">2_Matriz_decision!B321</f>
        <v>31.933</v>
      </c>
      <c r="C321" s="21" t="n">
        <f aca="false">SQRT(SUMXMY2(5_Ponderada!C324:Q324,5_Ponderada!$C$6:$Q$6))</f>
        <v>0.0136602440427675</v>
      </c>
      <c r="D321" s="21" t="n">
        <f aca="false">SQRT(SUMXMY2(5_Ponderada!C324:Q324,5_Ponderada!$C$7:$Q$7))</f>
        <v>0.0130225623698901</v>
      </c>
      <c r="E321" s="21" t="n">
        <f aca="false">D321/(C321+D321)</f>
        <v>0.488050700833047</v>
      </c>
      <c r="F321" s="15" t="n">
        <f aca="false">MIN(5,INT(E321/0.2)+1)</f>
        <v>3</v>
      </c>
      <c r="G321" s="21" t="n">
        <v>0.488050700833047</v>
      </c>
      <c r="H321" s="28" t="n">
        <f aca="false">ABS(E321-G321)</f>
        <v>0</v>
      </c>
      <c r="I321" s="15" t="n">
        <v>3</v>
      </c>
      <c r="J321" s="21" t="n">
        <f aca="false">(SUMPRODUCT(2_Matriz_decision!C321:Q321,5_Ponderada!$C$5:$Q$5)-1)/4</f>
        <v>0.567651682041005</v>
      </c>
      <c r="K321" s="15" t="n">
        <f aca="false">MIN(5,INT(J321/0.2)+1)</f>
        <v>3</v>
      </c>
      <c r="L321" s="21" t="n">
        <v>0.567651682041006</v>
      </c>
    </row>
    <row r="322" customFormat="false" ht="15" hidden="false" customHeight="false" outlineLevel="0" collapsed="false">
      <c r="A322" s="15" t="n">
        <f aca="false">2_Matriz_decision!A322</f>
        <v>318</v>
      </c>
      <c r="B322" s="16" t="n">
        <f aca="false">2_Matriz_decision!B322</f>
        <v>32.033</v>
      </c>
      <c r="C322" s="21" t="n">
        <f aca="false">SQRT(SUMXMY2(5_Ponderada!C325:Q325,5_Ponderada!$C$6:$Q$6))</f>
        <v>0.0177697070465094</v>
      </c>
      <c r="D322" s="21" t="n">
        <f aca="false">SQRT(SUMXMY2(5_Ponderada!C325:Q325,5_Ponderada!$C$7:$Q$7))</f>
        <v>0.00609773774868501</v>
      </c>
      <c r="E322" s="21" t="n">
        <f aca="false">D322/(C322+D322)</f>
        <v>0.25548347554627</v>
      </c>
      <c r="F322" s="15" t="n">
        <f aca="false">MIN(5,INT(E322/0.2)+1)</f>
        <v>2</v>
      </c>
      <c r="G322" s="21" t="n">
        <v>0.25548347554627</v>
      </c>
      <c r="H322" s="28" t="n">
        <f aca="false">ABS(E322-G322)</f>
        <v>0</v>
      </c>
      <c r="I322" s="15" t="n">
        <v>2</v>
      </c>
      <c r="J322" s="21" t="n">
        <f aca="false">(SUMPRODUCT(2_Matriz_decision!C322:Q322,5_Ponderada!$C$5:$Q$5)-1)/4</f>
        <v>0.348336636817869</v>
      </c>
      <c r="K322" s="15" t="n">
        <f aca="false">MIN(5,INT(J322/0.2)+1)</f>
        <v>2</v>
      </c>
      <c r="L322" s="21" t="n">
        <v>0.34833663681787</v>
      </c>
    </row>
    <row r="323" customFormat="false" ht="15" hidden="false" customHeight="false" outlineLevel="0" collapsed="false">
      <c r="A323" s="15" t="n">
        <f aca="false">2_Matriz_decision!A323</f>
        <v>319</v>
      </c>
      <c r="B323" s="16" t="n">
        <f aca="false">2_Matriz_decision!B323</f>
        <v>32.133</v>
      </c>
      <c r="C323" s="21" t="n">
        <f aca="false">SQRT(SUMXMY2(5_Ponderada!C326:Q326,5_Ponderada!$C$6:$Q$6))</f>
        <v>0.0148311494382667</v>
      </c>
      <c r="D323" s="21" t="n">
        <f aca="false">SQRT(SUMXMY2(5_Ponderada!C326:Q326,5_Ponderada!$C$7:$Q$7))</f>
        <v>0.00830385527351355</v>
      </c>
      <c r="E323" s="21" t="n">
        <f aca="false">D323/(C323+D323)</f>
        <v>0.358930347193111</v>
      </c>
      <c r="F323" s="15" t="n">
        <f aca="false">MIN(5,INT(E323/0.2)+1)</f>
        <v>2</v>
      </c>
      <c r="G323" s="21" t="n">
        <v>0.358930347193111</v>
      </c>
      <c r="H323" s="28" t="n">
        <f aca="false">ABS(E323-G323)</f>
        <v>0</v>
      </c>
      <c r="I323" s="15" t="n">
        <v>2</v>
      </c>
      <c r="J323" s="21" t="n">
        <f aca="false">(SUMPRODUCT(2_Matriz_decision!C323:Q323,5_Ponderada!$C$5:$Q$5)-1)/4</f>
        <v>0.440915619185557</v>
      </c>
      <c r="K323" s="15" t="n">
        <f aca="false">MIN(5,INT(J323/0.2)+1)</f>
        <v>3</v>
      </c>
      <c r="L323" s="21" t="n">
        <v>0.440915619185557</v>
      </c>
    </row>
    <row r="324" customFormat="false" ht="15" hidden="false" customHeight="false" outlineLevel="0" collapsed="false">
      <c r="A324" s="15" t="n">
        <f aca="false">2_Matriz_decision!A324</f>
        <v>320</v>
      </c>
      <c r="B324" s="16" t="n">
        <f aca="false">2_Matriz_decision!B324</f>
        <v>32.233</v>
      </c>
      <c r="C324" s="21" t="n">
        <f aca="false">SQRT(SUMXMY2(5_Ponderada!C327:Q327,5_Ponderada!$C$6:$Q$6))</f>
        <v>0.0158325969330498</v>
      </c>
      <c r="D324" s="21" t="n">
        <f aca="false">SQRT(SUMXMY2(5_Ponderada!C327:Q327,5_Ponderada!$C$7:$Q$7))</f>
        <v>0.0101516883094899</v>
      </c>
      <c r="E324" s="21" t="n">
        <f aca="false">D324/(C324+D324)</f>
        <v>0.390685686165046</v>
      </c>
      <c r="F324" s="15" t="n">
        <f aca="false">MIN(5,INT(E324/0.2)+1)</f>
        <v>2</v>
      </c>
      <c r="G324" s="21" t="n">
        <v>0.390685686165046</v>
      </c>
      <c r="H324" s="28" t="n">
        <f aca="false">ABS(E324-G324)</f>
        <v>0</v>
      </c>
      <c r="I324" s="15" t="n">
        <v>2</v>
      </c>
      <c r="J324" s="21" t="n">
        <f aca="false">(SUMPRODUCT(2_Matriz_decision!C324:Q324,5_Ponderada!$C$5:$Q$5)-1)/4</f>
        <v>0.459691278521984</v>
      </c>
      <c r="K324" s="15" t="n">
        <f aca="false">MIN(5,INT(J324/0.2)+1)</f>
        <v>3</v>
      </c>
      <c r="L324" s="21" t="n">
        <v>0.459691278521984</v>
      </c>
    </row>
    <row r="325" customFormat="false" ht="15" hidden="false" customHeight="false" outlineLevel="0" collapsed="false">
      <c r="A325" s="15" t="n">
        <f aca="false">2_Matriz_decision!A325</f>
        <v>321</v>
      </c>
      <c r="B325" s="16" t="n">
        <f aca="false">2_Matriz_decision!B325</f>
        <v>32.333</v>
      </c>
      <c r="C325" s="21" t="n">
        <f aca="false">SQRT(SUMXMY2(5_Ponderada!C328:Q328,5_Ponderada!$C$6:$Q$6))</f>
        <v>0.015826383164209</v>
      </c>
      <c r="D325" s="21" t="n">
        <f aca="false">SQRT(SUMXMY2(5_Ponderada!C328:Q328,5_Ponderada!$C$7:$Q$7))</f>
        <v>0.0101669652159959</v>
      </c>
      <c r="E325" s="21" t="n">
        <f aca="false">D325/(C325+D325)</f>
        <v>0.391137188917858</v>
      </c>
      <c r="F325" s="15" t="n">
        <f aca="false">MIN(5,INT(E325/0.2)+1)</f>
        <v>2</v>
      </c>
      <c r="G325" s="21" t="n">
        <v>0.391137188917858</v>
      </c>
      <c r="H325" s="28" t="n">
        <f aca="false">ABS(E325-G325)</f>
        <v>0</v>
      </c>
      <c r="I325" s="15" t="n">
        <v>2</v>
      </c>
      <c r="J325" s="21" t="n">
        <f aca="false">(SUMPRODUCT(2_Matriz_decision!C325:Q325,5_Ponderada!$C$5:$Q$5)-1)/4</f>
        <v>0.460877219732042</v>
      </c>
      <c r="K325" s="15" t="n">
        <f aca="false">MIN(5,INT(J325/0.2)+1)</f>
        <v>3</v>
      </c>
      <c r="L325" s="21" t="n">
        <v>0.460877219732042</v>
      </c>
    </row>
    <row r="326" customFormat="false" ht="15" hidden="false" customHeight="false" outlineLevel="0" collapsed="false">
      <c r="A326" s="15" t="n">
        <f aca="false">2_Matriz_decision!A326</f>
        <v>322</v>
      </c>
      <c r="B326" s="16" t="n">
        <f aca="false">2_Matriz_decision!B326</f>
        <v>32.434</v>
      </c>
      <c r="C326" s="21" t="n">
        <f aca="false">SQRT(SUMXMY2(5_Ponderada!C329:Q329,5_Ponderada!$C$6:$Q$6))</f>
        <v>0.0158181015450131</v>
      </c>
      <c r="D326" s="21" t="n">
        <f aca="false">SQRT(SUMXMY2(5_Ponderada!C329:Q329,5_Ponderada!$C$7:$Q$7))</f>
        <v>0.0101884382251724</v>
      </c>
      <c r="E326" s="21" t="n">
        <f aca="false">D326/(C326+D326)</f>
        <v>0.39176446829165</v>
      </c>
      <c r="F326" s="15" t="n">
        <f aca="false">MIN(5,INT(E326/0.2)+1)</f>
        <v>2</v>
      </c>
      <c r="G326" s="21" t="n">
        <v>0.39176446829165</v>
      </c>
      <c r="H326" s="28" t="n">
        <f aca="false">ABS(E326-G326)</f>
        <v>0</v>
      </c>
      <c r="I326" s="15" t="n">
        <v>2</v>
      </c>
      <c r="J326" s="21" t="n">
        <f aca="false">(SUMPRODUCT(2_Matriz_decision!C326:Q326,5_Ponderada!$C$5:$Q$5)-1)/4</f>
        <v>0.464456863964037</v>
      </c>
      <c r="K326" s="15" t="n">
        <f aca="false">MIN(5,INT(J326/0.2)+1)</f>
        <v>3</v>
      </c>
      <c r="L326" s="21" t="n">
        <v>0.464456863964038</v>
      </c>
    </row>
    <row r="327" customFormat="false" ht="15" hidden="false" customHeight="false" outlineLevel="0" collapsed="false">
      <c r="A327" s="15" t="n">
        <f aca="false">2_Matriz_decision!A327</f>
        <v>323</v>
      </c>
      <c r="B327" s="16" t="n">
        <f aca="false">2_Matriz_decision!B327</f>
        <v>32.535</v>
      </c>
      <c r="C327" s="21" t="n">
        <f aca="false">SQRT(SUMXMY2(5_Ponderada!C330:Q330,5_Ponderada!$C$6:$Q$6))</f>
        <v>0.0158205889218987</v>
      </c>
      <c r="D327" s="21" t="n">
        <f aca="false">SQRT(SUMXMY2(5_Ponderada!C330:Q330,5_Ponderada!$C$7:$Q$7))</f>
        <v>0.0101814269803503</v>
      </c>
      <c r="E327" s="21" t="n">
        <f aca="false">D327/(C327+D327)</f>
        <v>0.391562985678725</v>
      </c>
      <c r="F327" s="15" t="n">
        <f aca="false">MIN(5,INT(E327/0.2)+1)</f>
        <v>2</v>
      </c>
      <c r="G327" s="21" t="n">
        <v>0.391562985678725</v>
      </c>
      <c r="H327" s="28" t="n">
        <f aca="false">ABS(E327-G327)</f>
        <v>0</v>
      </c>
      <c r="I327" s="15" t="n">
        <v>2</v>
      </c>
      <c r="J327" s="21" t="n">
        <f aca="false">(SUMPRODUCT(2_Matriz_decision!C327:Q327,5_Ponderada!$C$5:$Q$5)-1)/4</f>
        <v>0.463276315380904</v>
      </c>
      <c r="K327" s="15" t="n">
        <f aca="false">MIN(5,INT(J327/0.2)+1)</f>
        <v>3</v>
      </c>
      <c r="L327" s="21" t="n">
        <v>0.463276315380905</v>
      </c>
    </row>
    <row r="328" customFormat="false" ht="15" hidden="false" customHeight="false" outlineLevel="0" collapsed="false">
      <c r="A328" s="15" t="n">
        <f aca="false">2_Matriz_decision!A328</f>
        <v>324</v>
      </c>
      <c r="B328" s="16" t="n">
        <f aca="false">2_Matriz_decision!B328</f>
        <v>32.635</v>
      </c>
      <c r="C328" s="21" t="n">
        <f aca="false">SQRT(SUMXMY2(5_Ponderada!C331:Q331,5_Ponderada!$C$6:$Q$6))</f>
        <v>0.0165744649467523</v>
      </c>
      <c r="D328" s="21" t="n">
        <f aca="false">SQRT(SUMXMY2(5_Ponderada!C331:Q331,5_Ponderada!$C$7:$Q$7))</f>
        <v>0.00793141541334184</v>
      </c>
      <c r="E328" s="21" t="n">
        <f aca="false">D328/(C328+D328)</f>
        <v>0.323653559749582</v>
      </c>
      <c r="F328" s="15" t="n">
        <f aca="false">MIN(5,INT(E328/0.2)+1)</f>
        <v>2</v>
      </c>
      <c r="G328" s="21" t="n">
        <v>0.323653559749582</v>
      </c>
      <c r="H328" s="28" t="n">
        <f aca="false">ABS(E328-G328)</f>
        <v>0</v>
      </c>
      <c r="I328" s="15" t="n">
        <v>2</v>
      </c>
      <c r="J328" s="21" t="n">
        <f aca="false">(SUMPRODUCT(2_Matriz_decision!C328:Q328,5_Ponderada!$C$5:$Q$5)-1)/4</f>
        <v>0.411784407870512</v>
      </c>
      <c r="K328" s="15" t="n">
        <f aca="false">MIN(5,INT(J328/0.2)+1)</f>
        <v>3</v>
      </c>
      <c r="L328" s="21" t="n">
        <v>0.411784407870513</v>
      </c>
    </row>
    <row r="329" customFormat="false" ht="15" hidden="false" customHeight="false" outlineLevel="0" collapsed="false">
      <c r="A329" s="15" t="n">
        <f aca="false">2_Matriz_decision!A329</f>
        <v>325</v>
      </c>
      <c r="B329" s="16" t="n">
        <f aca="false">2_Matriz_decision!B329</f>
        <v>32.736</v>
      </c>
      <c r="C329" s="21" t="n">
        <f aca="false">SQRT(SUMXMY2(5_Ponderada!C332:Q332,5_Ponderada!$C$6:$Q$6))</f>
        <v>0.0165751519224502</v>
      </c>
      <c r="D329" s="21" t="n">
        <f aca="false">SQRT(SUMXMY2(5_Ponderada!C332:Q332,5_Ponderada!$C$7:$Q$7))</f>
        <v>0.00792577608278171</v>
      </c>
      <c r="E329" s="21" t="n">
        <f aca="false">D329/(C329+D329)</f>
        <v>0.32348881157029</v>
      </c>
      <c r="F329" s="15" t="n">
        <f aca="false">MIN(5,INT(E329/0.2)+1)</f>
        <v>2</v>
      </c>
      <c r="G329" s="21" t="n">
        <v>0.32348881157029</v>
      </c>
      <c r="H329" s="28" t="n">
        <f aca="false">ABS(E329-G329)</f>
        <v>0</v>
      </c>
      <c r="I329" s="15" t="n">
        <v>2</v>
      </c>
      <c r="J329" s="21" t="n">
        <f aca="false">(SUMPRODUCT(2_Matriz_decision!C329:Q329,5_Ponderada!$C$5:$Q$5)-1)/4</f>
        <v>0.411810298205947</v>
      </c>
      <c r="K329" s="15" t="n">
        <f aca="false">MIN(5,INT(J329/0.2)+1)</f>
        <v>3</v>
      </c>
      <c r="L329" s="21" t="n">
        <v>0.411810298205947</v>
      </c>
    </row>
    <row r="330" customFormat="false" ht="15" hidden="false" customHeight="false" outlineLevel="0" collapsed="false">
      <c r="A330" s="15" t="n">
        <f aca="false">2_Matriz_decision!A330</f>
        <v>326</v>
      </c>
      <c r="B330" s="16" t="n">
        <f aca="false">2_Matriz_decision!B330</f>
        <v>32.837</v>
      </c>
      <c r="C330" s="21" t="n">
        <f aca="false">SQRT(SUMXMY2(5_Ponderada!C333:Q333,5_Ponderada!$C$6:$Q$6))</f>
        <v>0.0165792153963086</v>
      </c>
      <c r="D330" s="21" t="n">
        <f aca="false">SQRT(SUMXMY2(5_Ponderada!C333:Q333,5_Ponderada!$C$7:$Q$7))</f>
        <v>0.00791097410565016</v>
      </c>
      <c r="E330" s="21" t="n">
        <f aca="false">D330/(C330+D330)</f>
        <v>0.323026251185906</v>
      </c>
      <c r="F330" s="15" t="n">
        <f aca="false">MIN(5,INT(E330/0.2)+1)</f>
        <v>2</v>
      </c>
      <c r="G330" s="21" t="n">
        <v>0.323026251185905</v>
      </c>
      <c r="H330" s="28" t="n">
        <f aca="false">ABS(E330-G330)</f>
        <v>0</v>
      </c>
      <c r="I330" s="15" t="n">
        <v>2</v>
      </c>
      <c r="J330" s="21" t="n">
        <f aca="false">(SUMPRODUCT(2_Matriz_decision!C330:Q330,5_Ponderada!$C$5:$Q$5)-1)/4</f>
        <v>0.410206831615004</v>
      </c>
      <c r="K330" s="15" t="n">
        <f aca="false">MIN(5,INT(J330/0.2)+1)</f>
        <v>3</v>
      </c>
      <c r="L330" s="21" t="n">
        <v>0.410206831615004</v>
      </c>
    </row>
    <row r="331" customFormat="false" ht="15" hidden="false" customHeight="false" outlineLevel="0" collapsed="false">
      <c r="A331" s="15" t="n">
        <f aca="false">2_Matriz_decision!A331</f>
        <v>327</v>
      </c>
      <c r="B331" s="16" t="n">
        <f aca="false">2_Matriz_decision!B331</f>
        <v>32.937</v>
      </c>
      <c r="C331" s="21" t="n">
        <f aca="false">SQRT(SUMXMY2(5_Ponderada!C334:Q334,5_Ponderada!$C$6:$Q$6))</f>
        <v>0.0124708871863194</v>
      </c>
      <c r="D331" s="21" t="n">
        <f aca="false">SQRT(SUMXMY2(5_Ponderada!C334:Q334,5_Ponderada!$C$7:$Q$7))</f>
        <v>0.011622994159264</v>
      </c>
      <c r="E331" s="21" t="n">
        <f aca="false">D331/(C331+D331)</f>
        <v>0.482404391079755</v>
      </c>
      <c r="F331" s="15" t="n">
        <f aca="false">MIN(5,INT(E331/0.2)+1)</f>
        <v>3</v>
      </c>
      <c r="G331" s="21" t="n">
        <v>0.482404391079754</v>
      </c>
      <c r="H331" s="28" t="n">
        <f aca="false">ABS(E331-G331)</f>
        <v>0</v>
      </c>
      <c r="I331" s="15" t="n">
        <v>3</v>
      </c>
      <c r="J331" s="21" t="n">
        <f aca="false">(SUMPRODUCT(2_Matriz_decision!C331:Q331,5_Ponderada!$C$5:$Q$5)-1)/4</f>
        <v>0.558316359249805</v>
      </c>
      <c r="K331" s="15" t="n">
        <f aca="false">MIN(5,INT(J331/0.2)+1)</f>
        <v>3</v>
      </c>
      <c r="L331" s="21" t="n">
        <v>0.558316359249805</v>
      </c>
    </row>
    <row r="332" customFormat="false" ht="15" hidden="false" customHeight="false" outlineLevel="0" collapsed="false">
      <c r="A332" s="15" t="n">
        <f aca="false">2_Matriz_decision!A332</f>
        <v>328</v>
      </c>
      <c r="B332" s="16" t="n">
        <f aca="false">2_Matriz_decision!B332</f>
        <v>33.037</v>
      </c>
      <c r="C332" s="21" t="n">
        <f aca="false">SQRT(SUMXMY2(5_Ponderada!C335:Q335,5_Ponderada!$C$6:$Q$6))</f>
        <v>0.0139472950920856</v>
      </c>
      <c r="D332" s="21" t="n">
        <f aca="false">SQRT(SUMXMY2(5_Ponderada!C335:Q335,5_Ponderada!$C$7:$Q$7))</f>
        <v>0.00924503760075155</v>
      </c>
      <c r="E332" s="21" t="n">
        <f aca="false">D332/(C332+D332)</f>
        <v>0.398624740477565</v>
      </c>
      <c r="F332" s="15" t="n">
        <f aca="false">MIN(5,INT(E332/0.2)+1)</f>
        <v>2</v>
      </c>
      <c r="G332" s="21" t="n">
        <v>0.398624740477565</v>
      </c>
      <c r="H332" s="28" t="n">
        <f aca="false">ABS(E332-G332)</f>
        <v>0</v>
      </c>
      <c r="I332" s="15" t="n">
        <v>2</v>
      </c>
      <c r="J332" s="21" t="n">
        <f aca="false">(SUMPRODUCT(2_Matriz_decision!C332:Q332,5_Ponderada!$C$5:$Q$5)-1)/4</f>
        <v>0.470912017350234</v>
      </c>
      <c r="K332" s="15" t="n">
        <f aca="false">MIN(5,INT(J332/0.2)+1)</f>
        <v>3</v>
      </c>
      <c r="L332" s="21" t="n">
        <v>0.470912017350235</v>
      </c>
    </row>
    <row r="333" customFormat="false" ht="15" hidden="false" customHeight="false" outlineLevel="0" collapsed="false">
      <c r="A333" s="15" t="n">
        <f aca="false">2_Matriz_decision!A333</f>
        <v>329</v>
      </c>
      <c r="B333" s="16" t="n">
        <f aca="false">2_Matriz_decision!B333</f>
        <v>33.138</v>
      </c>
      <c r="C333" s="21" t="n">
        <f aca="false">SQRT(SUMXMY2(5_Ponderada!C336:Q336,5_Ponderada!$C$6:$Q$6))</f>
        <v>0.0144724823499207</v>
      </c>
      <c r="D333" s="21" t="n">
        <f aca="false">SQRT(SUMXMY2(5_Ponderada!C336:Q336,5_Ponderada!$C$7:$Q$7))</f>
        <v>0.0101353910173499</v>
      </c>
      <c r="E333" s="21" t="n">
        <f aca="false">D333/(C333+D333)</f>
        <v>0.411875941739459</v>
      </c>
      <c r="F333" s="15" t="n">
        <f aca="false">MIN(5,INT(E333/0.2)+1)</f>
        <v>3</v>
      </c>
      <c r="G333" s="21" t="n">
        <v>0.411875941739459</v>
      </c>
      <c r="H333" s="28" t="n">
        <f aca="false">ABS(E333-G333)</f>
        <v>0</v>
      </c>
      <c r="I333" s="15" t="n">
        <v>3</v>
      </c>
      <c r="J333" s="21" t="n">
        <f aca="false">(SUMPRODUCT(2_Matriz_decision!C333:Q333,5_Ponderada!$C$5:$Q$5)-1)/4</f>
        <v>0.477481839908589</v>
      </c>
      <c r="K333" s="15" t="n">
        <f aca="false">MIN(5,INT(J333/0.2)+1)</f>
        <v>3</v>
      </c>
      <c r="L333" s="21" t="n">
        <v>0.477481839908589</v>
      </c>
    </row>
    <row r="334" customFormat="false" ht="15" hidden="false" customHeight="false" outlineLevel="0" collapsed="false">
      <c r="A334" s="15" t="n">
        <f aca="false">2_Matriz_decision!A334</f>
        <v>330</v>
      </c>
      <c r="B334" s="16" t="n">
        <f aca="false">2_Matriz_decision!B334</f>
        <v>33.238</v>
      </c>
      <c r="C334" s="21" t="n">
        <f aca="false">SQRT(SUMXMY2(5_Ponderada!C337:Q337,5_Ponderada!$C$6:$Q$6))</f>
        <v>0.0130293931993467</v>
      </c>
      <c r="D334" s="21" t="n">
        <f aca="false">SQRT(SUMXMY2(5_Ponderada!C337:Q337,5_Ponderada!$C$7:$Q$7))</f>
        <v>0.0112586414623876</v>
      </c>
      <c r="E334" s="21" t="n">
        <f aca="false">D334/(C334+D334)</f>
        <v>0.463546829506364</v>
      </c>
      <c r="F334" s="15" t="n">
        <f aca="false">MIN(5,INT(E334/0.2)+1)</f>
        <v>3</v>
      </c>
      <c r="G334" s="21" t="n">
        <v>0.463546829506364</v>
      </c>
      <c r="H334" s="28" t="n">
        <f aca="false">ABS(E334-G334)</f>
        <v>0</v>
      </c>
      <c r="I334" s="15" t="n">
        <v>3</v>
      </c>
      <c r="J334" s="21" t="n">
        <f aca="false">(SUMPRODUCT(2_Matriz_decision!C334:Q334,5_Ponderada!$C$5:$Q$5)-1)/4</f>
        <v>0.5270392624228</v>
      </c>
      <c r="K334" s="15" t="n">
        <f aca="false">MIN(5,INT(J334/0.2)+1)</f>
        <v>3</v>
      </c>
      <c r="L334" s="21" t="n">
        <v>0.5270392624228</v>
      </c>
    </row>
    <row r="335" customFormat="false" ht="15" hidden="false" customHeight="false" outlineLevel="0" collapsed="false">
      <c r="A335" s="15" t="n">
        <f aca="false">2_Matriz_decision!A335</f>
        <v>331</v>
      </c>
      <c r="B335" s="16" t="n">
        <f aca="false">2_Matriz_decision!B335</f>
        <v>33.338</v>
      </c>
      <c r="C335" s="21" t="n">
        <f aca="false">SQRT(SUMXMY2(5_Ponderada!C338:Q338,5_Ponderada!$C$6:$Q$6))</f>
        <v>0.0130257503993523</v>
      </c>
      <c r="D335" s="21" t="n">
        <f aca="false">SQRT(SUMXMY2(5_Ponderada!C338:Q338,5_Ponderada!$C$7:$Q$7))</f>
        <v>0.0112716190268527</v>
      </c>
      <c r="E335" s="21" t="n">
        <f aca="false">D335/(C335+D335)</f>
        <v>0.463902854219936</v>
      </c>
      <c r="F335" s="15" t="n">
        <f aca="false">MIN(5,INT(E335/0.2)+1)</f>
        <v>3</v>
      </c>
      <c r="G335" s="21" t="n">
        <v>0.463902854219936</v>
      </c>
      <c r="H335" s="28" t="n">
        <f aca="false">ABS(E335-G335)</f>
        <v>0</v>
      </c>
      <c r="I335" s="15" t="n">
        <v>3</v>
      </c>
      <c r="J335" s="21" t="n">
        <f aca="false">(SUMPRODUCT(2_Matriz_decision!C335:Q335,5_Ponderada!$C$5:$Q$5)-1)/4</f>
        <v>0.528255618040746</v>
      </c>
      <c r="K335" s="15" t="n">
        <f aca="false">MIN(5,INT(J335/0.2)+1)</f>
        <v>3</v>
      </c>
      <c r="L335" s="21" t="n">
        <v>0.528255618040746</v>
      </c>
    </row>
    <row r="336" customFormat="false" ht="15" hidden="false" customHeight="false" outlineLevel="0" collapsed="false">
      <c r="A336" s="15" t="n">
        <f aca="false">2_Matriz_decision!A336</f>
        <v>332</v>
      </c>
      <c r="B336" s="16" t="n">
        <f aca="false">2_Matriz_decision!B336</f>
        <v>33.438</v>
      </c>
      <c r="C336" s="21" t="n">
        <f aca="false">SQRT(SUMXMY2(5_Ponderada!C339:Q339,5_Ponderada!$C$6:$Q$6))</f>
        <v>0.0141789235752077</v>
      </c>
      <c r="D336" s="21" t="n">
        <f aca="false">SQRT(SUMXMY2(5_Ponderada!C339:Q339,5_Ponderada!$C$7:$Q$7))</f>
        <v>0.0126728324221348</v>
      </c>
      <c r="E336" s="21" t="n">
        <f aca="false">D336/(C336+D336)</f>
        <v>0.471955443934058</v>
      </c>
      <c r="F336" s="15" t="n">
        <f aca="false">MIN(5,INT(E336/0.2)+1)</f>
        <v>3</v>
      </c>
      <c r="G336" s="21" t="n">
        <v>0.471955443934058</v>
      </c>
      <c r="H336" s="28" t="n">
        <f aca="false">ABS(E336-G336)</f>
        <v>0</v>
      </c>
      <c r="I336" s="15" t="n">
        <v>3</v>
      </c>
      <c r="J336" s="21" t="n">
        <f aca="false">(SUMPRODUCT(2_Matriz_decision!C336:Q336,5_Ponderada!$C$5:$Q$5)-1)/4</f>
        <v>0.533296130673366</v>
      </c>
      <c r="K336" s="15" t="n">
        <f aca="false">MIN(5,INT(J336/0.2)+1)</f>
        <v>3</v>
      </c>
      <c r="L336" s="21" t="n">
        <v>0.533296130673366</v>
      </c>
    </row>
    <row r="337" customFormat="false" ht="15" hidden="false" customHeight="false" outlineLevel="0" collapsed="false">
      <c r="A337" s="15" t="n">
        <f aca="false">2_Matriz_decision!A337</f>
        <v>333</v>
      </c>
      <c r="B337" s="16" t="n">
        <f aca="false">2_Matriz_decision!B337</f>
        <v>33.539</v>
      </c>
      <c r="C337" s="21" t="n">
        <f aca="false">SQRT(SUMXMY2(5_Ponderada!C340:Q340,5_Ponderada!$C$6:$Q$6))</f>
        <v>0.0117451829188283</v>
      </c>
      <c r="D337" s="21" t="n">
        <f aca="false">SQRT(SUMXMY2(5_Ponderada!C340:Q340,5_Ponderada!$C$7:$Q$7))</f>
        <v>0.0149448719407894</v>
      </c>
      <c r="E337" s="21" t="n">
        <f aca="false">D337/(C337+D337)</f>
        <v>0.559941596950448</v>
      </c>
      <c r="F337" s="15" t="n">
        <f aca="false">MIN(5,INT(E337/0.2)+1)</f>
        <v>3</v>
      </c>
      <c r="G337" s="21" t="n">
        <v>0.559941596950448</v>
      </c>
      <c r="H337" s="28" t="n">
        <f aca="false">ABS(E337-G337)</f>
        <v>0</v>
      </c>
      <c r="I337" s="15" t="n">
        <v>3</v>
      </c>
      <c r="J337" s="21" t="n">
        <f aca="false">(SUMPRODUCT(2_Matriz_decision!C337:Q337,5_Ponderada!$C$5:$Q$5)-1)/4</f>
        <v>0.6327070903412</v>
      </c>
      <c r="K337" s="15" t="n">
        <f aca="false">MIN(5,INT(J337/0.2)+1)</f>
        <v>4</v>
      </c>
      <c r="L337" s="21" t="n">
        <v>0.632707090341201</v>
      </c>
    </row>
    <row r="338" customFormat="false" ht="15" hidden="false" customHeight="false" outlineLevel="0" collapsed="false">
      <c r="A338" s="15" t="n">
        <f aca="false">2_Matriz_decision!A338</f>
        <v>334</v>
      </c>
      <c r="B338" s="16" t="n">
        <f aca="false">2_Matriz_decision!B338</f>
        <v>33.639</v>
      </c>
      <c r="C338" s="21" t="n">
        <f aca="false">SQRT(SUMXMY2(5_Ponderada!C341:Q341,5_Ponderada!$C$6:$Q$6))</f>
        <v>0.0161398727635953</v>
      </c>
      <c r="D338" s="21" t="n">
        <f aca="false">SQRT(SUMXMY2(5_Ponderada!C341:Q341,5_Ponderada!$C$7:$Q$7))</f>
        <v>0.0122390896716332</v>
      </c>
      <c r="E338" s="21" t="n">
        <f aca="false">D338/(C338+D338)</f>
        <v>0.431273331418209</v>
      </c>
      <c r="F338" s="15" t="n">
        <f aca="false">MIN(5,INT(E338/0.2)+1)</f>
        <v>3</v>
      </c>
      <c r="G338" s="21" t="n">
        <v>0.431273331418209</v>
      </c>
      <c r="H338" s="28" t="n">
        <f aca="false">ABS(E338-G338)</f>
        <v>0</v>
      </c>
      <c r="I338" s="15" t="n">
        <v>3</v>
      </c>
      <c r="J338" s="21" t="n">
        <f aca="false">(SUMPRODUCT(2_Matriz_decision!C338:Q338,5_Ponderada!$C$5:$Q$5)-1)/4</f>
        <v>0.474210649801407</v>
      </c>
      <c r="K338" s="15" t="n">
        <f aca="false">MIN(5,INT(J338/0.2)+1)</f>
        <v>3</v>
      </c>
      <c r="L338" s="21" t="n">
        <v>0.474210649801407</v>
      </c>
    </row>
    <row r="339" customFormat="false" ht="15" hidden="false" customHeight="false" outlineLevel="0" collapsed="false">
      <c r="A339" s="15" t="n">
        <f aca="false">2_Matriz_decision!A339</f>
        <v>335</v>
      </c>
      <c r="B339" s="16" t="n">
        <f aca="false">2_Matriz_decision!B339</f>
        <v>33.74</v>
      </c>
      <c r="C339" s="21" t="n">
        <f aca="false">SQRT(SUMXMY2(5_Ponderada!C342:Q342,5_Ponderada!$C$6:$Q$6))</f>
        <v>0.0113906570968102</v>
      </c>
      <c r="D339" s="21" t="n">
        <f aca="false">SQRT(SUMXMY2(5_Ponderada!C342:Q342,5_Ponderada!$C$7:$Q$7))</f>
        <v>0.0167517218783149</v>
      </c>
      <c r="E339" s="21" t="n">
        <f aca="false">D339/(C339+D339)</f>
        <v>0.59524896218339</v>
      </c>
      <c r="F339" s="15" t="n">
        <f aca="false">MIN(5,INT(E339/0.2)+1)</f>
        <v>3</v>
      </c>
      <c r="G339" s="21" t="n">
        <v>0.59524896218339</v>
      </c>
      <c r="H339" s="28" t="n">
        <f aca="false">ABS(E339-G339)</f>
        <v>0</v>
      </c>
      <c r="I339" s="15" t="n">
        <v>3</v>
      </c>
      <c r="J339" s="21" t="n">
        <f aca="false">(SUMPRODUCT(2_Matriz_decision!C339:Q339,5_Ponderada!$C$5:$Q$5)-1)/4</f>
        <v>0.686580683739283</v>
      </c>
      <c r="K339" s="15" t="n">
        <f aca="false">MIN(5,INT(J339/0.2)+1)</f>
        <v>4</v>
      </c>
      <c r="L339" s="21" t="n">
        <v>0.686580683739283</v>
      </c>
    </row>
    <row r="340" customFormat="false" ht="15" hidden="false" customHeight="false" outlineLevel="0" collapsed="false">
      <c r="A340" s="15" t="n">
        <f aca="false">2_Matriz_decision!A340</f>
        <v>336</v>
      </c>
      <c r="B340" s="16" t="n">
        <f aca="false">2_Matriz_decision!B340</f>
        <v>33.841</v>
      </c>
      <c r="C340" s="21" t="n">
        <f aca="false">SQRT(SUMXMY2(5_Ponderada!C343:Q343,5_Ponderada!$C$6:$Q$6))</f>
        <v>0.0113909255645579</v>
      </c>
      <c r="D340" s="21" t="n">
        <f aca="false">SQRT(SUMXMY2(5_Ponderada!C343:Q343,5_Ponderada!$C$7:$Q$7))</f>
        <v>0.0167488976359295</v>
      </c>
      <c r="E340" s="21" t="n">
        <f aca="false">D340/(C340+D340)</f>
        <v>0.595202660535529</v>
      </c>
      <c r="F340" s="15" t="n">
        <f aca="false">MIN(5,INT(E340/0.2)+1)</f>
        <v>3</v>
      </c>
      <c r="G340" s="21" t="n">
        <v>0.595202660535529</v>
      </c>
      <c r="H340" s="28" t="n">
        <f aca="false">ABS(E340-G340)</f>
        <v>0</v>
      </c>
      <c r="I340" s="15" t="n">
        <v>3</v>
      </c>
      <c r="J340" s="21" t="n">
        <f aca="false">(SUMPRODUCT(2_Matriz_decision!C340:Q340,5_Ponderada!$C$5:$Q$5)-1)/4</f>
        <v>0.686527432546285</v>
      </c>
      <c r="K340" s="15" t="n">
        <f aca="false">MIN(5,INT(J340/0.2)+1)</f>
        <v>4</v>
      </c>
      <c r="L340" s="21" t="n">
        <v>0.686527432546286</v>
      </c>
    </row>
    <row r="341" customFormat="false" ht="15" hidden="false" customHeight="false" outlineLevel="0" collapsed="false">
      <c r="A341" s="15" t="n">
        <f aca="false">2_Matriz_decision!A341</f>
        <v>337</v>
      </c>
      <c r="B341" s="16" t="n">
        <f aca="false">2_Matriz_decision!B341</f>
        <v>33.942</v>
      </c>
      <c r="C341" s="21" t="n">
        <f aca="false">SQRT(SUMXMY2(5_Ponderada!C344:Q344,5_Ponderada!$C$6:$Q$6))</f>
        <v>0.0161481461159896</v>
      </c>
      <c r="D341" s="21" t="n">
        <f aca="false">SQRT(SUMXMY2(5_Ponderada!C344:Q344,5_Ponderada!$C$7:$Q$7))</f>
        <v>0.0122155740783592</v>
      </c>
      <c r="E341" s="21" t="n">
        <f aca="false">D341/(C341+D341)</f>
        <v>0.430676018331086</v>
      </c>
      <c r="F341" s="15" t="n">
        <f aca="false">MIN(5,INT(E341/0.2)+1)</f>
        <v>3</v>
      </c>
      <c r="G341" s="21" t="n">
        <v>0.430676018331086</v>
      </c>
      <c r="H341" s="28" t="n">
        <f aca="false">ABS(E341-G341)</f>
        <v>0</v>
      </c>
      <c r="I341" s="15" t="n">
        <v>3</v>
      </c>
      <c r="J341" s="21" t="n">
        <f aca="false">(SUMPRODUCT(2_Matriz_decision!C341:Q341,5_Ponderada!$C$5:$Q$5)-1)/4</f>
        <v>0.470343549600314</v>
      </c>
      <c r="K341" s="15" t="n">
        <f aca="false">MIN(5,INT(J341/0.2)+1)</f>
        <v>3</v>
      </c>
      <c r="L341" s="21" t="n">
        <v>0.470343549600314</v>
      </c>
    </row>
    <row r="342" customFormat="false" ht="15" hidden="false" customHeight="false" outlineLevel="0" collapsed="false">
      <c r="A342" s="15" t="n">
        <f aca="false">2_Matriz_decision!A342</f>
        <v>338</v>
      </c>
      <c r="B342" s="16" t="n">
        <f aca="false">2_Matriz_decision!B342</f>
        <v>34.044</v>
      </c>
      <c r="C342" s="21" t="n">
        <f aca="false">SQRT(SUMXMY2(5_Ponderada!C345:Q345,5_Ponderada!$C$6:$Q$6))</f>
        <v>0.0113965101290061</v>
      </c>
      <c r="D342" s="21" t="n">
        <f aca="false">SQRT(SUMXMY2(5_Ponderada!C345:Q345,5_Ponderada!$C$7:$Q$7))</f>
        <v>0.0167405310720756</v>
      </c>
      <c r="E342" s="21" t="n">
        <f aca="false">D342/(C342+D342)</f>
        <v>0.594964159608653</v>
      </c>
      <c r="F342" s="15" t="n">
        <f aca="false">MIN(5,INT(E342/0.2)+1)</f>
        <v>3</v>
      </c>
      <c r="G342" s="21" t="n">
        <v>0.594964159608652</v>
      </c>
      <c r="H342" s="28" t="n">
        <f aca="false">ABS(E342-G342)</f>
        <v>0</v>
      </c>
      <c r="I342" s="15" t="n">
        <v>3</v>
      </c>
      <c r="J342" s="21" t="n">
        <f aca="false">(SUMPRODUCT(2_Matriz_decision!C342:Q342,5_Ponderada!$C$5:$Q$5)-1)/4</f>
        <v>0.684526452410211</v>
      </c>
      <c r="K342" s="15" t="n">
        <f aca="false">MIN(5,INT(J342/0.2)+1)</f>
        <v>4</v>
      </c>
      <c r="L342" s="21" t="n">
        <v>0.684526452410211</v>
      </c>
    </row>
    <row r="343" customFormat="false" ht="15" hidden="false" customHeight="false" outlineLevel="0" collapsed="false">
      <c r="A343" s="15" t="n">
        <f aca="false">2_Matriz_decision!A343</f>
        <v>339</v>
      </c>
      <c r="B343" s="16" t="n">
        <f aca="false">2_Matriz_decision!B343</f>
        <v>34.145</v>
      </c>
      <c r="C343" s="21" t="n">
        <f aca="false">SQRT(SUMXMY2(5_Ponderada!C346:Q346,5_Ponderada!$C$6:$Q$6))</f>
        <v>0.0113915221874233</v>
      </c>
      <c r="D343" s="21" t="n">
        <f aca="false">SQRT(SUMXMY2(5_Ponderada!C346:Q346,5_Ponderada!$C$7:$Q$7))</f>
        <v>0.0167497027174569</v>
      </c>
      <c r="E343" s="21" t="n">
        <f aca="false">D343/(C343+D343)</f>
        <v>0.595201622320007</v>
      </c>
      <c r="F343" s="15" t="n">
        <f aca="false">MIN(5,INT(E343/0.2)+1)</f>
        <v>3</v>
      </c>
      <c r="G343" s="21" t="n">
        <v>0.595201622320006</v>
      </c>
      <c r="H343" s="28" t="n">
        <f aca="false">ABS(E343-G343)</f>
        <v>0</v>
      </c>
      <c r="I343" s="15" t="n">
        <v>3</v>
      </c>
      <c r="J343" s="21" t="n">
        <f aca="false">(SUMPRODUCT(2_Matriz_decision!C343:Q343,5_Ponderada!$C$5:$Q$5)-1)/4</f>
        <v>0.686238261687133</v>
      </c>
      <c r="K343" s="15" t="n">
        <f aca="false">MIN(5,INT(J343/0.2)+1)</f>
        <v>4</v>
      </c>
      <c r="L343" s="21" t="n">
        <v>0.686238261687133</v>
      </c>
    </row>
    <row r="344" customFormat="false" ht="15" hidden="false" customHeight="false" outlineLevel="0" collapsed="false">
      <c r="A344" s="15" t="n">
        <f aca="false">2_Matriz_decision!A344</f>
        <v>340</v>
      </c>
      <c r="B344" s="16" t="n">
        <f aca="false">2_Matriz_decision!B344</f>
        <v>34.246</v>
      </c>
      <c r="C344" s="21" t="n">
        <f aca="false">SQRT(SUMXMY2(5_Ponderada!C347:Q347,5_Ponderada!$C$6:$Q$6))</f>
        <v>0.0117408380461044</v>
      </c>
      <c r="D344" s="21" t="n">
        <f aca="false">SQRT(SUMXMY2(5_Ponderada!C347:Q347,5_Ponderada!$C$7:$Q$7))</f>
        <v>0.0149463683324681</v>
      </c>
      <c r="E344" s="21" t="n">
        <f aca="false">D344/(C344+D344)</f>
        <v>0.560057434279398</v>
      </c>
      <c r="F344" s="15" t="n">
        <f aca="false">MIN(5,INT(E344/0.2)+1)</f>
        <v>3</v>
      </c>
      <c r="G344" s="21" t="n">
        <v>0.560057434279398</v>
      </c>
      <c r="H344" s="28" t="n">
        <f aca="false">ABS(E344-G344)</f>
        <v>0</v>
      </c>
      <c r="I344" s="15" t="n">
        <v>3</v>
      </c>
      <c r="J344" s="21" t="n">
        <f aca="false">(SUMPRODUCT(2_Matriz_decision!C344:Q344,5_Ponderada!$C$5:$Q$5)-1)/4</f>
        <v>0.634717153019194</v>
      </c>
      <c r="K344" s="15" t="n">
        <f aca="false">MIN(5,INT(J344/0.2)+1)</f>
        <v>4</v>
      </c>
      <c r="L344" s="21" t="n">
        <v>0.634717153019194</v>
      </c>
    </row>
    <row r="345" customFormat="false" ht="15" hidden="false" customHeight="false" outlineLevel="0" collapsed="false">
      <c r="A345" s="15" t="n">
        <f aca="false">2_Matriz_decision!A345</f>
        <v>341</v>
      </c>
      <c r="B345" s="16" t="n">
        <f aca="false">2_Matriz_decision!B345</f>
        <v>34.347</v>
      </c>
      <c r="C345" s="21" t="n">
        <f aca="false">SQRT(SUMXMY2(5_Ponderada!C348:Q348,5_Ponderada!$C$6:$Q$6))</f>
        <v>0.0160102573362858</v>
      </c>
      <c r="D345" s="21" t="n">
        <f aca="false">SQRT(SUMXMY2(5_Ponderada!C348:Q348,5_Ponderada!$C$7:$Q$7))</f>
        <v>0.0123593865179083</v>
      </c>
      <c r="E345" s="21" t="n">
        <f aca="false">D345/(C345+D345)</f>
        <v>0.435655328682639</v>
      </c>
      <c r="F345" s="15" t="n">
        <f aca="false">MIN(5,INT(E345/0.2)+1)</f>
        <v>3</v>
      </c>
      <c r="G345" s="21" t="n">
        <v>0.435655328682639</v>
      </c>
      <c r="H345" s="28" t="n">
        <f aca="false">ABS(E345-G345)</f>
        <v>0</v>
      </c>
      <c r="I345" s="15" t="n">
        <v>3</v>
      </c>
      <c r="J345" s="21" t="n">
        <f aca="false">(SUMPRODUCT(2_Matriz_decision!C345:Q345,5_Ponderada!$C$5:$Q$5)-1)/4</f>
        <v>0.486249310381932</v>
      </c>
      <c r="K345" s="15" t="n">
        <f aca="false">MIN(5,INT(J345/0.2)+1)</f>
        <v>3</v>
      </c>
      <c r="L345" s="21" t="n">
        <v>0.486249310381932</v>
      </c>
    </row>
    <row r="346" customFormat="false" ht="15" hidden="false" customHeight="false" outlineLevel="0" collapsed="false">
      <c r="A346" s="15" t="n">
        <f aca="false">2_Matriz_decision!A346</f>
        <v>342</v>
      </c>
      <c r="B346" s="16" t="n">
        <f aca="false">2_Matriz_decision!B346</f>
        <v>34.447</v>
      </c>
      <c r="C346" s="21" t="n">
        <f aca="false">SQRT(SUMXMY2(5_Ponderada!C349:Q349,5_Ponderada!$C$6:$Q$6))</f>
        <v>0.0124339356517056</v>
      </c>
      <c r="D346" s="21" t="n">
        <f aca="false">SQRT(SUMXMY2(5_Ponderada!C349:Q349,5_Ponderada!$C$7:$Q$7))</f>
        <v>0.0139946714753582</v>
      </c>
      <c r="E346" s="21" t="n">
        <f aca="false">D346/(C346+D346)</f>
        <v>0.529527394617296</v>
      </c>
      <c r="F346" s="15" t="n">
        <f aca="false">MIN(5,INT(E346/0.2)+1)</f>
        <v>3</v>
      </c>
      <c r="G346" s="21" t="n">
        <v>0.529527394617296</v>
      </c>
      <c r="H346" s="28" t="n">
        <f aca="false">ABS(E346-G346)</f>
        <v>0</v>
      </c>
      <c r="I346" s="15" t="n">
        <v>3</v>
      </c>
      <c r="J346" s="21" t="n">
        <f aca="false">(SUMPRODUCT(2_Matriz_decision!C346:Q346,5_Ponderada!$C$5:$Q$5)-1)/4</f>
        <v>0.614710258275261</v>
      </c>
      <c r="K346" s="15" t="n">
        <f aca="false">MIN(5,INT(J346/0.2)+1)</f>
        <v>4</v>
      </c>
      <c r="L346" s="21" t="n">
        <v>0.614710258275261</v>
      </c>
    </row>
    <row r="347" customFormat="false" ht="15" hidden="false" customHeight="false" outlineLevel="0" collapsed="false">
      <c r="A347" s="15" t="n">
        <f aca="false">2_Matriz_decision!A347</f>
        <v>343</v>
      </c>
      <c r="B347" s="16" t="n">
        <f aca="false">2_Matriz_decision!B347</f>
        <v>34.546</v>
      </c>
      <c r="C347" s="21" t="n">
        <f aca="false">SQRT(SUMXMY2(5_Ponderada!C350:Q350,5_Ponderada!$C$6:$Q$6))</f>
        <v>0.0110873394310994</v>
      </c>
      <c r="D347" s="21" t="n">
        <f aca="false">SQRT(SUMXMY2(5_Ponderada!C350:Q350,5_Ponderada!$C$7:$Q$7))</f>
        <v>0.0170477278005976</v>
      </c>
      <c r="E347" s="21" t="n">
        <f aca="false">D347/(C347+D347)</f>
        <v>0.605924544633453</v>
      </c>
      <c r="F347" s="15" t="n">
        <f aca="false">MIN(5,INT(E347/0.2)+1)</f>
        <v>4</v>
      </c>
      <c r="G347" s="21" t="n">
        <v>0.605924544633453</v>
      </c>
      <c r="H347" s="28" t="n">
        <f aca="false">ABS(E347-G347)</f>
        <v>0</v>
      </c>
      <c r="I347" s="15" t="n">
        <v>4</v>
      </c>
      <c r="J347" s="21" t="n">
        <f aca="false">(SUMPRODUCT(2_Matriz_decision!C347:Q347,5_Ponderada!$C$5:$Q$5)-1)/4</f>
        <v>0.711211424917283</v>
      </c>
      <c r="K347" s="15" t="n">
        <f aca="false">MIN(5,INT(J347/0.2)+1)</f>
        <v>4</v>
      </c>
      <c r="L347" s="21" t="n">
        <v>0.711211424917283</v>
      </c>
    </row>
    <row r="348" customFormat="false" ht="15" hidden="false" customHeight="false" outlineLevel="0" collapsed="false">
      <c r="A348" s="15" t="n">
        <f aca="false">2_Matriz_decision!A348</f>
        <v>344</v>
      </c>
      <c r="B348" s="16" t="n">
        <f aca="false">2_Matriz_decision!B348</f>
        <v>34.645</v>
      </c>
      <c r="C348" s="21" t="n">
        <f aca="false">SQRT(SUMXMY2(5_Ponderada!C351:Q351,5_Ponderada!$C$6:$Q$6))</f>
        <v>0.0110937549506293</v>
      </c>
      <c r="D348" s="21" t="n">
        <f aca="false">SQRT(SUMXMY2(5_Ponderada!C351:Q351,5_Ponderada!$C$7:$Q$7))</f>
        <v>0.0170153666515496</v>
      </c>
      <c r="E348" s="21" t="n">
        <f aca="false">D348/(C348+D348)</f>
        <v>0.605332564011203</v>
      </c>
      <c r="F348" s="15" t="n">
        <f aca="false">MIN(5,INT(E348/0.2)+1)</f>
        <v>4</v>
      </c>
      <c r="G348" s="21" t="n">
        <v>0.605332564011202</v>
      </c>
      <c r="H348" s="28" t="n">
        <f aca="false">ABS(E348-G348)</f>
        <v>0</v>
      </c>
      <c r="I348" s="15" t="n">
        <v>4</v>
      </c>
      <c r="J348" s="21" t="n">
        <f aca="false">(SUMPRODUCT(2_Matriz_decision!C348:Q348,5_Ponderada!$C$5:$Q$5)-1)/4</f>
        <v>0.701414247682299</v>
      </c>
      <c r="K348" s="15" t="n">
        <f aca="false">MIN(5,INT(J348/0.2)+1)</f>
        <v>4</v>
      </c>
      <c r="L348" s="21" t="n">
        <v>0.7014142476823</v>
      </c>
    </row>
    <row r="349" customFormat="false" ht="15" hidden="false" customHeight="false" outlineLevel="0" collapsed="false">
      <c r="A349" s="15" t="n">
        <f aca="false">2_Matriz_decision!A349</f>
        <v>345</v>
      </c>
      <c r="B349" s="16" t="n">
        <f aca="false">2_Matriz_decision!B349</f>
        <v>34.744</v>
      </c>
      <c r="C349" s="21" t="n">
        <f aca="false">SQRT(SUMXMY2(5_Ponderada!C352:Q352,5_Ponderada!$C$6:$Q$6))</f>
        <v>0.01111804007508</v>
      </c>
      <c r="D349" s="21" t="n">
        <f aca="false">SQRT(SUMXMY2(5_Ponderada!C352:Q352,5_Ponderada!$C$7:$Q$7))</f>
        <v>0.0169859570853654</v>
      </c>
      <c r="E349" s="21" t="n">
        <f aca="false">D349/(C349+D349)</f>
        <v>0.604396484542492</v>
      </c>
      <c r="F349" s="15" t="n">
        <f aca="false">MIN(5,INT(E349/0.2)+1)</f>
        <v>4</v>
      </c>
      <c r="G349" s="21" t="n">
        <v>0.604396484542492</v>
      </c>
      <c r="H349" s="28" t="n">
        <f aca="false">ABS(E349-G349)</f>
        <v>0</v>
      </c>
      <c r="I349" s="15" t="n">
        <v>4</v>
      </c>
      <c r="J349" s="21" t="n">
        <f aca="false">(SUMPRODUCT(2_Matriz_decision!C349:Q349,5_Ponderada!$C$5:$Q$5)-1)/4</f>
        <v>0.691021224397186</v>
      </c>
      <c r="K349" s="15" t="n">
        <f aca="false">MIN(5,INT(J349/0.2)+1)</f>
        <v>4</v>
      </c>
      <c r="L349" s="21" t="n">
        <v>0.691021224397187</v>
      </c>
    </row>
    <row r="350" customFormat="false" ht="15" hidden="false" customHeight="false" outlineLevel="0" collapsed="false">
      <c r="A350" s="15" t="n">
        <f aca="false">2_Matriz_decision!A350</f>
        <v>346</v>
      </c>
      <c r="B350" s="16" t="n">
        <f aca="false">2_Matriz_decision!B350</f>
        <v>34.843</v>
      </c>
      <c r="C350" s="21" t="n">
        <f aca="false">SQRT(SUMXMY2(5_Ponderada!C353:Q353,5_Ponderada!$C$6:$Q$6))</f>
        <v>0.011152955585566</v>
      </c>
      <c r="D350" s="21" t="n">
        <f aca="false">SQRT(SUMXMY2(5_Ponderada!C353:Q353,5_Ponderada!$C$7:$Q$7))</f>
        <v>0.0170061739111718</v>
      </c>
      <c r="E350" s="21" t="n">
        <f aca="false">D350/(C350+D350)</f>
        <v>0.603931094998585</v>
      </c>
      <c r="F350" s="15" t="n">
        <f aca="false">MIN(5,INT(E350/0.2)+1)</f>
        <v>4</v>
      </c>
      <c r="G350" s="21" t="n">
        <v>0.603931094998584</v>
      </c>
      <c r="H350" s="28" t="n">
        <f aca="false">ABS(E350-G350)</f>
        <v>0</v>
      </c>
      <c r="I350" s="15" t="n">
        <v>4</v>
      </c>
      <c r="J350" s="21" t="n">
        <f aca="false">(SUMPRODUCT(2_Matriz_decision!C350:Q350,5_Ponderada!$C$5:$Q$5)-1)/4</f>
        <v>0.689782641704127</v>
      </c>
      <c r="K350" s="15" t="n">
        <f aca="false">MIN(5,INT(J350/0.2)+1)</f>
        <v>4</v>
      </c>
      <c r="L350" s="21" t="n">
        <v>0.689782641704127</v>
      </c>
    </row>
    <row r="351" customFormat="false" ht="15" hidden="false" customHeight="false" outlineLevel="0" collapsed="false">
      <c r="A351" s="15" t="n">
        <f aca="false">2_Matriz_decision!A351</f>
        <v>347</v>
      </c>
      <c r="B351" s="16" t="n">
        <f aca="false">2_Matriz_decision!B351</f>
        <v>34.941</v>
      </c>
      <c r="C351" s="21" t="n">
        <f aca="false">SQRT(SUMXMY2(5_Ponderada!C354:Q354,5_Ponderada!$C$6:$Q$6))</f>
        <v>0.0115017059788158</v>
      </c>
      <c r="D351" s="21" t="n">
        <f aca="false">SQRT(SUMXMY2(5_Ponderada!C354:Q354,5_Ponderada!$C$7:$Q$7))</f>
        <v>0.0152251210646992</v>
      </c>
      <c r="E351" s="21" t="n">
        <f aca="false">D351/(C351+D351)</f>
        <v>0.569656885941252</v>
      </c>
      <c r="F351" s="15" t="n">
        <f aca="false">MIN(5,INT(E351/0.2)+1)</f>
        <v>3</v>
      </c>
      <c r="G351" s="21" t="n">
        <v>0.569656885941252</v>
      </c>
      <c r="H351" s="28" t="n">
        <f aca="false">ABS(E351-G351)</f>
        <v>0</v>
      </c>
      <c r="I351" s="15" t="n">
        <v>3</v>
      </c>
      <c r="J351" s="21" t="n">
        <f aca="false">(SUMPRODUCT(2_Matriz_decision!C351:Q351,5_Ponderada!$C$5:$Q$5)-1)/4</f>
        <v>0.64157326137169</v>
      </c>
      <c r="K351" s="15" t="n">
        <f aca="false">MIN(5,INT(J351/0.2)+1)</f>
        <v>4</v>
      </c>
      <c r="L351" s="21" t="n">
        <v>0.641573261371691</v>
      </c>
    </row>
    <row r="352" customFormat="false" ht="15" hidden="false" customHeight="false" outlineLevel="0" collapsed="false">
      <c r="A352" s="15" t="n">
        <f aca="false">2_Matriz_decision!A352</f>
        <v>348</v>
      </c>
      <c r="B352" s="16" t="n">
        <f aca="false">2_Matriz_decision!B352</f>
        <v>35.04</v>
      </c>
      <c r="C352" s="21" t="n">
        <f aca="false">SQRT(SUMXMY2(5_Ponderada!C355:Q355,5_Ponderada!$C$6:$Q$6))</f>
        <v>0.0127880140074524</v>
      </c>
      <c r="D352" s="21" t="n">
        <f aca="false">SQRT(SUMXMY2(5_Ponderada!C355:Q355,5_Ponderada!$C$7:$Q$7))</f>
        <v>0.0117349473310417</v>
      </c>
      <c r="E352" s="21" t="n">
        <f aca="false">D352/(C352+D352)</f>
        <v>0.478528965937778</v>
      </c>
      <c r="F352" s="15" t="n">
        <f aca="false">MIN(5,INT(E352/0.2)+1)</f>
        <v>3</v>
      </c>
      <c r="G352" s="21" t="n">
        <v>0.478528965937778</v>
      </c>
      <c r="H352" s="28" t="n">
        <f aca="false">ABS(E352-G352)</f>
        <v>0</v>
      </c>
      <c r="I352" s="15" t="n">
        <v>3</v>
      </c>
      <c r="J352" s="21" t="n">
        <f aca="false">(SUMPRODUCT(2_Matriz_decision!C352:Q352,5_Ponderada!$C$5:$Q$5)-1)/4</f>
        <v>0.556383840134726</v>
      </c>
      <c r="K352" s="15" t="n">
        <f aca="false">MIN(5,INT(J352/0.2)+1)</f>
        <v>3</v>
      </c>
      <c r="L352" s="21" t="n">
        <v>0.556383840134726</v>
      </c>
    </row>
    <row r="353" customFormat="false" ht="15" hidden="false" customHeight="false" outlineLevel="0" collapsed="false">
      <c r="A353" s="15" t="n">
        <f aca="false">2_Matriz_decision!A353</f>
        <v>349</v>
      </c>
      <c r="B353" s="16" t="n">
        <f aca="false">2_Matriz_decision!B353</f>
        <v>35.139</v>
      </c>
      <c r="C353" s="21" t="n">
        <f aca="false">SQRT(SUMXMY2(5_Ponderada!C356:Q356,5_Ponderada!$C$6:$Q$6))</f>
        <v>0.0160857473977208</v>
      </c>
      <c r="D353" s="21" t="n">
        <f aca="false">SQRT(SUMXMY2(5_Ponderada!C356:Q356,5_Ponderada!$C$7:$Q$7))</f>
        <v>0.0102717884019246</v>
      </c>
      <c r="E353" s="21" t="n">
        <f aca="false">D353/(C353+D353)</f>
        <v>0.389709739180656</v>
      </c>
      <c r="F353" s="15" t="n">
        <f aca="false">MIN(5,INT(E353/0.2)+1)</f>
        <v>2</v>
      </c>
      <c r="G353" s="21" t="n">
        <v>0.389709739180655</v>
      </c>
      <c r="H353" s="28" t="n">
        <f aca="false">ABS(E353-G353)</f>
        <v>0</v>
      </c>
      <c r="I353" s="15" t="n">
        <v>2</v>
      </c>
      <c r="J353" s="21" t="n">
        <f aca="false">(SUMPRODUCT(2_Matriz_decision!C353:Q353,5_Ponderada!$C$5:$Q$5)-1)/4</f>
        <v>0.457688849621897</v>
      </c>
      <c r="K353" s="15" t="n">
        <f aca="false">MIN(5,INT(J353/0.2)+1)</f>
        <v>3</v>
      </c>
      <c r="L353" s="21" t="n">
        <v>0.457688849621898</v>
      </c>
    </row>
    <row r="354" customFormat="false" ht="15" hidden="false" customHeight="false" outlineLevel="0" collapsed="false">
      <c r="A354" s="15" t="n">
        <f aca="false">2_Matriz_decision!A354</f>
        <v>350</v>
      </c>
      <c r="B354" s="16" t="n">
        <f aca="false">2_Matriz_decision!B354</f>
        <v>35.237</v>
      </c>
      <c r="C354" s="21" t="n">
        <f aca="false">SQRT(SUMXMY2(5_Ponderada!C357:Q357,5_Ponderada!$C$6:$Q$6))</f>
        <v>0.0160870202426766</v>
      </c>
      <c r="D354" s="21" t="n">
        <f aca="false">SQRT(SUMXMY2(5_Ponderada!C357:Q357,5_Ponderada!$C$7:$Q$7))</f>
        <v>0.0102692015374174</v>
      </c>
      <c r="E354" s="21" t="n">
        <f aca="false">D354/(C354+D354)</f>
        <v>0.389631018554161</v>
      </c>
      <c r="F354" s="15" t="n">
        <f aca="false">MIN(5,INT(E354/0.2)+1)</f>
        <v>2</v>
      </c>
      <c r="G354" s="21" t="n">
        <v>0.389631018554161</v>
      </c>
      <c r="H354" s="28" t="n">
        <f aca="false">ABS(E354-G354)</f>
        <v>0</v>
      </c>
      <c r="I354" s="15" t="n">
        <v>2</v>
      </c>
      <c r="J354" s="21" t="n">
        <f aca="false">(SUMPRODUCT(2_Matriz_decision!C354:Q354,5_Ponderada!$C$5:$Q$5)-1)/4</f>
        <v>0.456291305367951</v>
      </c>
      <c r="K354" s="15" t="n">
        <f aca="false">MIN(5,INT(J354/0.2)+1)</f>
        <v>3</v>
      </c>
      <c r="L354" s="21" t="n">
        <v>0.456291305367951</v>
      </c>
    </row>
    <row r="355" customFormat="false" ht="15" hidden="false" customHeight="false" outlineLevel="0" collapsed="false">
      <c r="A355" s="15" t="n">
        <f aca="false">2_Matriz_decision!A355</f>
        <v>351</v>
      </c>
      <c r="B355" s="16" t="n">
        <f aca="false">2_Matriz_decision!B355</f>
        <v>35.336</v>
      </c>
      <c r="C355" s="21" t="n">
        <f aca="false">SQRT(SUMXMY2(5_Ponderada!C358:Q358,5_Ponderada!$C$6:$Q$6))</f>
        <v>0.0128263064544379</v>
      </c>
      <c r="D355" s="21" t="n">
        <f aca="false">SQRT(SUMXMY2(5_Ponderada!C358:Q358,5_Ponderada!$C$7:$Q$7))</f>
        <v>0.0116708010147644</v>
      </c>
      <c r="E355" s="21" t="n">
        <f aca="false">D355/(C355+D355)</f>
        <v>0.476415471885278</v>
      </c>
      <c r="F355" s="15" t="n">
        <f aca="false">MIN(5,INT(E355/0.2)+1)</f>
        <v>3</v>
      </c>
      <c r="G355" s="21" t="n">
        <v>0.476415471885278</v>
      </c>
      <c r="H355" s="28" t="n">
        <f aca="false">ABS(E355-G355)</f>
        <v>0</v>
      </c>
      <c r="I355" s="15" t="n">
        <v>3</v>
      </c>
      <c r="J355" s="21" t="n">
        <f aca="false">(SUMPRODUCT(2_Matriz_decision!C355:Q355,5_Ponderada!$C$5:$Q$5)-1)/4</f>
        <v>0.548434042890538</v>
      </c>
      <c r="K355" s="15" t="n">
        <f aca="false">MIN(5,INT(J355/0.2)+1)</f>
        <v>3</v>
      </c>
      <c r="L355" s="21" t="n">
        <v>0.548434042890538</v>
      </c>
    </row>
    <row r="356" customFormat="false" ht="15" hidden="false" customHeight="false" outlineLevel="0" collapsed="false">
      <c r="A356" s="15" t="n">
        <f aca="false">2_Matriz_decision!A356</f>
        <v>352</v>
      </c>
      <c r="B356" s="16" t="n">
        <f aca="false">2_Matriz_decision!B356</f>
        <v>35.435</v>
      </c>
      <c r="C356" s="21" t="n">
        <f aca="false">SQRT(SUMXMY2(5_Ponderada!C359:Q359,5_Ponderada!$C$6:$Q$6))</f>
        <v>0.011820922102955</v>
      </c>
      <c r="D356" s="21" t="n">
        <f aca="false">SQRT(SUMXMY2(5_Ponderada!C359:Q359,5_Ponderada!$C$7:$Q$7))</f>
        <v>0.0133146674404959</v>
      </c>
      <c r="E356" s="21" t="n">
        <f aca="false">D356/(C356+D356)</f>
        <v>0.529713751789244</v>
      </c>
      <c r="F356" s="15" t="n">
        <f aca="false">MIN(5,INT(E356/0.2)+1)</f>
        <v>3</v>
      </c>
      <c r="G356" s="21" t="n">
        <v>0.529713751789244</v>
      </c>
      <c r="H356" s="28" t="n">
        <f aca="false">ABS(E356-G356)</f>
        <v>0</v>
      </c>
      <c r="I356" s="15" t="n">
        <v>3</v>
      </c>
      <c r="J356" s="21" t="n">
        <f aca="false">(SUMPRODUCT(2_Matriz_decision!C356:Q356,5_Ponderada!$C$5:$Q$5)-1)/4</f>
        <v>0.603761918131577</v>
      </c>
      <c r="K356" s="15" t="n">
        <f aca="false">MIN(5,INT(J356/0.2)+1)</f>
        <v>4</v>
      </c>
      <c r="L356" s="21" t="n">
        <v>0.603761918131578</v>
      </c>
    </row>
    <row r="357" customFormat="false" ht="15" hidden="false" customHeight="false" outlineLevel="0" collapsed="false">
      <c r="A357" s="15" t="n">
        <f aca="false">2_Matriz_decision!A357</f>
        <v>353</v>
      </c>
      <c r="B357" s="16" t="n">
        <f aca="false">2_Matriz_decision!B357</f>
        <v>35.534</v>
      </c>
      <c r="C357" s="21" t="n">
        <f aca="false">SQRT(SUMXMY2(5_Ponderada!C360:Q360,5_Ponderada!$C$6:$Q$6))</f>
        <v>0.0150870473993374</v>
      </c>
      <c r="D357" s="21" t="n">
        <f aca="false">SQRT(SUMXMY2(5_Ponderada!C360:Q360,5_Ponderada!$C$7:$Q$7))</f>
        <v>0.00852919512464772</v>
      </c>
      <c r="E357" s="21" t="n">
        <f aca="false">D357/(C357+D357)</f>
        <v>0.361158008772364</v>
      </c>
      <c r="F357" s="15" t="n">
        <f aca="false">MIN(5,INT(E357/0.2)+1)</f>
        <v>2</v>
      </c>
      <c r="G357" s="21" t="n">
        <v>0.361158008772364</v>
      </c>
      <c r="H357" s="28" t="n">
        <f aca="false">ABS(E357-G357)</f>
        <v>0</v>
      </c>
      <c r="I357" s="15" t="n">
        <v>2</v>
      </c>
      <c r="J357" s="21" t="n">
        <f aca="false">(SUMPRODUCT(2_Matriz_decision!C357:Q357,5_Ponderada!$C$5:$Q$5)-1)/4</f>
        <v>0.453540984579501</v>
      </c>
      <c r="K357" s="15" t="n">
        <f aca="false">MIN(5,INT(J357/0.2)+1)</f>
        <v>3</v>
      </c>
      <c r="L357" s="21" t="n">
        <v>0.453540984579501</v>
      </c>
    </row>
    <row r="358" customFormat="false" ht="15" hidden="false" customHeight="false" outlineLevel="0" collapsed="false">
      <c r="A358" s="15" t="n">
        <f aca="false">2_Matriz_decision!A358</f>
        <v>354</v>
      </c>
      <c r="B358" s="16" t="n">
        <f aca="false">2_Matriz_decision!B358</f>
        <v>35.633</v>
      </c>
      <c r="C358" s="21" t="n">
        <f aca="false">SQRT(SUMXMY2(5_Ponderada!C361:Q361,5_Ponderada!$C$6:$Q$6))</f>
        <v>0.0142524250191966</v>
      </c>
      <c r="D358" s="21" t="n">
        <f aca="false">SQRT(SUMXMY2(5_Ponderada!C361:Q361,5_Ponderada!$C$7:$Q$7))</f>
        <v>0.0106107649912595</v>
      </c>
      <c r="E358" s="21" t="n">
        <f aca="false">D358/(C358+D358)</f>
        <v>0.42676603391589</v>
      </c>
      <c r="F358" s="15" t="n">
        <f aca="false">MIN(5,INT(E358/0.2)+1)</f>
        <v>3</v>
      </c>
      <c r="G358" s="21" t="n">
        <v>0.42676603391589</v>
      </c>
      <c r="H358" s="28" t="n">
        <f aca="false">ABS(E358-G358)</f>
        <v>0</v>
      </c>
      <c r="I358" s="15" t="n">
        <v>3</v>
      </c>
      <c r="J358" s="21" t="n">
        <f aca="false">(SUMPRODUCT(2_Matriz_decision!C358:Q358,5_Ponderada!$C$5:$Q$5)-1)/4</f>
        <v>0.4977686672954</v>
      </c>
      <c r="K358" s="15" t="n">
        <f aca="false">MIN(5,INT(J358/0.2)+1)</f>
        <v>3</v>
      </c>
      <c r="L358" s="21" t="n">
        <v>0.4977686672954</v>
      </c>
    </row>
    <row r="359" customFormat="false" ht="15" hidden="false" customHeight="false" outlineLevel="0" collapsed="false">
      <c r="A359" s="15" t="n">
        <f aca="false">2_Matriz_decision!A359</f>
        <v>355</v>
      </c>
      <c r="B359" s="16" t="n">
        <f aca="false">2_Matriz_decision!B359</f>
        <v>35.732</v>
      </c>
      <c r="C359" s="21" t="n">
        <f aca="false">SQRT(SUMXMY2(5_Ponderada!C362:Q362,5_Ponderada!$C$6:$Q$6))</f>
        <v>0.0127929724547177</v>
      </c>
      <c r="D359" s="21" t="n">
        <f aca="false">SQRT(SUMXMY2(5_Ponderada!C362:Q362,5_Ponderada!$C$7:$Q$7))</f>
        <v>0.0116732519772669</v>
      </c>
      <c r="E359" s="21" t="n">
        <f aca="false">D359/(C359+D359)</f>
        <v>0.477117015325277</v>
      </c>
      <c r="F359" s="15" t="n">
        <f aca="false">MIN(5,INT(E359/0.2)+1)</f>
        <v>3</v>
      </c>
      <c r="G359" s="21" t="n">
        <v>0.477117015325277</v>
      </c>
      <c r="H359" s="28" t="n">
        <f aca="false">ABS(E359-G359)</f>
        <v>0</v>
      </c>
      <c r="I359" s="15" t="n">
        <v>3</v>
      </c>
      <c r="J359" s="21" t="n">
        <f aca="false">(SUMPRODUCT(2_Matriz_decision!C359:Q359,5_Ponderada!$C$5:$Q$5)-1)/4</f>
        <v>0.545133207471905</v>
      </c>
      <c r="K359" s="15" t="n">
        <f aca="false">MIN(5,INT(J359/0.2)+1)</f>
        <v>3</v>
      </c>
      <c r="L359" s="21" t="n">
        <v>0.545133207471905</v>
      </c>
    </row>
    <row r="360" customFormat="false" ht="15" hidden="false" customHeight="false" outlineLevel="0" collapsed="false">
      <c r="A360" s="15" t="n">
        <f aca="false">2_Matriz_decision!A360</f>
        <v>356</v>
      </c>
      <c r="B360" s="16" t="n">
        <f aca="false">2_Matriz_decision!B360</f>
        <v>35.831</v>
      </c>
      <c r="C360" s="21" t="n">
        <f aca="false">SQRT(SUMXMY2(5_Ponderada!C363:Q363,5_Ponderada!$C$6:$Q$6))</f>
        <v>0.0117502972037751</v>
      </c>
      <c r="D360" s="21" t="n">
        <f aca="false">SQRT(SUMXMY2(5_Ponderada!C363:Q363,5_Ponderada!$C$7:$Q$7))</f>
        <v>0.0138426595397243</v>
      </c>
      <c r="E360" s="21" t="n">
        <f aca="false">D360/(C360+D360)</f>
        <v>0.540877698441011</v>
      </c>
      <c r="F360" s="15" t="n">
        <f aca="false">MIN(5,INT(E360/0.2)+1)</f>
        <v>3</v>
      </c>
      <c r="G360" s="21" t="n">
        <v>0.540877698441011</v>
      </c>
      <c r="H360" s="28" t="n">
        <f aca="false">ABS(E360-G360)</f>
        <v>0</v>
      </c>
      <c r="I360" s="15" t="n">
        <v>3</v>
      </c>
      <c r="J360" s="21" t="n">
        <f aca="false">(SUMPRODUCT(2_Matriz_decision!C360:Q360,5_Ponderada!$C$5:$Q$5)-1)/4</f>
        <v>0.621853257616139</v>
      </c>
      <c r="K360" s="15" t="n">
        <f aca="false">MIN(5,INT(J360/0.2)+1)</f>
        <v>4</v>
      </c>
      <c r="L360" s="21" t="n">
        <v>0.62185325761614</v>
      </c>
    </row>
    <row r="361" customFormat="false" ht="15" hidden="false" customHeight="false" outlineLevel="0" collapsed="false">
      <c r="A361" s="15" t="n">
        <f aca="false">2_Matriz_decision!A361</f>
        <v>357</v>
      </c>
      <c r="B361" s="16" t="n">
        <f aca="false">2_Matriz_decision!B361</f>
        <v>35.93</v>
      </c>
      <c r="C361" s="21" t="n">
        <f aca="false">SQRT(SUMXMY2(5_Ponderada!C364:Q364,5_Ponderada!$C$6:$Q$6))</f>
        <v>0.0123727362741197</v>
      </c>
      <c r="D361" s="21" t="n">
        <f aca="false">SQRT(SUMXMY2(5_Ponderada!C364:Q364,5_Ponderada!$C$7:$Q$7))</f>
        <v>0.014517240630132</v>
      </c>
      <c r="E361" s="21" t="n">
        <f aca="false">D361/(C361+D361)</f>
        <v>0.539875533617012</v>
      </c>
      <c r="F361" s="15" t="n">
        <f aca="false">MIN(5,INT(E361/0.2)+1)</f>
        <v>3</v>
      </c>
      <c r="G361" s="21" t="n">
        <v>0.539875533617012</v>
      </c>
      <c r="H361" s="28" t="n">
        <f aca="false">ABS(E361-G361)</f>
        <v>0</v>
      </c>
      <c r="I361" s="15" t="n">
        <v>3</v>
      </c>
      <c r="J361" s="21" t="n">
        <f aca="false">(SUMPRODUCT(2_Matriz_decision!C361:Q361,5_Ponderada!$C$5:$Q$5)-1)/4</f>
        <v>0.639532888415184</v>
      </c>
      <c r="K361" s="15" t="n">
        <f aca="false">MIN(5,INT(J361/0.2)+1)</f>
        <v>4</v>
      </c>
      <c r="L361" s="21" t="n">
        <v>0.639532888415185</v>
      </c>
    </row>
    <row r="362" customFormat="false" ht="15" hidden="false" customHeight="false" outlineLevel="0" collapsed="false">
      <c r="A362" s="15" t="n">
        <f aca="false">2_Matriz_decision!A362</f>
        <v>358</v>
      </c>
      <c r="B362" s="16" t="n">
        <f aca="false">2_Matriz_decision!B362</f>
        <v>36.029</v>
      </c>
      <c r="C362" s="21" t="n">
        <f aca="false">SQRT(SUMXMY2(5_Ponderada!C365:Q365,5_Ponderada!$C$6:$Q$6))</f>
        <v>0.0113947810760934</v>
      </c>
      <c r="D362" s="21" t="n">
        <f aca="false">SQRT(SUMXMY2(5_Ponderada!C365:Q365,5_Ponderada!$C$7:$Q$7))</f>
        <v>0.015764012629336</v>
      </c>
      <c r="E362" s="21" t="n">
        <f aca="false">D362/(C362+D362)</f>
        <v>0.580438615953131</v>
      </c>
      <c r="F362" s="15" t="n">
        <f aca="false">MIN(5,INT(E362/0.2)+1)</f>
        <v>3</v>
      </c>
      <c r="G362" s="21" t="n">
        <v>0.58043861595313</v>
      </c>
      <c r="H362" s="28" t="n">
        <f aca="false">ABS(E362-G362)</f>
        <v>0</v>
      </c>
      <c r="I362" s="15" t="n">
        <v>3</v>
      </c>
      <c r="J362" s="21" t="n">
        <f aca="false">(SUMPRODUCT(2_Matriz_decision!C362:Q362,5_Ponderada!$C$5:$Q$5)-1)/4</f>
        <v>0.681388729877413</v>
      </c>
      <c r="K362" s="15" t="n">
        <f aca="false">MIN(5,INT(J362/0.2)+1)</f>
        <v>4</v>
      </c>
      <c r="L362" s="21" t="n">
        <v>0.681388729877413</v>
      </c>
    </row>
    <row r="363" customFormat="false" ht="15" hidden="false" customHeight="false" outlineLevel="0" collapsed="false">
      <c r="A363" s="15" t="n">
        <f aca="false">2_Matriz_decision!A363</f>
        <v>359</v>
      </c>
      <c r="B363" s="16" t="n">
        <f aca="false">2_Matriz_decision!B363</f>
        <v>36.129</v>
      </c>
      <c r="C363" s="21" t="n">
        <f aca="false">SQRT(SUMXMY2(5_Ponderada!C366:Q366,5_Ponderada!$C$6:$Q$6))</f>
        <v>0.0110304574135562</v>
      </c>
      <c r="D363" s="21" t="n">
        <f aca="false">SQRT(SUMXMY2(5_Ponderada!C366:Q366,5_Ponderada!$C$7:$Q$7))</f>
        <v>0.0174851381758052</v>
      </c>
      <c r="E363" s="21" t="n">
        <f aca="false">D363/(C363+D363)</f>
        <v>0.613178080780769</v>
      </c>
      <c r="F363" s="15" t="n">
        <f aca="false">MIN(5,INT(E363/0.2)+1)</f>
        <v>4</v>
      </c>
      <c r="G363" s="21" t="n">
        <v>0.613178080780769</v>
      </c>
      <c r="H363" s="28" t="n">
        <f aca="false">ABS(E363-G363)</f>
        <v>0</v>
      </c>
      <c r="I363" s="15" t="n">
        <v>4</v>
      </c>
      <c r="J363" s="21" t="n">
        <f aca="false">(SUMPRODUCT(2_Matriz_decision!C363:Q363,5_Ponderada!$C$5:$Q$5)-1)/4</f>
        <v>0.735167502642905</v>
      </c>
      <c r="K363" s="15" t="n">
        <f aca="false">MIN(5,INT(J363/0.2)+1)</f>
        <v>4</v>
      </c>
      <c r="L363" s="21" t="n">
        <v>0.735167502642905</v>
      </c>
    </row>
    <row r="364" customFormat="false" ht="15" hidden="false" customHeight="false" outlineLevel="0" collapsed="false">
      <c r="A364" s="15" t="n">
        <f aca="false">2_Matriz_decision!A364</f>
        <v>360</v>
      </c>
      <c r="B364" s="16" t="n">
        <f aca="false">2_Matriz_decision!B364</f>
        <v>36.228</v>
      </c>
      <c r="C364" s="21" t="n">
        <f aca="false">SQRT(SUMXMY2(5_Ponderada!C367:Q367,5_Ponderada!$C$6:$Q$6))</f>
        <v>0.011050117277766</v>
      </c>
      <c r="D364" s="21" t="n">
        <f aca="false">SQRT(SUMXMY2(5_Ponderada!C367:Q367,5_Ponderada!$C$7:$Q$7))</f>
        <v>0.017478238945879</v>
      </c>
      <c r="E364" s="21" t="n">
        <f aca="false">D364/(C364+D364)</f>
        <v>0.612661970737472</v>
      </c>
      <c r="F364" s="15" t="n">
        <f aca="false">MIN(5,INT(E364/0.2)+1)</f>
        <v>4</v>
      </c>
      <c r="G364" s="21" t="n">
        <v>0.612661970737472</v>
      </c>
      <c r="H364" s="28" t="n">
        <f aca="false">ABS(E364-G364)</f>
        <v>0</v>
      </c>
      <c r="I364" s="15" t="n">
        <v>4</v>
      </c>
      <c r="J364" s="21" t="n">
        <f aca="false">(SUMPRODUCT(2_Matriz_decision!C364:Q364,5_Ponderada!$C$5:$Q$5)-1)/4</f>
        <v>0.732223172771123</v>
      </c>
      <c r="K364" s="15" t="n">
        <f aca="false">MIN(5,INT(J364/0.2)+1)</f>
        <v>4</v>
      </c>
      <c r="L364" s="21" t="n">
        <v>0.732223172771123</v>
      </c>
    </row>
    <row r="365" customFormat="false" ht="15" hidden="false" customHeight="false" outlineLevel="0" collapsed="false">
      <c r="A365" s="15" t="n">
        <f aca="false">2_Matriz_decision!A365</f>
        <v>361</v>
      </c>
      <c r="B365" s="16" t="n">
        <f aca="false">2_Matriz_decision!B365</f>
        <v>36.328</v>
      </c>
      <c r="C365" s="21" t="n">
        <f aca="false">SQRT(SUMXMY2(5_Ponderada!C368:Q368,5_Ponderada!$C$6:$Q$6))</f>
        <v>0.0161372706404649</v>
      </c>
      <c r="D365" s="21" t="n">
        <f aca="false">SQRT(SUMXMY2(5_Ponderada!C368:Q368,5_Ponderada!$C$7:$Q$7))</f>
        <v>0.0109359311202948</v>
      </c>
      <c r="E365" s="21" t="n">
        <f aca="false">D365/(C365+D365)</f>
        <v>0.403939335174811</v>
      </c>
      <c r="F365" s="15" t="n">
        <f aca="false">MIN(5,INT(E365/0.2)+1)</f>
        <v>3</v>
      </c>
      <c r="G365" s="21" t="n">
        <v>0.403939335174811</v>
      </c>
      <c r="H365" s="28" t="n">
        <f aca="false">ABS(E365-G365)</f>
        <v>0</v>
      </c>
      <c r="I365" s="15" t="n">
        <v>3</v>
      </c>
      <c r="J365" s="21" t="n">
        <f aca="false">(SUMPRODUCT(2_Matriz_decision!C365:Q365,5_Ponderada!$C$5:$Q$5)-1)/4</f>
        <v>0.473931540579066</v>
      </c>
      <c r="K365" s="15" t="n">
        <f aca="false">MIN(5,INT(J365/0.2)+1)</f>
        <v>3</v>
      </c>
      <c r="L365" s="21" t="n">
        <v>0.473931540579066</v>
      </c>
    </row>
    <row r="366" customFormat="false" ht="15" hidden="false" customHeight="false" outlineLevel="0" collapsed="false">
      <c r="A366" s="15" t="n">
        <f aca="false">2_Matriz_decision!A366</f>
        <v>362</v>
      </c>
      <c r="B366" s="16" t="n">
        <f aca="false">2_Matriz_decision!B366</f>
        <v>36.428</v>
      </c>
      <c r="C366" s="21" t="n">
        <f aca="false">SQRT(SUMXMY2(5_Ponderada!C369:Q369,5_Ponderada!$C$6:$Q$6))</f>
        <v>0.0161235815455286</v>
      </c>
      <c r="D366" s="21" t="n">
        <f aca="false">SQRT(SUMXMY2(5_Ponderada!C369:Q369,5_Ponderada!$C$7:$Q$7))</f>
        <v>0.0108946466968844</v>
      </c>
      <c r="E366" s="21" t="n">
        <f aca="false">D366/(C366+D366)</f>
        <v>0.403233202382311</v>
      </c>
      <c r="F366" s="15" t="n">
        <f aca="false">MIN(5,INT(E366/0.2)+1)</f>
        <v>3</v>
      </c>
      <c r="G366" s="21" t="n">
        <v>0.403233202382311</v>
      </c>
      <c r="H366" s="28" t="n">
        <f aca="false">ABS(E366-G366)</f>
        <v>0</v>
      </c>
      <c r="I366" s="15" t="n">
        <v>3</v>
      </c>
      <c r="J366" s="21" t="n">
        <f aca="false">(SUMPRODUCT(2_Matriz_decision!C366:Q366,5_Ponderada!$C$5:$Q$5)-1)/4</f>
        <v>0.467818150965008</v>
      </c>
      <c r="K366" s="15" t="n">
        <f aca="false">MIN(5,INT(J366/0.2)+1)</f>
        <v>3</v>
      </c>
      <c r="L366" s="21" t="n">
        <v>0.467818150965009</v>
      </c>
    </row>
    <row r="367" customFormat="false" ht="15" hidden="false" customHeight="false" outlineLevel="0" collapsed="false">
      <c r="A367" s="15" t="n">
        <f aca="false">2_Matriz_decision!A367</f>
        <v>363</v>
      </c>
      <c r="B367" s="16" t="n">
        <f aca="false">2_Matriz_decision!B367</f>
        <v>36.528</v>
      </c>
      <c r="C367" s="21" t="n">
        <f aca="false">SQRT(SUMXMY2(5_Ponderada!C370:Q370,5_Ponderada!$C$6:$Q$6))</f>
        <v>0.0161425910667766</v>
      </c>
      <c r="D367" s="21" t="n">
        <f aca="false">SQRT(SUMXMY2(5_Ponderada!C370:Q370,5_Ponderada!$C$7:$Q$7))</f>
        <v>0.0108517070166306</v>
      </c>
      <c r="E367" s="21" t="n">
        <f aca="false">D367/(C367+D367)</f>
        <v>0.401999969886267</v>
      </c>
      <c r="F367" s="15" t="n">
        <f aca="false">MIN(5,INT(E367/0.2)+1)</f>
        <v>3</v>
      </c>
      <c r="G367" s="21" t="n">
        <v>0.401999969886267</v>
      </c>
      <c r="H367" s="28" t="n">
        <f aca="false">ABS(E367-G367)</f>
        <v>0</v>
      </c>
      <c r="I367" s="15" t="n">
        <v>3</v>
      </c>
      <c r="J367" s="21" t="n">
        <f aca="false">(SUMPRODUCT(2_Matriz_decision!C367:Q367,5_Ponderada!$C$5:$Q$5)-1)/4</f>
        <v>0.455676533865359</v>
      </c>
      <c r="K367" s="15" t="n">
        <f aca="false">MIN(5,INT(J367/0.2)+1)</f>
        <v>3</v>
      </c>
      <c r="L367" s="21" t="n">
        <v>0.45567653386536</v>
      </c>
    </row>
    <row r="368" customFormat="false" ht="15" hidden="false" customHeight="false" outlineLevel="0" collapsed="false">
      <c r="A368" s="15" t="n">
        <f aca="false">2_Matriz_decision!A368</f>
        <v>364</v>
      </c>
      <c r="B368" s="16" t="n">
        <f aca="false">2_Matriz_decision!B368</f>
        <v>36.628</v>
      </c>
      <c r="C368" s="21" t="n">
        <f aca="false">SQRT(SUMXMY2(5_Ponderada!C371:Q371,5_Ponderada!$C$6:$Q$6))</f>
        <v>0.0158797990140782</v>
      </c>
      <c r="D368" s="21" t="n">
        <f aca="false">SQRT(SUMXMY2(5_Ponderada!C371:Q371,5_Ponderada!$C$7:$Q$7))</f>
        <v>0.0132353861629648</v>
      </c>
      <c r="E368" s="21" t="n">
        <f aca="false">D368/(C368+D368)</f>
        <v>0.454587050794401</v>
      </c>
      <c r="F368" s="15" t="n">
        <f aca="false">MIN(5,INT(E368/0.2)+1)</f>
        <v>3</v>
      </c>
      <c r="G368" s="21" t="n">
        <v>0.454587050794401</v>
      </c>
      <c r="H368" s="28" t="n">
        <f aca="false">ABS(E368-G368)</f>
        <v>0</v>
      </c>
      <c r="I368" s="15" t="n">
        <v>3</v>
      </c>
      <c r="J368" s="21" t="n">
        <f aca="false">(SUMPRODUCT(2_Matriz_decision!C368:Q368,5_Ponderada!$C$5:$Q$5)-1)/4</f>
        <v>0.523437514245511</v>
      </c>
      <c r="K368" s="15" t="n">
        <f aca="false">MIN(5,INT(J368/0.2)+1)</f>
        <v>3</v>
      </c>
      <c r="L368" s="21" t="n">
        <v>0.523437514245512</v>
      </c>
    </row>
    <row r="369" customFormat="false" ht="15" hidden="false" customHeight="false" outlineLevel="0" collapsed="false">
      <c r="A369" s="15" t="n">
        <f aca="false">2_Matriz_decision!A369</f>
        <v>365</v>
      </c>
      <c r="B369" s="16" t="n">
        <f aca="false">2_Matriz_decision!B369</f>
        <v>36.728</v>
      </c>
      <c r="C369" s="21" t="n">
        <f aca="false">SQRT(SUMXMY2(5_Ponderada!C372:Q372,5_Ponderada!$C$6:$Q$6))</f>
        <v>0.0158751837128112</v>
      </c>
      <c r="D369" s="21" t="n">
        <f aca="false">SQRT(SUMXMY2(5_Ponderada!C372:Q372,5_Ponderada!$C$7:$Q$7))</f>
        <v>0.0132779381566932</v>
      </c>
      <c r="E369" s="21" t="n">
        <f aca="false">D369/(C369+D369)</f>
        <v>0.455455104126689</v>
      </c>
      <c r="F369" s="15" t="n">
        <f aca="false">MIN(5,INT(E369/0.2)+1)</f>
        <v>3</v>
      </c>
      <c r="G369" s="21" t="n">
        <v>0.455455104126689</v>
      </c>
      <c r="H369" s="28" t="n">
        <f aca="false">ABS(E369-G369)</f>
        <v>0</v>
      </c>
      <c r="I369" s="15" t="n">
        <v>3</v>
      </c>
      <c r="J369" s="21" t="n">
        <f aca="false">(SUMPRODUCT(2_Matriz_decision!C369:Q369,5_Ponderada!$C$5:$Q$5)-1)/4</f>
        <v>0.533356631465819</v>
      </c>
      <c r="K369" s="15" t="n">
        <f aca="false">MIN(5,INT(J369/0.2)+1)</f>
        <v>3</v>
      </c>
      <c r="L369" s="21" t="n">
        <v>0.53335663146582</v>
      </c>
    </row>
    <row r="370" customFormat="false" ht="15" hidden="false" customHeight="false" outlineLevel="0" collapsed="false">
      <c r="A370" s="15" t="n">
        <f aca="false">2_Matriz_decision!A370</f>
        <v>366</v>
      </c>
      <c r="B370" s="16" t="n">
        <f aca="false">2_Matriz_decision!B370</f>
        <v>36.827</v>
      </c>
      <c r="C370" s="21" t="n">
        <f aca="false">SQRT(SUMXMY2(5_Ponderada!C373:Q373,5_Ponderada!$C$6:$Q$6))</f>
        <v>0.0110053817916013</v>
      </c>
      <c r="D370" s="21" t="n">
        <f aca="false">SQRT(SUMXMY2(5_Ponderada!C373:Q373,5_Ponderada!$C$7:$Q$7))</f>
        <v>0.0175000845490192</v>
      </c>
      <c r="E370" s="21" t="n">
        <f aca="false">D370/(C370+D370)</f>
        <v>0.613920303562318</v>
      </c>
      <c r="F370" s="15" t="n">
        <f aca="false">MIN(5,INT(E370/0.2)+1)</f>
        <v>4</v>
      </c>
      <c r="G370" s="21" t="n">
        <v>0.613920303562318</v>
      </c>
      <c r="H370" s="28" t="n">
        <f aca="false">ABS(E370-G370)</f>
        <v>0</v>
      </c>
      <c r="I370" s="15" t="n">
        <v>4</v>
      </c>
      <c r="J370" s="21" t="n">
        <f aca="false">(SUMPRODUCT(2_Matriz_decision!C370:Q370,5_Ponderada!$C$5:$Q$5)-1)/4</f>
        <v>0.739104360846682</v>
      </c>
      <c r="K370" s="15" t="n">
        <f aca="false">MIN(5,INT(J370/0.2)+1)</f>
        <v>4</v>
      </c>
      <c r="L370" s="21" t="n">
        <v>0.739104360846682</v>
      </c>
    </row>
    <row r="371" customFormat="false" ht="15" hidden="false" customHeight="false" outlineLevel="0" collapsed="false">
      <c r="A371" s="15" t="n">
        <f aca="false">2_Matriz_decision!A371</f>
        <v>367</v>
      </c>
      <c r="B371" s="16" t="n">
        <f aca="false">2_Matriz_decision!B371</f>
        <v>36.928</v>
      </c>
      <c r="C371" s="21" t="n">
        <f aca="false">SQRT(SUMXMY2(5_Ponderada!C374:Q374,5_Ponderada!$C$6:$Q$6))</f>
        <v>0.0109938826033576</v>
      </c>
      <c r="D371" s="21" t="n">
        <f aca="false">SQRT(SUMXMY2(5_Ponderada!C374:Q374,5_Ponderada!$C$7:$Q$7))</f>
        <v>0.0175360559039972</v>
      </c>
      <c r="E371" s="21" t="n">
        <f aca="false">D371/(C371+D371)</f>
        <v>0.614654528592011</v>
      </c>
      <c r="F371" s="15" t="n">
        <f aca="false">MIN(5,INT(E371/0.2)+1)</f>
        <v>4</v>
      </c>
      <c r="G371" s="21" t="n">
        <v>0.614654528592011</v>
      </c>
      <c r="H371" s="28" t="n">
        <f aca="false">ABS(E371-G371)</f>
        <v>0</v>
      </c>
      <c r="I371" s="15" t="n">
        <v>4</v>
      </c>
      <c r="J371" s="21" t="n">
        <f aca="false">(SUMPRODUCT(2_Matriz_decision!C371:Q371,5_Ponderada!$C$5:$Q$5)-1)/4</f>
        <v>0.750237024502537</v>
      </c>
      <c r="K371" s="15" t="n">
        <f aca="false">MIN(5,INT(J371/0.2)+1)</f>
        <v>4</v>
      </c>
      <c r="L371" s="21" t="n">
        <v>0.750237024502538</v>
      </c>
    </row>
    <row r="372" customFormat="false" ht="15" hidden="false" customHeight="false" outlineLevel="0" collapsed="false">
      <c r="A372" s="15" t="n">
        <f aca="false">2_Matriz_decision!A372</f>
        <v>368</v>
      </c>
      <c r="B372" s="16" t="n">
        <f aca="false">2_Matriz_decision!B372</f>
        <v>37.028</v>
      </c>
      <c r="C372" s="21" t="n">
        <f aca="false">SQRT(SUMXMY2(5_Ponderada!C375:Q375,5_Ponderada!$C$6:$Q$6))</f>
        <v>0.0109889949206306</v>
      </c>
      <c r="D372" s="21" t="n">
        <f aca="false">SQRT(SUMXMY2(5_Ponderada!C375:Q375,5_Ponderada!$C$7:$Q$7))</f>
        <v>0.0175157502911597</v>
      </c>
      <c r="E372" s="21" t="n">
        <f aca="false">D372/(C372+D372)</f>
        <v>0.614485418516027</v>
      </c>
      <c r="F372" s="15" t="n">
        <f aca="false">MIN(5,INT(E372/0.2)+1)</f>
        <v>4</v>
      </c>
      <c r="G372" s="21" t="n">
        <v>0.614485418516027</v>
      </c>
      <c r="H372" s="28" t="n">
        <f aca="false">ABS(E372-G372)</f>
        <v>0</v>
      </c>
      <c r="I372" s="15" t="n">
        <v>4</v>
      </c>
      <c r="J372" s="21" t="n">
        <f aca="false">(SUMPRODUCT(2_Matriz_decision!C372:Q372,5_Ponderada!$C$5:$Q$5)-1)/4</f>
        <v>0.743486214931877</v>
      </c>
      <c r="K372" s="15" t="n">
        <f aca="false">MIN(5,INT(J372/0.2)+1)</f>
        <v>4</v>
      </c>
      <c r="L372" s="21" t="n">
        <v>0.743486214931877</v>
      </c>
    </row>
    <row r="373" customFormat="false" ht="15" hidden="false" customHeight="false" outlineLevel="0" collapsed="false">
      <c r="A373" s="15" t="n">
        <f aca="false">2_Matriz_decision!A373</f>
        <v>369</v>
      </c>
      <c r="B373" s="16" t="n">
        <f aca="false">2_Matriz_decision!B373</f>
        <v>37.128</v>
      </c>
      <c r="C373" s="21" t="n">
        <f aca="false">SQRT(SUMXMY2(5_Ponderada!C376:Q376,5_Ponderada!$C$6:$Q$6))</f>
        <v>0.0110123854938124</v>
      </c>
      <c r="D373" s="21" t="n">
        <f aca="false">SQRT(SUMXMY2(5_Ponderada!C376:Q376,5_Ponderada!$C$7:$Q$7))</f>
        <v>0.0174939197526299</v>
      </c>
      <c r="E373" s="21" t="n">
        <f aca="false">D373/(C373+D373)</f>
        <v>0.613685975835583</v>
      </c>
      <c r="F373" s="15" t="n">
        <f aca="false">MIN(5,INT(E373/0.2)+1)</f>
        <v>4</v>
      </c>
      <c r="G373" s="21" t="n">
        <v>0.613685975835583</v>
      </c>
      <c r="H373" s="28" t="n">
        <f aca="false">ABS(E373-G373)</f>
        <v>0</v>
      </c>
      <c r="I373" s="15" t="n">
        <v>4</v>
      </c>
      <c r="J373" s="21" t="n">
        <f aca="false">(SUMPRODUCT(2_Matriz_decision!C373:Q373,5_Ponderada!$C$5:$Q$5)-1)/4</f>
        <v>0.732474679322776</v>
      </c>
      <c r="K373" s="15" t="n">
        <f aca="false">MIN(5,INT(J373/0.2)+1)</f>
        <v>4</v>
      </c>
      <c r="L373" s="21" t="n">
        <v>0.732474679322776</v>
      </c>
    </row>
    <row r="374" customFormat="false" ht="15" hidden="false" customHeight="false" outlineLevel="0" collapsed="false">
      <c r="A374" s="15" t="n">
        <f aca="false">2_Matriz_decision!A374</f>
        <v>370</v>
      </c>
      <c r="B374" s="16" t="n">
        <f aca="false">2_Matriz_decision!B374</f>
        <v>37.229</v>
      </c>
      <c r="C374" s="21" t="n">
        <f aca="false">SQRT(SUMXMY2(5_Ponderada!C377:Q377,5_Ponderada!$C$6:$Q$6))</f>
        <v>0.0109856992861099</v>
      </c>
      <c r="D374" s="21" t="n">
        <f aca="false">SQRT(SUMXMY2(5_Ponderada!C377:Q377,5_Ponderada!$C$7:$Q$7))</f>
        <v>0.0175198391435909</v>
      </c>
      <c r="E374" s="21" t="n">
        <f aca="false">D374/(C374+D374)</f>
        <v>0.614611759984734</v>
      </c>
      <c r="F374" s="15" t="n">
        <f aca="false">MIN(5,INT(E374/0.2)+1)</f>
        <v>4</v>
      </c>
      <c r="G374" s="21" t="n">
        <v>0.614611759984733</v>
      </c>
      <c r="H374" s="28" t="n">
        <f aca="false">ABS(E374-G374)</f>
        <v>0</v>
      </c>
      <c r="I374" s="15" t="n">
        <v>4</v>
      </c>
      <c r="J374" s="21" t="n">
        <f aca="false">(SUMPRODUCT(2_Matriz_decision!C374:Q374,5_Ponderada!$C$5:$Q$5)-1)/4</f>
        <v>0.74456862274528</v>
      </c>
      <c r="K374" s="15" t="n">
        <f aca="false">MIN(5,INT(J374/0.2)+1)</f>
        <v>4</v>
      </c>
      <c r="L374" s="21" t="n">
        <v>0.74456862274528</v>
      </c>
    </row>
    <row r="375" customFormat="false" ht="15" hidden="false" customHeight="false" outlineLevel="0" collapsed="false">
      <c r="A375" s="15" t="n">
        <f aca="false">2_Matriz_decision!A375</f>
        <v>371</v>
      </c>
      <c r="B375" s="16" t="n">
        <f aca="false">2_Matriz_decision!B375</f>
        <v>37.329</v>
      </c>
      <c r="C375" s="21" t="n">
        <f aca="false">SQRT(SUMXMY2(5_Ponderada!C378:Q378,5_Ponderada!$C$6:$Q$6))</f>
        <v>0.0110086409276888</v>
      </c>
      <c r="D375" s="21" t="n">
        <f aca="false">SQRT(SUMXMY2(5_Ponderada!C378:Q378,5_Ponderada!$C$7:$Q$7))</f>
        <v>0.0174935989985597</v>
      </c>
      <c r="E375" s="21" t="n">
        <f aca="false">D375/(C375+D375)</f>
        <v>0.613762253206259</v>
      </c>
      <c r="F375" s="15" t="n">
        <f aca="false">MIN(5,INT(E375/0.2)+1)</f>
        <v>4</v>
      </c>
      <c r="G375" s="21" t="n">
        <v>0.613762253206259</v>
      </c>
      <c r="H375" s="28" t="n">
        <f aca="false">ABS(E375-G375)</f>
        <v>0</v>
      </c>
      <c r="I375" s="15" t="n">
        <v>4</v>
      </c>
      <c r="J375" s="21" t="n">
        <f aca="false">(SUMPRODUCT(2_Matriz_decision!C375:Q375,5_Ponderada!$C$5:$Q$5)-1)/4</f>
        <v>0.734576678205005</v>
      </c>
      <c r="K375" s="15" t="n">
        <f aca="false">MIN(5,INT(J375/0.2)+1)</f>
        <v>4</v>
      </c>
      <c r="L375" s="21" t="n">
        <v>0.734576678205005</v>
      </c>
    </row>
    <row r="376" customFormat="false" ht="15" hidden="false" customHeight="false" outlineLevel="0" collapsed="false">
      <c r="A376" s="15" t="n">
        <f aca="false">2_Matriz_decision!A376</f>
        <v>372</v>
      </c>
      <c r="B376" s="16" t="n">
        <f aca="false">2_Matriz_decision!B376</f>
        <v>37.43</v>
      </c>
      <c r="C376" s="21" t="n">
        <f aca="false">SQRT(SUMXMY2(5_Ponderada!C379:Q379,5_Ponderada!$C$6:$Q$6))</f>
        <v>0.0111142639531511</v>
      </c>
      <c r="D376" s="21" t="n">
        <f aca="false">SQRT(SUMXMY2(5_Ponderada!C379:Q379,5_Ponderada!$C$7:$Q$7))</f>
        <v>0.0174580005122018</v>
      </c>
      <c r="E376" s="21" t="n">
        <f aca="false">D376/(C376+D376)</f>
        <v>0.611012141980263</v>
      </c>
      <c r="F376" s="15" t="n">
        <f aca="false">MIN(5,INT(E376/0.2)+1)</f>
        <v>4</v>
      </c>
      <c r="G376" s="21" t="n">
        <v>0.611012141980263</v>
      </c>
      <c r="H376" s="28" t="n">
        <f aca="false">ABS(E376-G376)</f>
        <v>0</v>
      </c>
      <c r="I376" s="15" t="n">
        <v>4</v>
      </c>
      <c r="J376" s="21" t="n">
        <f aca="false">(SUMPRODUCT(2_Matriz_decision!C376:Q376,5_Ponderada!$C$5:$Q$5)-1)/4</f>
        <v>0.710242243083606</v>
      </c>
      <c r="K376" s="15" t="n">
        <f aca="false">MIN(5,INT(J376/0.2)+1)</f>
        <v>4</v>
      </c>
      <c r="L376" s="21" t="n">
        <v>0.710242243083606</v>
      </c>
    </row>
    <row r="377" customFormat="false" ht="15" hidden="false" customHeight="false" outlineLevel="0" collapsed="false">
      <c r="A377" s="15" t="n">
        <f aca="false">2_Matriz_decision!A377</f>
        <v>373</v>
      </c>
      <c r="B377" s="16" t="n">
        <f aca="false">2_Matriz_decision!B377</f>
        <v>37.53</v>
      </c>
      <c r="C377" s="21" t="n">
        <f aca="false">SQRT(SUMXMY2(5_Ponderada!C380:Q380,5_Ponderada!$C$6:$Q$6))</f>
        <v>0.0123941498684991</v>
      </c>
      <c r="D377" s="21" t="n">
        <f aca="false">SQRT(SUMXMY2(5_Ponderada!C380:Q380,5_Ponderada!$C$7:$Q$7))</f>
        <v>0.0144983976900799</v>
      </c>
      <c r="E377" s="21" t="n">
        <f aca="false">D377/(C377+D377)</f>
        <v>0.539123251841375</v>
      </c>
      <c r="F377" s="15" t="n">
        <f aca="false">MIN(5,INT(E377/0.2)+1)</f>
        <v>3</v>
      </c>
      <c r="G377" s="21" t="n">
        <v>0.539123251841374</v>
      </c>
      <c r="H377" s="28" t="n">
        <f aca="false">ABS(E377-G377)</f>
        <v>0</v>
      </c>
      <c r="I377" s="15" t="n">
        <v>3</v>
      </c>
      <c r="J377" s="21" t="n">
        <f aca="false">(SUMPRODUCT(2_Matriz_decision!C377:Q377,5_Ponderada!$C$5:$Q$5)-1)/4</f>
        <v>0.630522413969402</v>
      </c>
      <c r="K377" s="15" t="n">
        <f aca="false">MIN(5,INT(J377/0.2)+1)</f>
        <v>4</v>
      </c>
      <c r="L377" s="21" t="n">
        <v>0.630522413969402</v>
      </c>
    </row>
    <row r="378" customFormat="false" ht="15" hidden="false" customHeight="false" outlineLevel="0" collapsed="false">
      <c r="A378" s="15" t="n">
        <f aca="false">2_Matriz_decision!A378</f>
        <v>374</v>
      </c>
      <c r="B378" s="16" t="n">
        <f aca="false">2_Matriz_decision!B378</f>
        <v>37.63</v>
      </c>
      <c r="C378" s="21" t="n">
        <f aca="false">SQRT(SUMXMY2(5_Ponderada!C381:Q381,5_Ponderada!$C$6:$Q$6))</f>
        <v>0.01800555289371</v>
      </c>
      <c r="D378" s="21" t="n">
        <f aca="false">SQRT(SUMXMY2(5_Ponderada!C381:Q381,5_Ponderada!$C$7:$Q$7))</f>
        <v>0.00746920241804284</v>
      </c>
      <c r="E378" s="21" t="n">
        <f aca="false">D378/(C378+D378)</f>
        <v>0.293200163323921</v>
      </c>
      <c r="F378" s="15" t="n">
        <f aca="false">MIN(5,INT(E378/0.2)+1)</f>
        <v>2</v>
      </c>
      <c r="G378" s="21" t="n">
        <v>0.293200163323921</v>
      </c>
      <c r="H378" s="28" t="n">
        <f aca="false">ABS(E378-G378)</f>
        <v>0</v>
      </c>
      <c r="I378" s="15" t="n">
        <v>2</v>
      </c>
      <c r="J378" s="21" t="n">
        <f aca="false">(SUMPRODUCT(2_Matriz_decision!C378:Q378,5_Ponderada!$C$5:$Q$5)-1)/4</f>
        <v>0.374772287090294</v>
      </c>
      <c r="K378" s="15" t="n">
        <f aca="false">MIN(5,INT(J378/0.2)+1)</f>
        <v>2</v>
      </c>
      <c r="L378" s="21" t="n">
        <v>0.374772287090294</v>
      </c>
    </row>
    <row r="379" customFormat="false" ht="15" hidden="false" customHeight="false" outlineLevel="0" collapsed="false">
      <c r="A379" s="15" t="n">
        <f aca="false">2_Matriz_decision!A379</f>
        <v>375</v>
      </c>
      <c r="B379" s="16" t="n">
        <f aca="false">2_Matriz_decision!B379</f>
        <v>37.731</v>
      </c>
      <c r="C379" s="21" t="n">
        <f aca="false">SQRT(SUMXMY2(5_Ponderada!C382:Q382,5_Ponderada!$C$6:$Q$6))</f>
        <v>0.0195074362211015</v>
      </c>
      <c r="D379" s="21" t="n">
        <f aca="false">SQRT(SUMXMY2(5_Ponderada!C382:Q382,5_Ponderada!$C$7:$Q$7))</f>
        <v>0.00689871608580156</v>
      </c>
      <c r="E379" s="21" t="n">
        <f aca="false">D379/(C379+D379)</f>
        <v>0.261254120086179</v>
      </c>
      <c r="F379" s="15" t="n">
        <f aca="false">MIN(5,INT(E379/0.2)+1)</f>
        <v>2</v>
      </c>
      <c r="G379" s="21" t="n">
        <v>0.261254120086179</v>
      </c>
      <c r="H379" s="28" t="n">
        <f aca="false">ABS(E379-G379)</f>
        <v>0</v>
      </c>
      <c r="I379" s="15" t="n">
        <v>2</v>
      </c>
      <c r="J379" s="21" t="n">
        <f aca="false">(SUMPRODUCT(2_Matriz_decision!C379:Q379,5_Ponderada!$C$5:$Q$5)-1)/4</f>
        <v>0.320486710740623</v>
      </c>
      <c r="K379" s="15" t="n">
        <f aca="false">MIN(5,INT(J379/0.2)+1)</f>
        <v>2</v>
      </c>
      <c r="L379" s="21" t="n">
        <v>0.320486710740623</v>
      </c>
    </row>
    <row r="380" customFormat="false" ht="15" hidden="false" customHeight="false" outlineLevel="0" collapsed="false">
      <c r="A380" s="15" t="n">
        <f aca="false">2_Matriz_decision!A380</f>
        <v>376</v>
      </c>
      <c r="B380" s="16" t="n">
        <f aca="false">2_Matriz_decision!B380</f>
        <v>37.831</v>
      </c>
      <c r="C380" s="21" t="n">
        <f aca="false">SQRT(SUMXMY2(5_Ponderada!C383:Q383,5_Ponderada!$C$6:$Q$6))</f>
        <v>0.0195137974838884</v>
      </c>
      <c r="D380" s="21" t="n">
        <f aca="false">SQRT(SUMXMY2(5_Ponderada!C383:Q383,5_Ponderada!$C$7:$Q$7))</f>
        <v>0.00690663878181383</v>
      </c>
      <c r="E380" s="21" t="n">
        <f aca="false">D380/(C380+D380)</f>
        <v>0.261412745510933</v>
      </c>
      <c r="F380" s="15" t="n">
        <f aca="false">MIN(5,INT(E380/0.2)+1)</f>
        <v>2</v>
      </c>
      <c r="G380" s="21" t="n">
        <v>0.261412745510933</v>
      </c>
      <c r="H380" s="28" t="n">
        <f aca="false">ABS(E380-G380)</f>
        <v>0</v>
      </c>
      <c r="I380" s="15" t="n">
        <v>2</v>
      </c>
      <c r="J380" s="21" t="n">
        <f aca="false">(SUMPRODUCT(2_Matriz_decision!C380:Q380,5_Ponderada!$C$5:$Q$5)-1)/4</f>
        <v>0.321982555571241</v>
      </c>
      <c r="K380" s="15" t="n">
        <f aca="false">MIN(5,INT(J380/0.2)+1)</f>
        <v>2</v>
      </c>
      <c r="L380" s="21" t="n">
        <v>0.321982555571242</v>
      </c>
    </row>
    <row r="381" customFormat="false" ht="15" hidden="false" customHeight="false" outlineLevel="0" collapsed="false">
      <c r="A381" s="15" t="n">
        <f aca="false">2_Matriz_decision!A381</f>
        <v>377</v>
      </c>
      <c r="B381" s="16" t="n">
        <f aca="false">2_Matriz_decision!B381</f>
        <v>37.931</v>
      </c>
      <c r="C381" s="21" t="n">
        <f aca="false">SQRT(SUMXMY2(5_Ponderada!C384:Q384,5_Ponderada!$C$6:$Q$6))</f>
        <v>0.0140048264727285</v>
      </c>
      <c r="D381" s="21" t="n">
        <f aca="false">SQRT(SUMXMY2(5_Ponderada!C384:Q384,5_Ponderada!$C$7:$Q$7))</f>
        <v>0.0130502176949452</v>
      </c>
      <c r="E381" s="21" t="n">
        <f aca="false">D381/(C381+D381)</f>
        <v>0.482358025884802</v>
      </c>
      <c r="F381" s="15" t="n">
        <f aca="false">MIN(5,INT(E381/0.2)+1)</f>
        <v>3</v>
      </c>
      <c r="G381" s="21" t="n">
        <v>0.482358025884801</v>
      </c>
      <c r="H381" s="28" t="n">
        <f aca="false">ABS(E381-G381)</f>
        <v>0</v>
      </c>
      <c r="I381" s="15" t="n">
        <v>3</v>
      </c>
      <c r="J381" s="21" t="n">
        <f aca="false">(SUMPRODUCT(2_Matriz_decision!C381:Q381,5_Ponderada!$C$5:$Q$5)-1)/4</f>
        <v>0.552244013158804</v>
      </c>
      <c r="K381" s="15" t="n">
        <f aca="false">MIN(5,INT(J381/0.2)+1)</f>
        <v>3</v>
      </c>
      <c r="L381" s="21" t="n">
        <v>0.552244013158805</v>
      </c>
    </row>
    <row r="382" customFormat="false" ht="15" hidden="false" customHeight="false" outlineLevel="0" collapsed="false">
      <c r="A382" s="15" t="n">
        <f aca="false">2_Matriz_decision!A382</f>
        <v>378</v>
      </c>
      <c r="B382" s="16" t="n">
        <f aca="false">2_Matriz_decision!B382</f>
        <v>38.031</v>
      </c>
      <c r="C382" s="21" t="n">
        <f aca="false">SQRT(SUMXMY2(5_Ponderada!C385:Q385,5_Ponderada!$C$6:$Q$6))</f>
        <v>0.0115031815974588</v>
      </c>
      <c r="D382" s="21" t="n">
        <f aca="false">SQRT(SUMXMY2(5_Ponderada!C385:Q385,5_Ponderada!$C$7:$Q$7))</f>
        <v>0.0153324833913937</v>
      </c>
      <c r="E382" s="21" t="n">
        <f aca="false">D382/(C382+D382)</f>
        <v>0.571347249928883</v>
      </c>
      <c r="F382" s="15" t="n">
        <f aca="false">MIN(5,INT(E382/0.2)+1)</f>
        <v>3</v>
      </c>
      <c r="G382" s="21" t="n">
        <v>0.571347249928883</v>
      </c>
      <c r="H382" s="28" t="n">
        <f aca="false">ABS(E382-G382)</f>
        <v>0</v>
      </c>
      <c r="I382" s="15" t="n">
        <v>3</v>
      </c>
      <c r="J382" s="21" t="n">
        <f aca="false">(SUMPRODUCT(2_Matriz_decision!C382:Q382,5_Ponderada!$C$5:$Q$5)-1)/4</f>
        <v>0.659371709751041</v>
      </c>
      <c r="K382" s="15" t="n">
        <f aca="false">MIN(5,INT(J382/0.2)+1)</f>
        <v>4</v>
      </c>
      <c r="L382" s="21" t="n">
        <v>0.659371709751042</v>
      </c>
    </row>
    <row r="383" customFormat="false" ht="15" hidden="false" customHeight="false" outlineLevel="0" collapsed="false">
      <c r="A383" s="15" t="n">
        <f aca="false">2_Matriz_decision!A383</f>
        <v>379</v>
      </c>
      <c r="B383" s="16" t="n">
        <f aca="false">2_Matriz_decision!B383</f>
        <v>38.131</v>
      </c>
      <c r="C383" s="21" t="n">
        <f aca="false">SQRT(SUMXMY2(5_Ponderada!C386:Q386,5_Ponderada!$C$6:$Q$6))</f>
        <v>0.0115151781776393</v>
      </c>
      <c r="D383" s="21" t="n">
        <f aca="false">SQRT(SUMXMY2(5_Ponderada!C386:Q386,5_Ponderada!$C$7:$Q$7))</f>
        <v>0.0152846065907511</v>
      </c>
      <c r="E383" s="21" t="n">
        <f aca="false">D383/(C383+D383)</f>
        <v>0.570325721749038</v>
      </c>
      <c r="F383" s="15" t="n">
        <f aca="false">MIN(5,INT(E383/0.2)+1)</f>
        <v>3</v>
      </c>
      <c r="G383" s="21" t="n">
        <v>0.570325721749038</v>
      </c>
      <c r="H383" s="28" t="n">
        <f aca="false">ABS(E383-G383)</f>
        <v>0</v>
      </c>
      <c r="I383" s="15" t="n">
        <v>3</v>
      </c>
      <c r="J383" s="21" t="n">
        <f aca="false">(SUMPRODUCT(2_Matriz_decision!C383:Q383,5_Ponderada!$C$5:$Q$5)-1)/4</f>
        <v>0.649158839692817</v>
      </c>
      <c r="K383" s="15" t="n">
        <f aca="false">MIN(5,INT(J383/0.2)+1)</f>
        <v>4</v>
      </c>
      <c r="L383" s="21" t="n">
        <v>0.649158839692817</v>
      </c>
    </row>
    <row r="384" customFormat="false" ht="15" hidden="false" customHeight="false" outlineLevel="0" collapsed="false">
      <c r="A384" s="15" t="n">
        <f aca="false">2_Matriz_decision!A384</f>
        <v>380</v>
      </c>
      <c r="B384" s="16" t="n">
        <f aca="false">2_Matriz_decision!B384</f>
        <v>38.23</v>
      </c>
      <c r="C384" s="21" t="n">
        <f aca="false">SQRT(SUMXMY2(5_Ponderada!C387:Q387,5_Ponderada!$C$6:$Q$6))</f>
        <v>0.0115141254920285</v>
      </c>
      <c r="D384" s="21" t="n">
        <f aca="false">SQRT(SUMXMY2(5_Ponderada!C387:Q387,5_Ponderada!$C$7:$Q$7))</f>
        <v>0.015282939507076</v>
      </c>
      <c r="E384" s="21" t="n">
        <f aca="false">D384/(C384+D384)</f>
        <v>0.570321395555325</v>
      </c>
      <c r="F384" s="15" t="n">
        <f aca="false">MIN(5,INT(E384/0.2)+1)</f>
        <v>3</v>
      </c>
      <c r="G384" s="21" t="n">
        <v>0.570321395555324</v>
      </c>
      <c r="H384" s="28" t="n">
        <f aca="false">ABS(E384-G384)</f>
        <v>0</v>
      </c>
      <c r="I384" s="15" t="n">
        <v>3</v>
      </c>
      <c r="J384" s="21" t="n">
        <f aca="false">(SUMPRODUCT(2_Matriz_decision!C384:Q384,5_Ponderada!$C$5:$Q$5)-1)/4</f>
        <v>0.647739226880289</v>
      </c>
      <c r="K384" s="15" t="n">
        <f aca="false">MIN(5,INT(J384/0.2)+1)</f>
        <v>4</v>
      </c>
      <c r="L384" s="21" t="n">
        <v>0.64773922688029</v>
      </c>
    </row>
    <row r="385" customFormat="false" ht="15" hidden="false" customHeight="false" outlineLevel="0" collapsed="false">
      <c r="A385" s="15" t="n">
        <f aca="false">2_Matriz_decision!A385</f>
        <v>381</v>
      </c>
      <c r="B385" s="16" t="n">
        <f aca="false">2_Matriz_decision!B385</f>
        <v>38.329</v>
      </c>
      <c r="C385" s="21" t="n">
        <f aca="false">SQRT(SUMXMY2(5_Ponderada!C388:Q388,5_Ponderada!$C$6:$Q$6))</f>
        <v>0.0162599838743705</v>
      </c>
      <c r="D385" s="21" t="n">
        <f aca="false">SQRT(SUMXMY2(5_Ponderada!C388:Q388,5_Ponderada!$C$7:$Q$7))</f>
        <v>0.0101265057642287</v>
      </c>
      <c r="E385" s="21" t="n">
        <f aca="false">D385/(C385+D385)</f>
        <v>0.383776163594541</v>
      </c>
      <c r="F385" s="15" t="n">
        <f aca="false">MIN(5,INT(E385/0.2)+1)</f>
        <v>2</v>
      </c>
      <c r="G385" s="21" t="n">
        <v>0.383776163594541</v>
      </c>
      <c r="H385" s="28" t="n">
        <f aca="false">ABS(E385-G385)</f>
        <v>0</v>
      </c>
      <c r="I385" s="15" t="n">
        <v>2</v>
      </c>
      <c r="J385" s="21" t="n">
        <f aca="false">(SUMPRODUCT(2_Matriz_decision!C385:Q385,5_Ponderada!$C$5:$Q$5)-1)/4</f>
        <v>0.429057430302112</v>
      </c>
      <c r="K385" s="15" t="n">
        <f aca="false">MIN(5,INT(J385/0.2)+1)</f>
        <v>3</v>
      </c>
      <c r="L385" s="21" t="n">
        <v>0.429057430302112</v>
      </c>
    </row>
    <row r="386" customFormat="false" ht="15" hidden="false" customHeight="false" outlineLevel="0" collapsed="false">
      <c r="A386" s="15" t="n">
        <f aca="false">2_Matriz_decision!A386</f>
        <v>382</v>
      </c>
      <c r="B386" s="16" t="n">
        <f aca="false">2_Matriz_decision!B386</f>
        <v>38.428</v>
      </c>
      <c r="C386" s="21" t="n">
        <f aca="false">SQRT(SUMXMY2(5_Ponderada!C389:Q389,5_Ponderada!$C$6:$Q$6))</f>
        <v>0.0160507840368587</v>
      </c>
      <c r="D386" s="21" t="n">
        <f aca="false">SQRT(SUMXMY2(5_Ponderada!C389:Q389,5_Ponderada!$C$7:$Q$7))</f>
        <v>0.0125277041864355</v>
      </c>
      <c r="E386" s="21" t="n">
        <f aca="false">D386/(C386+D386)</f>
        <v>0.438361332781214</v>
      </c>
      <c r="F386" s="15" t="n">
        <f aca="false">MIN(5,INT(E386/0.2)+1)</f>
        <v>3</v>
      </c>
      <c r="G386" s="21" t="n">
        <v>0.438361332781214</v>
      </c>
      <c r="H386" s="28" t="n">
        <f aca="false">ABS(E386-G386)</f>
        <v>0</v>
      </c>
      <c r="I386" s="15" t="n">
        <v>3</v>
      </c>
      <c r="J386" s="21" t="n">
        <f aca="false">(SUMPRODUCT(2_Matriz_decision!C386:Q386,5_Ponderada!$C$5:$Q$5)-1)/4</f>
        <v>0.458214288875074</v>
      </c>
      <c r="K386" s="15" t="n">
        <f aca="false">MIN(5,INT(J386/0.2)+1)</f>
        <v>3</v>
      </c>
      <c r="L386" s="21" t="n">
        <v>0.458214288875074</v>
      </c>
    </row>
    <row r="387" customFormat="false" ht="15" hidden="false" customHeight="false" outlineLevel="0" collapsed="false">
      <c r="A387" s="15" t="n">
        <f aca="false">2_Matriz_decision!A387</f>
        <v>383</v>
      </c>
      <c r="B387" s="16" t="n">
        <f aca="false">2_Matriz_decision!B387</f>
        <v>38.528</v>
      </c>
      <c r="C387" s="21" t="n">
        <f aca="false">SQRT(SUMXMY2(5_Ponderada!C390:Q390,5_Ponderada!$C$6:$Q$6))</f>
        <v>0.0160067219446174</v>
      </c>
      <c r="D387" s="21" t="n">
        <f aca="false">SQRT(SUMXMY2(5_Ponderada!C390:Q390,5_Ponderada!$C$7:$Q$7))</f>
        <v>0.0125540005428258</v>
      </c>
      <c r="E387" s="21" t="n">
        <f aca="false">D387/(C387+D387)</f>
        <v>0.439554725842288</v>
      </c>
      <c r="F387" s="15" t="n">
        <f aca="false">MIN(5,INT(E387/0.2)+1)</f>
        <v>3</v>
      </c>
      <c r="G387" s="21" t="n">
        <v>0.439554725842288</v>
      </c>
      <c r="H387" s="28" t="n">
        <f aca="false">ABS(E387-G387)</f>
        <v>0</v>
      </c>
      <c r="I387" s="15" t="n">
        <v>3</v>
      </c>
      <c r="J387" s="21" t="n">
        <f aca="false">(SUMPRODUCT(2_Matriz_decision!C387:Q387,5_Ponderada!$C$5:$Q$5)-1)/4</f>
        <v>0.472821248148271</v>
      </c>
      <c r="K387" s="15" t="n">
        <f aca="false">MIN(5,INT(J387/0.2)+1)</f>
        <v>3</v>
      </c>
      <c r="L387" s="21" t="n">
        <v>0.472821248148272</v>
      </c>
    </row>
    <row r="388" customFormat="false" ht="15" hidden="false" customHeight="false" outlineLevel="0" collapsed="false">
      <c r="A388" s="15" t="n">
        <f aca="false">2_Matriz_decision!A388</f>
        <v>384</v>
      </c>
      <c r="B388" s="16" t="n">
        <f aca="false">2_Matriz_decision!B388</f>
        <v>38.627</v>
      </c>
      <c r="C388" s="21" t="n">
        <f aca="false">SQRT(SUMXMY2(5_Ponderada!C391:Q391,5_Ponderada!$C$6:$Q$6))</f>
        <v>0.0160225555023478</v>
      </c>
      <c r="D388" s="21" t="n">
        <f aca="false">SQRT(SUMXMY2(5_Ponderada!C391:Q391,5_Ponderada!$C$7:$Q$7))</f>
        <v>0.01253848152326</v>
      </c>
      <c r="E388" s="21" t="n">
        <f aca="false">D388/(C388+D388)</f>
        <v>0.439006521787636</v>
      </c>
      <c r="F388" s="15" t="n">
        <f aca="false">MIN(5,INT(E388/0.2)+1)</f>
        <v>3</v>
      </c>
      <c r="G388" s="21" t="n">
        <v>0.439006521787636</v>
      </c>
      <c r="H388" s="28" t="n">
        <f aca="false">ABS(E388-G388)</f>
        <v>0</v>
      </c>
      <c r="I388" s="15" t="n">
        <v>3</v>
      </c>
      <c r="J388" s="21" t="n">
        <f aca="false">(SUMPRODUCT(2_Matriz_decision!C388:Q388,5_Ponderada!$C$5:$Q$5)-1)/4</f>
        <v>0.464557118054891</v>
      </c>
      <c r="K388" s="15" t="n">
        <f aca="false">MIN(5,INT(J388/0.2)+1)</f>
        <v>3</v>
      </c>
      <c r="L388" s="21" t="n">
        <v>0.464557118054891</v>
      </c>
    </row>
    <row r="389" customFormat="false" ht="15" hidden="false" customHeight="false" outlineLevel="0" collapsed="false">
      <c r="A389" s="15" t="n">
        <f aca="false">2_Matriz_decision!A389</f>
        <v>385</v>
      </c>
      <c r="B389" s="16" t="n">
        <f aca="false">2_Matriz_decision!B389</f>
        <v>38.726</v>
      </c>
      <c r="C389" s="21" t="n">
        <f aca="false">SQRT(SUMXMY2(5_Ponderada!C392:Q392,5_Ponderada!$C$6:$Q$6))</f>
        <v>0.0160275628522544</v>
      </c>
      <c r="D389" s="21" t="n">
        <f aca="false">SQRT(SUMXMY2(5_Ponderada!C392:Q392,5_Ponderada!$C$7:$Q$7))</f>
        <v>0.0125337116674452</v>
      </c>
      <c r="E389" s="21" t="n">
        <f aca="false">D389/(C389+D389)</f>
        <v>0.438835867033886</v>
      </c>
      <c r="F389" s="15" t="n">
        <f aca="false">MIN(5,INT(E389/0.2)+1)</f>
        <v>3</v>
      </c>
      <c r="G389" s="21" t="n">
        <v>0.438835867033886</v>
      </c>
      <c r="H389" s="28" t="n">
        <f aca="false">ABS(E389-G389)</f>
        <v>0</v>
      </c>
      <c r="I389" s="15" t="n">
        <v>3</v>
      </c>
      <c r="J389" s="21" t="n">
        <f aca="false">(SUMPRODUCT(2_Matriz_decision!C389:Q389,5_Ponderada!$C$5:$Q$5)-1)/4</f>
        <v>0.461975027867058</v>
      </c>
      <c r="K389" s="15" t="n">
        <f aca="false">MIN(5,INT(J389/0.2)+1)</f>
        <v>3</v>
      </c>
      <c r="L389" s="21" t="n">
        <v>0.461975027867058</v>
      </c>
    </row>
    <row r="390" customFormat="false" ht="15" hidden="false" customHeight="false" outlineLevel="0" collapsed="false">
      <c r="A390" s="15" t="n">
        <f aca="false">2_Matriz_decision!A390</f>
        <v>386</v>
      </c>
      <c r="B390" s="16" t="n">
        <f aca="false">2_Matriz_decision!B390</f>
        <v>38.827</v>
      </c>
      <c r="C390" s="21" t="n">
        <f aca="false">SQRT(SUMXMY2(5_Ponderada!C393:Q393,5_Ponderada!$C$6:$Q$6))</f>
        <v>0.0160410548783281</v>
      </c>
      <c r="D390" s="21" t="n">
        <f aca="false">SQRT(SUMXMY2(5_Ponderada!C393:Q393,5_Ponderada!$C$7:$Q$7))</f>
        <v>0.0125288315522574</v>
      </c>
      <c r="E390" s="21" t="n">
        <f aca="false">D390/(C390+D390)</f>
        <v>0.438532774104578</v>
      </c>
      <c r="F390" s="15" t="n">
        <f aca="false">MIN(5,INT(E390/0.2)+1)</f>
        <v>3</v>
      </c>
      <c r="G390" s="21" t="n">
        <v>0.438532774104578</v>
      </c>
      <c r="H390" s="28" t="n">
        <f aca="false">ABS(E390-G390)</f>
        <v>0</v>
      </c>
      <c r="I390" s="15" t="n">
        <v>3</v>
      </c>
      <c r="J390" s="21" t="n">
        <f aca="false">(SUMPRODUCT(2_Matriz_decision!C390:Q390,5_Ponderada!$C$5:$Q$5)-1)/4</f>
        <v>0.459261708044164</v>
      </c>
      <c r="K390" s="15" t="n">
        <f aca="false">MIN(5,INT(J390/0.2)+1)</f>
        <v>3</v>
      </c>
      <c r="L390" s="21" t="n">
        <v>0.459261708044165</v>
      </c>
    </row>
    <row r="391" customFormat="false" ht="15" hidden="false" customHeight="false" outlineLevel="0" collapsed="false">
      <c r="A391" s="15" t="n">
        <f aca="false">2_Matriz_decision!A391</f>
        <v>387</v>
      </c>
      <c r="B391" s="16" t="n">
        <f aca="false">2_Matriz_decision!B391</f>
        <v>38.927</v>
      </c>
      <c r="C391" s="21" t="n">
        <f aca="false">SQRT(SUMXMY2(5_Ponderada!C394:Q394,5_Ponderada!$C$6:$Q$6))</f>
        <v>0.0160608101374678</v>
      </c>
      <c r="D391" s="21" t="n">
        <f aca="false">SQRT(SUMXMY2(5_Ponderada!C394:Q394,5_Ponderada!$C$7:$Q$7))</f>
        <v>0.0125298313153888</v>
      </c>
      <c r="E391" s="21" t="n">
        <f aca="false">D391/(C391+D391)</f>
        <v>0.43824939486053</v>
      </c>
      <c r="F391" s="15" t="n">
        <f aca="false">MIN(5,INT(E391/0.2)+1)</f>
        <v>3</v>
      </c>
      <c r="G391" s="21" t="n">
        <v>0.43824939486053</v>
      </c>
      <c r="H391" s="28" t="n">
        <f aca="false">ABS(E391-G391)</f>
        <v>0</v>
      </c>
      <c r="I391" s="15" t="n">
        <v>3</v>
      </c>
      <c r="J391" s="21" t="n">
        <f aca="false">(SUMPRODUCT(2_Matriz_decision!C391:Q391,5_Ponderada!$C$5:$Q$5)-1)/4</f>
        <v>0.453262374647303</v>
      </c>
      <c r="K391" s="15" t="n">
        <f aca="false">MIN(5,INT(J391/0.2)+1)</f>
        <v>3</v>
      </c>
      <c r="L391" s="21" t="n">
        <v>0.453262374647304</v>
      </c>
    </row>
    <row r="392" customFormat="false" ht="15" hidden="false" customHeight="false" outlineLevel="0" collapsed="false">
      <c r="A392" s="15" t="n">
        <f aca="false">2_Matriz_decision!A392</f>
        <v>388</v>
      </c>
      <c r="B392" s="16" t="n">
        <f aca="false">2_Matriz_decision!B392</f>
        <v>39.027</v>
      </c>
      <c r="C392" s="21" t="n">
        <f aca="false">SQRT(SUMXMY2(5_Ponderada!C395:Q395,5_Ponderada!$C$6:$Q$6))</f>
        <v>0.0160170797184889</v>
      </c>
      <c r="D392" s="21" t="n">
        <f aca="false">SQRT(SUMXMY2(5_Ponderada!C395:Q395,5_Ponderada!$C$7:$Q$7))</f>
        <v>0.012540703771025</v>
      </c>
      <c r="E392" s="21" t="n">
        <f aca="false">D392/(C392+D392)</f>
        <v>0.439134352833435</v>
      </c>
      <c r="F392" s="15" t="n">
        <f aca="false">MIN(5,INT(E392/0.2)+1)</f>
        <v>3</v>
      </c>
      <c r="G392" s="21" t="n">
        <v>0.439134352833435</v>
      </c>
      <c r="H392" s="28" t="n">
        <f aca="false">ABS(E392-G392)</f>
        <v>0</v>
      </c>
      <c r="I392" s="15" t="n">
        <v>3</v>
      </c>
      <c r="J392" s="21" t="n">
        <f aca="false">(SUMPRODUCT(2_Matriz_decision!C392:Q392,5_Ponderada!$C$5:$Q$5)-1)/4</f>
        <v>0.465415748746314</v>
      </c>
      <c r="K392" s="15" t="n">
        <f aca="false">MIN(5,INT(J392/0.2)+1)</f>
        <v>3</v>
      </c>
      <c r="L392" s="21" t="n">
        <v>0.465415748746315</v>
      </c>
    </row>
    <row r="393" customFormat="false" ht="15" hidden="false" customHeight="false" outlineLevel="0" collapsed="false">
      <c r="A393" s="15" t="n">
        <f aca="false">2_Matriz_decision!A393</f>
        <v>389</v>
      </c>
      <c r="B393" s="16" t="n">
        <f aca="false">2_Matriz_decision!B393</f>
        <v>39.127</v>
      </c>
      <c r="C393" s="21" t="n">
        <f aca="false">SQRT(SUMXMY2(5_Ponderada!C396:Q396,5_Ponderada!$C$6:$Q$6))</f>
        <v>0.0160498572705916</v>
      </c>
      <c r="D393" s="21" t="n">
        <f aca="false">SQRT(SUMXMY2(5_Ponderada!C396:Q396,5_Ponderada!$C$7:$Q$7))</f>
        <v>0.0125340194680294</v>
      </c>
      <c r="E393" s="21" t="n">
        <f aca="false">D393/(C393+D393)</f>
        <v>0.438499633294813</v>
      </c>
      <c r="F393" s="15" t="n">
        <f aca="false">MIN(5,INT(E393/0.2)+1)</f>
        <v>3</v>
      </c>
      <c r="G393" s="21" t="n">
        <v>0.438499633294813</v>
      </c>
      <c r="H393" s="28" t="n">
        <f aca="false">ABS(E393-G393)</f>
        <v>0</v>
      </c>
      <c r="I393" s="15" t="n">
        <v>3</v>
      </c>
      <c r="J393" s="21" t="n">
        <f aca="false">(SUMPRODUCT(2_Matriz_decision!C393:Q393,5_Ponderada!$C$5:$Q$5)-1)/4</f>
        <v>0.454629419932378</v>
      </c>
      <c r="K393" s="15" t="n">
        <f aca="false">MIN(5,INT(J393/0.2)+1)</f>
        <v>3</v>
      </c>
      <c r="L393" s="21" t="n">
        <v>0.454629419932378</v>
      </c>
    </row>
    <row r="394" customFormat="false" ht="15" hidden="false" customHeight="false" outlineLevel="0" collapsed="false">
      <c r="A394" s="15" t="n">
        <f aca="false">2_Matriz_decision!A394</f>
        <v>390</v>
      </c>
      <c r="B394" s="16" t="n">
        <f aca="false">2_Matriz_decision!B394</f>
        <v>39.227</v>
      </c>
      <c r="C394" s="21" t="n">
        <f aca="false">SQRT(SUMXMY2(5_Ponderada!C397:Q397,5_Ponderada!$C$6:$Q$6))</f>
        <v>0.0160086464842528</v>
      </c>
      <c r="D394" s="21" t="n">
        <f aca="false">SQRT(SUMXMY2(5_Ponderada!C397:Q397,5_Ponderada!$C$7:$Q$7))</f>
        <v>0.0125478499825077</v>
      </c>
      <c r="E394" s="21" t="n">
        <f aca="false">D394/(C394+D394)</f>
        <v>0.439404392521095</v>
      </c>
      <c r="F394" s="15" t="n">
        <f aca="false">MIN(5,INT(E394/0.2)+1)</f>
        <v>3</v>
      </c>
      <c r="G394" s="21" t="n">
        <v>0.439404392521095</v>
      </c>
      <c r="H394" s="28" t="n">
        <f aca="false">ABS(E394-G394)</f>
        <v>0</v>
      </c>
      <c r="I394" s="15" t="n">
        <v>3</v>
      </c>
      <c r="J394" s="21" t="n">
        <f aca="false">(SUMPRODUCT(2_Matriz_decision!C394:Q394,5_Ponderada!$C$5:$Q$5)-1)/4</f>
        <v>0.468463179169064</v>
      </c>
      <c r="K394" s="15" t="n">
        <f aca="false">MIN(5,INT(J394/0.2)+1)</f>
        <v>3</v>
      </c>
      <c r="L394" s="21" t="n">
        <v>0.468463179169064</v>
      </c>
    </row>
    <row r="395" customFormat="false" ht="15" hidden="false" customHeight="false" outlineLevel="0" collapsed="false">
      <c r="A395" s="15" t="n">
        <f aca="false">2_Matriz_decision!A395</f>
        <v>391</v>
      </c>
      <c r="B395" s="16" t="n">
        <f aca="false">2_Matriz_decision!B395</f>
        <v>39.327</v>
      </c>
      <c r="C395" s="21" t="n">
        <f aca="false">SQRT(SUMXMY2(5_Ponderada!C398:Q398,5_Ponderada!$C$6:$Q$6))</f>
        <v>0.0160193131029926</v>
      </c>
      <c r="D395" s="21" t="n">
        <f aca="false">SQRT(SUMXMY2(5_Ponderada!C398:Q398,5_Ponderada!$C$7:$Q$7))</f>
        <v>0.0125402818419698</v>
      </c>
      <c r="E395" s="21" t="n">
        <f aca="false">D395/(C395+D395)</f>
        <v>0.439091726130442</v>
      </c>
      <c r="F395" s="15" t="n">
        <f aca="false">MIN(5,INT(E395/0.2)+1)</f>
        <v>3</v>
      </c>
      <c r="G395" s="21" t="n">
        <v>0.439091726130442</v>
      </c>
      <c r="H395" s="28" t="n">
        <f aca="false">ABS(E395-G395)</f>
        <v>0</v>
      </c>
      <c r="I395" s="15" t="n">
        <v>3</v>
      </c>
      <c r="J395" s="21" t="n">
        <f aca="false">(SUMPRODUCT(2_Matriz_decision!C395:Q395,5_Ponderada!$C$5:$Q$5)-1)/4</f>
        <v>0.465362848701116</v>
      </c>
      <c r="K395" s="15" t="n">
        <f aca="false">MIN(5,INT(J395/0.2)+1)</f>
        <v>3</v>
      </c>
      <c r="L395" s="21" t="n">
        <v>0.465362848701117</v>
      </c>
    </row>
    <row r="396" customFormat="false" ht="15" hidden="false" customHeight="false" outlineLevel="0" collapsed="false">
      <c r="A396" s="15" t="n">
        <f aca="false">2_Matriz_decision!A396</f>
        <v>392</v>
      </c>
      <c r="B396" s="16" t="n">
        <f aca="false">2_Matriz_decision!B396</f>
        <v>39.427</v>
      </c>
      <c r="C396" s="21" t="n">
        <f aca="false">SQRT(SUMXMY2(5_Ponderada!C399:Q399,5_Ponderada!$C$6:$Q$6))</f>
        <v>0.016007568626462</v>
      </c>
      <c r="D396" s="21" t="n">
        <f aca="false">SQRT(SUMXMY2(5_Ponderada!C399:Q399,5_Ponderada!$C$7:$Q$7))</f>
        <v>0.012545961949334</v>
      </c>
      <c r="E396" s="21" t="n">
        <f aca="false">D396/(C396+D396)</f>
        <v>0.439383911423157</v>
      </c>
      <c r="F396" s="15" t="n">
        <f aca="false">MIN(5,INT(E396/0.2)+1)</f>
        <v>3</v>
      </c>
      <c r="G396" s="21" t="n">
        <v>0.439383911423157</v>
      </c>
      <c r="H396" s="28" t="n">
        <f aca="false">ABS(E396-G396)</f>
        <v>0</v>
      </c>
      <c r="I396" s="15" t="n">
        <v>3</v>
      </c>
      <c r="J396" s="21" t="n">
        <f aca="false">(SUMPRODUCT(2_Matriz_decision!C396:Q396,5_Ponderada!$C$5:$Q$5)-1)/4</f>
        <v>0.467160530793665</v>
      </c>
      <c r="K396" s="15" t="n">
        <f aca="false">MIN(5,INT(J396/0.2)+1)</f>
        <v>3</v>
      </c>
      <c r="L396" s="21" t="n">
        <v>0.467160530793665</v>
      </c>
    </row>
    <row r="397" customFormat="false" ht="15" hidden="false" customHeight="false" outlineLevel="0" collapsed="false">
      <c r="A397" s="15" t="n">
        <f aca="false">2_Matriz_decision!A397</f>
        <v>393</v>
      </c>
      <c r="B397" s="16" t="n">
        <f aca="false">2_Matriz_decision!B397</f>
        <v>39.526</v>
      </c>
      <c r="C397" s="21" t="n">
        <f aca="false">SQRT(SUMXMY2(5_Ponderada!C400:Q400,5_Ponderada!$C$6:$Q$6))</f>
        <v>0.0160410027674172</v>
      </c>
      <c r="D397" s="21" t="n">
        <f aca="false">SQRT(SUMXMY2(5_Ponderada!C400:Q400,5_Ponderada!$C$7:$Q$7))</f>
        <v>0.0125415328762571</v>
      </c>
      <c r="E397" s="21" t="n">
        <f aca="false">D397/(C397+D397)</f>
        <v>0.438783074833066</v>
      </c>
      <c r="F397" s="15" t="n">
        <f aca="false">MIN(5,INT(E397/0.2)+1)</f>
        <v>3</v>
      </c>
      <c r="G397" s="21" t="n">
        <v>0.438783074833066</v>
      </c>
      <c r="H397" s="28" t="n">
        <f aca="false">ABS(E397-G397)</f>
        <v>0</v>
      </c>
      <c r="I397" s="15" t="n">
        <v>3</v>
      </c>
      <c r="J397" s="21" t="n">
        <f aca="false">(SUMPRODUCT(2_Matriz_decision!C397:Q397,5_Ponderada!$C$5:$Q$5)-1)/4</f>
        <v>0.45781266354164</v>
      </c>
      <c r="K397" s="15" t="n">
        <f aca="false">MIN(5,INT(J397/0.2)+1)</f>
        <v>3</v>
      </c>
      <c r="L397" s="21" t="n">
        <v>0.45781266354164</v>
      </c>
    </row>
    <row r="398" customFormat="false" ht="15" hidden="false" customHeight="false" outlineLevel="0" collapsed="false">
      <c r="A398" s="15" t="n">
        <f aca="false">2_Matriz_decision!A398</f>
        <v>394</v>
      </c>
      <c r="B398" s="16" t="n">
        <f aca="false">2_Matriz_decision!B398</f>
        <v>39.626</v>
      </c>
      <c r="C398" s="21" t="n">
        <f aca="false">SQRT(SUMXMY2(5_Ponderada!C401:Q401,5_Ponderada!$C$6:$Q$6))</f>
        <v>0.016241699175573</v>
      </c>
      <c r="D398" s="21" t="n">
        <f aca="false">SQRT(SUMXMY2(5_Ponderada!C401:Q401,5_Ponderada!$C$7:$Q$7))</f>
        <v>0.0101146576428225</v>
      </c>
      <c r="E398" s="21" t="n">
        <f aca="false">D398/(C398+D398)</f>
        <v>0.383765393393179</v>
      </c>
      <c r="F398" s="15" t="n">
        <f aca="false">MIN(5,INT(E398/0.2)+1)</f>
        <v>2</v>
      </c>
      <c r="G398" s="21" t="n">
        <v>0.383765393393179</v>
      </c>
      <c r="H398" s="28" t="n">
        <f aca="false">ABS(E398-G398)</f>
        <v>0</v>
      </c>
      <c r="I398" s="15" t="n">
        <v>2</v>
      </c>
      <c r="J398" s="21" t="n">
        <f aca="false">(SUMPRODUCT(2_Matriz_decision!C398:Q398,5_Ponderada!$C$5:$Q$5)-1)/4</f>
        <v>0.422027504244395</v>
      </c>
      <c r="K398" s="15" t="n">
        <f aca="false">MIN(5,INT(J398/0.2)+1)</f>
        <v>3</v>
      </c>
      <c r="L398" s="21" t="n">
        <v>0.422027504244395</v>
      </c>
    </row>
    <row r="399" customFormat="false" ht="15" hidden="false" customHeight="false" outlineLevel="0" collapsed="false">
      <c r="A399" s="15" t="n">
        <f aca="false">2_Matriz_decision!A399</f>
        <v>395</v>
      </c>
      <c r="B399" s="16" t="n">
        <f aca="false">2_Matriz_decision!B399</f>
        <v>39.725</v>
      </c>
      <c r="C399" s="21" t="n">
        <f aca="false">SQRT(SUMXMY2(5_Ponderada!C402:Q402,5_Ponderada!$C$6:$Q$6))</f>
        <v>0.0162257859943645</v>
      </c>
      <c r="D399" s="21" t="n">
        <f aca="false">SQRT(SUMXMY2(5_Ponderada!C402:Q402,5_Ponderada!$C$7:$Q$7))</f>
        <v>0.0100624453852182</v>
      </c>
      <c r="E399" s="21" t="n">
        <f aca="false">D399/(C399+D399)</f>
        <v>0.38277376822822</v>
      </c>
      <c r="F399" s="15" t="n">
        <f aca="false">MIN(5,INT(E399/0.2)+1)</f>
        <v>2</v>
      </c>
      <c r="G399" s="21" t="n">
        <v>0.38277376822822</v>
      </c>
      <c r="H399" s="28" t="n">
        <f aca="false">ABS(E399-G399)</f>
        <v>0</v>
      </c>
      <c r="I399" s="15" t="n">
        <v>2</v>
      </c>
      <c r="J399" s="21" t="n">
        <f aca="false">(SUMPRODUCT(2_Matriz_decision!C399:Q399,5_Ponderada!$C$5:$Q$5)-1)/4</f>
        <v>0.420798813451006</v>
      </c>
      <c r="K399" s="15" t="n">
        <f aca="false">MIN(5,INT(J399/0.2)+1)</f>
        <v>3</v>
      </c>
      <c r="L399" s="21" t="n">
        <v>0.420798813451007</v>
      </c>
    </row>
    <row r="400" customFormat="false" ht="15" hidden="false" customHeight="false" outlineLevel="0" collapsed="false">
      <c r="A400" s="15" t="n">
        <f aca="false">2_Matriz_decision!A400</f>
        <v>396</v>
      </c>
      <c r="B400" s="16" t="n">
        <f aca="false">2_Matriz_decision!B400</f>
        <v>39.824</v>
      </c>
      <c r="C400" s="21" t="n">
        <f aca="false">SQRT(SUMXMY2(5_Ponderada!C403:Q403,5_Ponderada!$C$6:$Q$6))</f>
        <v>0.0162515294731343</v>
      </c>
      <c r="D400" s="21" t="n">
        <f aca="false">SQRT(SUMXMY2(5_Ponderada!C403:Q403,5_Ponderada!$C$7:$Q$7))</f>
        <v>0.0100375250253537</v>
      </c>
      <c r="E400" s="21" t="n">
        <f aca="false">D400/(C400+D400)</f>
        <v>0.381813846744887</v>
      </c>
      <c r="F400" s="15" t="n">
        <f aca="false">MIN(5,INT(E400/0.2)+1)</f>
        <v>2</v>
      </c>
      <c r="G400" s="21" t="n">
        <v>0.381813846744887</v>
      </c>
      <c r="H400" s="28" t="n">
        <f aca="false">ABS(E400-G400)</f>
        <v>0</v>
      </c>
      <c r="I400" s="15" t="n">
        <v>2</v>
      </c>
      <c r="J400" s="21" t="n">
        <f aca="false">(SUMPRODUCT(2_Matriz_decision!C400:Q400,5_Ponderada!$C$5:$Q$5)-1)/4</f>
        <v>0.410481731209825</v>
      </c>
      <c r="K400" s="15" t="n">
        <f aca="false">MIN(5,INT(J400/0.2)+1)</f>
        <v>3</v>
      </c>
      <c r="L400" s="21" t="n">
        <v>0.410481731209825</v>
      </c>
    </row>
    <row r="401" customFormat="false" ht="15" hidden="false" customHeight="false" outlineLevel="0" collapsed="false">
      <c r="A401" s="15" t="n">
        <f aca="false">2_Matriz_decision!A401</f>
        <v>397</v>
      </c>
      <c r="B401" s="16" t="n">
        <f aca="false">2_Matriz_decision!B401</f>
        <v>39.924</v>
      </c>
      <c r="C401" s="21" t="n">
        <f aca="false">SQRT(SUMXMY2(5_Ponderada!C404:Q404,5_Ponderada!$C$6:$Q$6))</f>
        <v>0.0162725508647621</v>
      </c>
      <c r="D401" s="21" t="n">
        <f aca="false">SQRT(SUMXMY2(5_Ponderada!C404:Q404,5_Ponderada!$C$7:$Q$7))</f>
        <v>0.0100210004844674</v>
      </c>
      <c r="E401" s="21" t="n">
        <f aca="false">D401/(C401+D401)</f>
        <v>0.381120083451985</v>
      </c>
      <c r="F401" s="15" t="n">
        <f aca="false">MIN(5,INT(E401/0.2)+1)</f>
        <v>2</v>
      </c>
      <c r="G401" s="21" t="n">
        <v>0.381120083451985</v>
      </c>
      <c r="H401" s="28" t="n">
        <f aca="false">ABS(E401-G401)</f>
        <v>0</v>
      </c>
      <c r="I401" s="15" t="n">
        <v>2</v>
      </c>
      <c r="J401" s="21" t="n">
        <f aca="false">(SUMPRODUCT(2_Matriz_decision!C401:Q401,5_Ponderada!$C$5:$Q$5)-1)/4</f>
        <v>0.405971832901753</v>
      </c>
      <c r="K401" s="15" t="n">
        <f aca="false">MIN(5,INT(J401/0.2)+1)</f>
        <v>3</v>
      </c>
      <c r="L401" s="21" t="n">
        <v>0.405971832901754</v>
      </c>
    </row>
    <row r="402" customFormat="false" ht="15" hidden="false" customHeight="false" outlineLevel="0" collapsed="false">
      <c r="A402" s="15" t="n">
        <f aca="false">2_Matriz_decision!A402</f>
        <v>398</v>
      </c>
      <c r="B402" s="16" t="n">
        <f aca="false">2_Matriz_decision!B402</f>
        <v>40.023</v>
      </c>
      <c r="C402" s="21" t="n">
        <f aca="false">SQRT(SUMXMY2(5_Ponderada!C405:Q405,5_Ponderada!$C$6:$Q$6))</f>
        <v>0.0162717233222734</v>
      </c>
      <c r="D402" s="21" t="n">
        <f aca="false">SQRT(SUMXMY2(5_Ponderada!C405:Q405,5_Ponderada!$C$7:$Q$7))</f>
        <v>0.0100937747177451</v>
      </c>
      <c r="E402" s="21" t="n">
        <f aca="false">D402/(C402+D402)</f>
        <v>0.382840282494356</v>
      </c>
      <c r="F402" s="15" t="n">
        <f aca="false">MIN(5,INT(E402/0.2)+1)</f>
        <v>2</v>
      </c>
      <c r="G402" s="21" t="n">
        <v>0.382840282494356</v>
      </c>
      <c r="H402" s="28" t="n">
        <f aca="false">ABS(E402-G402)</f>
        <v>0</v>
      </c>
      <c r="I402" s="15" t="n">
        <v>2</v>
      </c>
      <c r="J402" s="21" t="n">
        <f aca="false">(SUMPRODUCT(2_Matriz_decision!C402:Q402,5_Ponderada!$C$5:$Q$5)-1)/4</f>
        <v>0.416777478998183</v>
      </c>
      <c r="K402" s="15" t="n">
        <f aca="false">MIN(5,INT(J402/0.2)+1)</f>
        <v>3</v>
      </c>
      <c r="L402" s="21" t="n">
        <v>0.416777478998184</v>
      </c>
    </row>
    <row r="403" customFormat="false" ht="15" hidden="false" customHeight="false" outlineLevel="0" collapsed="false">
      <c r="A403" s="15" t="n">
        <f aca="false">2_Matriz_decision!A403</f>
        <v>399</v>
      </c>
      <c r="B403" s="16" t="n">
        <f aca="false">2_Matriz_decision!B403</f>
        <v>40.123</v>
      </c>
      <c r="C403" s="21" t="n">
        <f aca="false">SQRT(SUMXMY2(5_Ponderada!C406:Q406,5_Ponderada!$C$6:$Q$6))</f>
        <v>0.0160290097589931</v>
      </c>
      <c r="D403" s="21" t="n">
        <f aca="false">SQRT(SUMXMY2(5_Ponderada!C406:Q406,5_Ponderada!$C$7:$Q$7))</f>
        <v>0.0125367915142906</v>
      </c>
      <c r="E403" s="21" t="n">
        <f aca="false">D403/(C403+D403)</f>
        <v>0.43887414164768</v>
      </c>
      <c r="F403" s="15" t="n">
        <f aca="false">MIN(5,INT(E403/0.2)+1)</f>
        <v>3</v>
      </c>
      <c r="G403" s="21" t="n">
        <v>0.43887414164768</v>
      </c>
      <c r="H403" s="28" t="n">
        <f aca="false">ABS(E403-G403)</f>
        <v>0</v>
      </c>
      <c r="I403" s="15" t="n">
        <v>3</v>
      </c>
      <c r="J403" s="21" t="n">
        <f aca="false">(SUMPRODUCT(2_Matriz_decision!C403:Q403,5_Ponderada!$C$5:$Q$5)-1)/4</f>
        <v>0.463796176657456</v>
      </c>
      <c r="K403" s="15" t="n">
        <f aca="false">MIN(5,INT(J403/0.2)+1)</f>
        <v>3</v>
      </c>
      <c r="L403" s="21" t="n">
        <v>0.463796176657456</v>
      </c>
    </row>
    <row r="404" customFormat="false" ht="15" hidden="false" customHeight="false" outlineLevel="0" collapsed="false">
      <c r="A404" s="15" t="n">
        <f aca="false">2_Matriz_decision!A404</f>
        <v>400</v>
      </c>
      <c r="B404" s="16" t="n">
        <f aca="false">2_Matriz_decision!B404</f>
        <v>40.223</v>
      </c>
      <c r="C404" s="21" t="n">
        <f aca="false">SQRT(SUMXMY2(5_Ponderada!C407:Q407,5_Ponderada!$C$6:$Q$6))</f>
        <v>0.0162695036281695</v>
      </c>
      <c r="D404" s="21" t="n">
        <f aca="false">SQRT(SUMXMY2(5_Ponderada!C407:Q407,5_Ponderada!$C$7:$Q$7))</f>
        <v>0.0100963321648577</v>
      </c>
      <c r="E404" s="21" t="n">
        <f aca="false">D404/(C404+D404)</f>
        <v>0.382932376736104</v>
      </c>
      <c r="F404" s="15" t="n">
        <f aca="false">MIN(5,INT(E404/0.2)+1)</f>
        <v>2</v>
      </c>
      <c r="G404" s="21" t="n">
        <v>0.382932376736104</v>
      </c>
      <c r="H404" s="28" t="n">
        <f aca="false">ABS(E404-G404)</f>
        <v>0</v>
      </c>
      <c r="I404" s="15" t="n">
        <v>2</v>
      </c>
      <c r="J404" s="21" t="n">
        <f aca="false">(SUMPRODUCT(2_Matriz_decision!C404:Q404,5_Ponderada!$C$5:$Q$5)-1)/4</f>
        <v>0.417783463452637</v>
      </c>
      <c r="K404" s="15" t="n">
        <f aca="false">MIN(5,INT(J404/0.2)+1)</f>
        <v>3</v>
      </c>
      <c r="L404" s="21" t="n">
        <v>0.417783463452637</v>
      </c>
    </row>
    <row r="405" customFormat="false" ht="15" hidden="false" customHeight="false" outlineLevel="0" collapsed="false">
      <c r="A405" s="15" t="n">
        <f aca="false">2_Matriz_decision!A405</f>
        <v>401</v>
      </c>
      <c r="B405" s="16" t="n">
        <f aca="false">2_Matriz_decision!B405</f>
        <v>40.323</v>
      </c>
      <c r="C405" s="21" t="n">
        <f aca="false">SQRT(SUMXMY2(5_Ponderada!C408:Q408,5_Ponderada!$C$6:$Q$6))</f>
        <v>0.016250827167737</v>
      </c>
      <c r="D405" s="21" t="n">
        <f aca="false">SQRT(SUMXMY2(5_Ponderada!C408:Q408,5_Ponderada!$C$7:$Q$7))</f>
        <v>0.0100472561687216</v>
      </c>
      <c r="E405" s="21" t="n">
        <f aca="false">D405/(C405+D405)</f>
        <v>0.382052792219746</v>
      </c>
      <c r="F405" s="15" t="n">
        <f aca="false">MIN(5,INT(E405/0.2)+1)</f>
        <v>2</v>
      </c>
      <c r="G405" s="21" t="n">
        <v>0.382052792219746</v>
      </c>
      <c r="H405" s="28" t="n">
        <f aca="false">ABS(E405-G405)</f>
        <v>0</v>
      </c>
      <c r="I405" s="15" t="n">
        <v>2</v>
      </c>
      <c r="J405" s="21" t="n">
        <f aca="false">(SUMPRODUCT(2_Matriz_decision!C405:Q405,5_Ponderada!$C$5:$Q$5)-1)/4</f>
        <v>0.416996514334457</v>
      </c>
      <c r="K405" s="15" t="n">
        <f aca="false">MIN(5,INT(J405/0.2)+1)</f>
        <v>3</v>
      </c>
      <c r="L405" s="21" t="n">
        <v>0.416996514334457</v>
      </c>
    </row>
    <row r="406" customFormat="false" ht="15" hidden="false" customHeight="false" outlineLevel="0" collapsed="false">
      <c r="A406" s="15" t="n">
        <f aca="false">2_Matriz_decision!A406</f>
        <v>402</v>
      </c>
      <c r="B406" s="16" t="n">
        <f aca="false">2_Matriz_decision!B406</f>
        <v>40.423</v>
      </c>
      <c r="C406" s="21" t="n">
        <f aca="false">SQRT(SUMXMY2(5_Ponderada!C409:Q409,5_Ponderada!$C$6:$Q$6))</f>
        <v>0.0162701273358128</v>
      </c>
      <c r="D406" s="21" t="n">
        <f aca="false">SQRT(SUMXMY2(5_Ponderada!C409:Q409,5_Ponderada!$C$7:$Q$7))</f>
        <v>0.0100255548726765</v>
      </c>
      <c r="E406" s="21" t="n">
        <f aca="false">D406/(C406+D406)</f>
        <v>0.381262398639722</v>
      </c>
      <c r="F406" s="15" t="n">
        <f aca="false">MIN(5,INT(E406/0.2)+1)</f>
        <v>2</v>
      </c>
      <c r="G406" s="21" t="n">
        <v>0.381262398639722</v>
      </c>
      <c r="H406" s="28" t="n">
        <f aca="false">ABS(E406-G406)</f>
        <v>0</v>
      </c>
      <c r="I406" s="15" t="n">
        <v>2</v>
      </c>
      <c r="J406" s="21" t="n">
        <f aca="false">(SUMPRODUCT(2_Matriz_decision!C406:Q406,5_Ponderada!$C$5:$Q$5)-1)/4</f>
        <v>0.407720922598713</v>
      </c>
      <c r="K406" s="15" t="n">
        <f aca="false">MIN(5,INT(J406/0.2)+1)</f>
        <v>3</v>
      </c>
      <c r="L406" s="21" t="n">
        <v>0.407720922598714</v>
      </c>
    </row>
    <row r="407" customFormat="false" ht="15" hidden="false" customHeight="false" outlineLevel="0" collapsed="false">
      <c r="A407" s="15" t="n">
        <f aca="false">2_Matriz_decision!A407</f>
        <v>403</v>
      </c>
      <c r="B407" s="16" t="n">
        <f aca="false">2_Matriz_decision!B407</f>
        <v>40.523</v>
      </c>
      <c r="C407" s="21" t="n">
        <f aca="false">SQRT(SUMXMY2(5_Ponderada!C410:Q410,5_Ponderada!$C$6:$Q$6))</f>
        <v>0.0162417761002266</v>
      </c>
      <c r="D407" s="21" t="n">
        <f aca="false">SQRT(SUMXMY2(5_Ponderada!C410:Q410,5_Ponderada!$C$7:$Q$7))</f>
        <v>0.0101192050035691</v>
      </c>
      <c r="E407" s="21" t="n">
        <f aca="false">D407/(C407+D407)</f>
        <v>0.383870576126319</v>
      </c>
      <c r="F407" s="15" t="n">
        <f aca="false">MIN(5,INT(E407/0.2)+1)</f>
        <v>2</v>
      </c>
      <c r="G407" s="21" t="n">
        <v>0.383870576126319</v>
      </c>
      <c r="H407" s="28" t="n">
        <f aca="false">ABS(E407-G407)</f>
        <v>0</v>
      </c>
      <c r="I407" s="15" t="n">
        <v>2</v>
      </c>
      <c r="J407" s="21" t="n">
        <f aca="false">(SUMPRODUCT(2_Matriz_decision!C407:Q407,5_Ponderada!$C$5:$Q$5)-1)/4</f>
        <v>0.424470620915517</v>
      </c>
      <c r="K407" s="15" t="n">
        <f aca="false">MIN(5,INT(J407/0.2)+1)</f>
        <v>3</v>
      </c>
      <c r="L407" s="21" t="n">
        <v>0.424470620915518</v>
      </c>
    </row>
    <row r="408" customFormat="false" ht="15" hidden="false" customHeight="false" outlineLevel="0" collapsed="false">
      <c r="A408" s="15" t="n">
        <f aca="false">2_Matriz_decision!A408</f>
        <v>404</v>
      </c>
      <c r="B408" s="16" t="n">
        <f aca="false">2_Matriz_decision!B408</f>
        <v>40.623</v>
      </c>
      <c r="C408" s="21" t="n">
        <f aca="false">SQRT(SUMXMY2(5_Ponderada!C411:Q411,5_Ponderada!$C$6:$Q$6))</f>
        <v>0.016228988880123</v>
      </c>
      <c r="D408" s="21" t="n">
        <f aca="false">SQRT(SUMXMY2(5_Ponderada!C411:Q411,5_Ponderada!$C$7:$Q$7))</f>
        <v>0.0101358966636102</v>
      </c>
      <c r="E408" s="21" t="n">
        <f aca="false">D408/(C408+D408)</f>
        <v>0.384446829734843</v>
      </c>
      <c r="F408" s="15" t="n">
        <f aca="false">MIN(5,INT(E408/0.2)+1)</f>
        <v>2</v>
      </c>
      <c r="G408" s="21" t="n">
        <v>0.384446829734843</v>
      </c>
      <c r="H408" s="28" t="n">
        <f aca="false">ABS(E408-G408)</f>
        <v>0</v>
      </c>
      <c r="I408" s="15" t="n">
        <v>2</v>
      </c>
      <c r="J408" s="21" t="n">
        <f aca="false">(SUMPRODUCT(2_Matriz_decision!C408:Q408,5_Ponderada!$C$5:$Q$5)-1)/4</f>
        <v>0.427719850914582</v>
      </c>
      <c r="K408" s="15" t="n">
        <f aca="false">MIN(5,INT(J408/0.2)+1)</f>
        <v>3</v>
      </c>
      <c r="L408" s="21" t="n">
        <v>0.427719850914582</v>
      </c>
    </row>
    <row r="409" customFormat="false" ht="15" hidden="false" customHeight="false" outlineLevel="0" collapsed="false">
      <c r="A409" s="15" t="n">
        <f aca="false">2_Matriz_decision!A409</f>
        <v>405</v>
      </c>
      <c r="B409" s="16" t="n">
        <f aca="false">2_Matriz_decision!B409</f>
        <v>40.722</v>
      </c>
      <c r="C409" s="21" t="n">
        <f aca="false">SQRT(SUMXMY2(5_Ponderada!C412:Q412,5_Ponderada!$C$6:$Q$6))</f>
        <v>0.0169239823817038</v>
      </c>
      <c r="D409" s="21" t="n">
        <f aca="false">SQRT(SUMXMY2(5_Ponderada!C412:Q412,5_Ponderada!$C$7:$Q$7))</f>
        <v>0.00789102597680754</v>
      </c>
      <c r="E409" s="21" t="n">
        <f aca="false">D409/(C409+D409)</f>
        <v>0.317994089012708</v>
      </c>
      <c r="F409" s="15" t="n">
        <f aca="false">MIN(5,INT(E409/0.2)+1)</f>
        <v>2</v>
      </c>
      <c r="G409" s="21" t="n">
        <v>0.317994089012708</v>
      </c>
      <c r="H409" s="28" t="n">
        <f aca="false">ABS(E409-G409)</f>
        <v>0</v>
      </c>
      <c r="I409" s="15" t="n">
        <v>2</v>
      </c>
      <c r="J409" s="21" t="n">
        <f aca="false">(SUMPRODUCT(2_Matriz_decision!C409:Q409,5_Ponderada!$C$5:$Q$5)-1)/4</f>
        <v>0.379241969819705</v>
      </c>
      <c r="K409" s="15" t="n">
        <f aca="false">MIN(5,INT(J409/0.2)+1)</f>
        <v>2</v>
      </c>
      <c r="L409" s="21" t="n">
        <v>0.379241969819705</v>
      </c>
    </row>
    <row r="410" customFormat="false" ht="15" hidden="false" customHeight="false" outlineLevel="0" collapsed="false">
      <c r="A410" s="15" t="n">
        <f aca="false">2_Matriz_decision!A410</f>
        <v>406</v>
      </c>
      <c r="B410" s="16" t="n">
        <f aca="false">2_Matriz_decision!B410</f>
        <v>40.822</v>
      </c>
      <c r="C410" s="21" t="n">
        <f aca="false">SQRT(SUMXMY2(5_Ponderada!C413:Q413,5_Ponderada!$C$6:$Q$6))</f>
        <v>0.0169268197058246</v>
      </c>
      <c r="D410" s="21" t="n">
        <f aca="false">SQRT(SUMXMY2(5_Ponderada!C413:Q413,5_Ponderada!$C$7:$Q$7))</f>
        <v>0.00788393131830307</v>
      </c>
      <c r="E410" s="21" t="n">
        <f aca="false">D410/(C410+D410)</f>
        <v>0.317762703379523</v>
      </c>
      <c r="F410" s="15" t="n">
        <f aca="false">MIN(5,INT(E410/0.2)+1)</f>
        <v>2</v>
      </c>
      <c r="G410" s="21" t="n">
        <v>0.317762703379523</v>
      </c>
      <c r="H410" s="28" t="n">
        <f aca="false">ABS(E410-G410)</f>
        <v>0</v>
      </c>
      <c r="I410" s="15" t="n">
        <v>2</v>
      </c>
      <c r="J410" s="21" t="n">
        <f aca="false">(SUMPRODUCT(2_Matriz_decision!C410:Q410,5_Ponderada!$C$5:$Q$5)-1)/4</f>
        <v>0.378029000269828</v>
      </c>
      <c r="K410" s="15" t="n">
        <f aca="false">MIN(5,INT(J410/0.2)+1)</f>
        <v>2</v>
      </c>
      <c r="L410" s="21" t="n">
        <v>0.378029000269829</v>
      </c>
    </row>
    <row r="411" customFormat="false" ht="15" hidden="false" customHeight="false" outlineLevel="0" collapsed="false">
      <c r="A411" s="15" t="n">
        <f aca="false">2_Matriz_decision!A411</f>
        <v>407</v>
      </c>
      <c r="B411" s="16" t="n">
        <f aca="false">2_Matriz_decision!B411</f>
        <v>40.922</v>
      </c>
      <c r="C411" s="21" t="n">
        <f aca="false">SQRT(SUMXMY2(5_Ponderada!C414:Q414,5_Ponderada!$C$6:$Q$6))</f>
        <v>0.0162444684005867</v>
      </c>
      <c r="D411" s="21" t="n">
        <f aca="false">SQRT(SUMXMY2(5_Ponderada!C414:Q414,5_Ponderada!$C$7:$Q$7))</f>
        <v>0.0100472905449221</v>
      </c>
      <c r="E411" s="21" t="n">
        <f aca="false">D411/(C411+D411)</f>
        <v>0.382146001176478</v>
      </c>
      <c r="F411" s="15" t="n">
        <f aca="false">MIN(5,INT(E411/0.2)+1)</f>
        <v>2</v>
      </c>
      <c r="G411" s="21" t="n">
        <v>0.382146001176478</v>
      </c>
      <c r="H411" s="28" t="n">
        <f aca="false">ABS(E411-G411)</f>
        <v>0</v>
      </c>
      <c r="I411" s="15" t="n">
        <v>2</v>
      </c>
      <c r="J411" s="21" t="n">
        <f aca="false">(SUMPRODUCT(2_Matriz_decision!C411:Q411,5_Ponderada!$C$5:$Q$5)-1)/4</f>
        <v>0.413094577638318</v>
      </c>
      <c r="K411" s="15" t="n">
        <f aca="false">MIN(5,INT(J411/0.2)+1)</f>
        <v>3</v>
      </c>
      <c r="L411" s="21" t="n">
        <v>0.413094577638319</v>
      </c>
    </row>
    <row r="412" customFormat="false" ht="15" hidden="false" customHeight="false" outlineLevel="0" collapsed="false">
      <c r="A412" s="15" t="n">
        <f aca="false">2_Matriz_decision!A412</f>
        <v>408</v>
      </c>
      <c r="B412" s="16" t="n">
        <f aca="false">2_Matriz_decision!B412</f>
        <v>41.022</v>
      </c>
      <c r="C412" s="21" t="n">
        <f aca="false">SQRT(SUMXMY2(5_Ponderada!C415:Q415,5_Ponderada!$C$6:$Q$6))</f>
        <v>0.0162447044666985</v>
      </c>
      <c r="D412" s="21" t="n">
        <f aca="false">SQRT(SUMXMY2(5_Ponderada!C415:Q415,5_Ponderada!$C$7:$Q$7))</f>
        <v>0.010114838717797</v>
      </c>
      <c r="E412" s="21" t="n">
        <f aca="false">D412/(C412+D412)</f>
        <v>0.38372587290308</v>
      </c>
      <c r="F412" s="15" t="n">
        <f aca="false">MIN(5,INT(E412/0.2)+1)</f>
        <v>2</v>
      </c>
      <c r="G412" s="21" t="n">
        <v>0.38372587290308</v>
      </c>
      <c r="H412" s="28" t="n">
        <f aca="false">ABS(E412-G412)</f>
        <v>0</v>
      </c>
      <c r="I412" s="15" t="n">
        <v>2</v>
      </c>
      <c r="J412" s="21" t="n">
        <f aca="false">(SUMPRODUCT(2_Matriz_decision!C412:Q412,5_Ponderada!$C$5:$Q$5)-1)/4</f>
        <v>0.423211432443666</v>
      </c>
      <c r="K412" s="15" t="n">
        <f aca="false">MIN(5,INT(J412/0.2)+1)</f>
        <v>3</v>
      </c>
      <c r="L412" s="21" t="n">
        <v>0.423211432443667</v>
      </c>
    </row>
    <row r="413" customFormat="false" ht="15" hidden="false" customHeight="false" outlineLevel="0" collapsed="false">
      <c r="A413" s="15" t="n">
        <f aca="false">2_Matriz_decision!A413</f>
        <v>409</v>
      </c>
      <c r="B413" s="16" t="n">
        <f aca="false">2_Matriz_decision!B413</f>
        <v>41.122</v>
      </c>
      <c r="C413" s="21" t="n">
        <f aca="false">SQRT(SUMXMY2(5_Ponderada!C416:Q416,5_Ponderada!$C$6:$Q$6))</f>
        <v>0.0162357502546643</v>
      </c>
      <c r="D413" s="21" t="n">
        <f aca="false">SQRT(SUMXMY2(5_Ponderada!C416:Q416,5_Ponderada!$C$7:$Q$7))</f>
        <v>0.0100545409437689</v>
      </c>
      <c r="E413" s="21" t="n">
        <f aca="false">D413/(C413+D413)</f>
        <v>0.382443118179234</v>
      </c>
      <c r="F413" s="15" t="n">
        <f aca="false">MIN(5,INT(E413/0.2)+1)</f>
        <v>2</v>
      </c>
      <c r="G413" s="21" t="n">
        <v>0.382443118179234</v>
      </c>
      <c r="H413" s="28" t="n">
        <f aca="false">ABS(E413-G413)</f>
        <v>0</v>
      </c>
      <c r="I413" s="15" t="n">
        <v>2</v>
      </c>
      <c r="J413" s="21" t="n">
        <f aca="false">(SUMPRODUCT(2_Matriz_decision!C413:Q413,5_Ponderada!$C$5:$Q$5)-1)/4</f>
        <v>0.419151193975943</v>
      </c>
      <c r="K413" s="15" t="n">
        <f aca="false">MIN(5,INT(J413/0.2)+1)</f>
        <v>3</v>
      </c>
      <c r="L413" s="21" t="n">
        <v>0.419151193975944</v>
      </c>
    </row>
    <row r="414" customFormat="false" ht="15" hidden="false" customHeight="false" outlineLevel="0" collapsed="false">
      <c r="A414" s="15" t="n">
        <f aca="false">2_Matriz_decision!A414</f>
        <v>410</v>
      </c>
      <c r="B414" s="16" t="n">
        <f aca="false">2_Matriz_decision!B414</f>
        <v>41.222</v>
      </c>
      <c r="C414" s="21" t="n">
        <f aca="false">SQRT(SUMXMY2(5_Ponderada!C417:Q417,5_Ponderada!$C$6:$Q$6))</f>
        <v>0.0162223729589779</v>
      </c>
      <c r="D414" s="21" t="n">
        <f aca="false">SQRT(SUMXMY2(5_Ponderada!C417:Q417,5_Ponderada!$C$7:$Q$7))</f>
        <v>0.0100658947838708</v>
      </c>
      <c r="E414" s="21" t="n">
        <f aca="false">D414/(C414+D414)</f>
        <v>0.382904453132295</v>
      </c>
      <c r="F414" s="15" t="n">
        <f aca="false">MIN(5,INT(E414/0.2)+1)</f>
        <v>2</v>
      </c>
      <c r="G414" s="21" t="n">
        <v>0.382904453132295</v>
      </c>
      <c r="H414" s="28" t="n">
        <f aca="false">ABS(E414-G414)</f>
        <v>0</v>
      </c>
      <c r="I414" s="15" t="n">
        <v>2</v>
      </c>
      <c r="J414" s="21" t="n">
        <f aca="false">(SUMPRODUCT(2_Matriz_decision!C414:Q414,5_Ponderada!$C$5:$Q$5)-1)/4</f>
        <v>0.421395066570197</v>
      </c>
      <c r="K414" s="15" t="n">
        <f aca="false">MIN(5,INT(J414/0.2)+1)</f>
        <v>3</v>
      </c>
      <c r="L414" s="21" t="n">
        <v>0.421395066570197</v>
      </c>
    </row>
    <row r="415" customFormat="false" ht="15" hidden="false" customHeight="false" outlineLevel="0" collapsed="false">
      <c r="A415" s="15" t="n">
        <f aca="false">2_Matriz_decision!A415</f>
        <v>411</v>
      </c>
      <c r="B415" s="16" t="n">
        <f aca="false">2_Matriz_decision!B415</f>
        <v>41.323</v>
      </c>
      <c r="C415" s="21" t="n">
        <f aca="false">SQRT(SUMXMY2(5_Ponderada!C418:Q418,5_Ponderada!$C$6:$Q$6))</f>
        <v>0.0162232491065637</v>
      </c>
      <c r="D415" s="21" t="n">
        <f aca="false">SQRT(SUMXMY2(5_Ponderada!C418:Q418,5_Ponderada!$C$7:$Q$7))</f>
        <v>0.0101327463387651</v>
      </c>
      <c r="E415" s="21" t="n">
        <f aca="false">D415/(C415+D415)</f>
        <v>0.384456977152838</v>
      </c>
      <c r="F415" s="15" t="n">
        <f aca="false">MIN(5,INT(E415/0.2)+1)</f>
        <v>2</v>
      </c>
      <c r="G415" s="21" t="n">
        <v>0.384456977152838</v>
      </c>
      <c r="H415" s="28" t="n">
        <f aca="false">ABS(E415-G415)</f>
        <v>0</v>
      </c>
      <c r="I415" s="15" t="n">
        <v>2</v>
      </c>
      <c r="J415" s="21" t="n">
        <f aca="false">(SUMPRODUCT(2_Matriz_decision!C415:Q415,5_Ponderada!$C$5:$Q$5)-1)/4</f>
        <v>0.431268568126596</v>
      </c>
      <c r="K415" s="15" t="n">
        <f aca="false">MIN(5,INT(J415/0.2)+1)</f>
        <v>3</v>
      </c>
      <c r="L415" s="21" t="n">
        <v>0.431268568126596</v>
      </c>
    </row>
    <row r="416" customFormat="false" ht="15" hidden="false" customHeight="false" outlineLevel="0" collapsed="false">
      <c r="A416" s="15" t="n">
        <f aca="false">2_Matriz_decision!A416</f>
        <v>412</v>
      </c>
      <c r="B416" s="16" t="n">
        <f aca="false">2_Matriz_decision!B416</f>
        <v>41.424</v>
      </c>
      <c r="C416" s="21" t="n">
        <f aca="false">SQRT(SUMXMY2(5_Ponderada!C419:Q419,5_Ponderada!$C$6:$Q$6))</f>
        <v>0.0159741956590561</v>
      </c>
      <c r="D416" s="21" t="n">
        <f aca="false">SQRT(SUMXMY2(5_Ponderada!C419:Q419,5_Ponderada!$C$7:$Q$7))</f>
        <v>0.0125714843570115</v>
      </c>
      <c r="E416" s="21" t="n">
        <f aca="false">D416/(C416+D416)</f>
        <v>0.440398839682059</v>
      </c>
      <c r="F416" s="15" t="n">
        <f aca="false">MIN(5,INT(E416/0.2)+1)</f>
        <v>3</v>
      </c>
      <c r="G416" s="21" t="n">
        <v>0.440398839682059</v>
      </c>
      <c r="H416" s="28" t="n">
        <f aca="false">ABS(E416-G416)</f>
        <v>0</v>
      </c>
      <c r="I416" s="15" t="n">
        <v>3</v>
      </c>
      <c r="J416" s="21" t="n">
        <f aca="false">(SUMPRODUCT(2_Matriz_decision!C416:Q416,5_Ponderada!$C$5:$Q$5)-1)/4</f>
        <v>0.479221166064898</v>
      </c>
      <c r="K416" s="15" t="n">
        <f aca="false">MIN(5,INT(J416/0.2)+1)</f>
        <v>3</v>
      </c>
      <c r="L416" s="21" t="n">
        <v>0.479221166064899</v>
      </c>
    </row>
    <row r="417" customFormat="false" ht="15" hidden="false" customHeight="false" outlineLevel="0" collapsed="false">
      <c r="A417" s="15" t="n">
        <f aca="false">2_Matriz_decision!A417</f>
        <v>413</v>
      </c>
      <c r="B417" s="16" t="n">
        <f aca="false">2_Matriz_decision!B417</f>
        <v>41.524</v>
      </c>
      <c r="C417" s="21" t="n">
        <f aca="false">SQRT(SUMXMY2(5_Ponderada!C420:Q420,5_Ponderada!$C$6:$Q$6))</f>
        <v>0.0160089541685435</v>
      </c>
      <c r="D417" s="21" t="n">
        <f aca="false">SQRT(SUMXMY2(5_Ponderada!C420:Q420,5_Ponderada!$C$7:$Q$7))</f>
        <v>0.0125458687810025</v>
      </c>
      <c r="E417" s="21" t="n">
        <f aca="false">D417/(C417+D417)</f>
        <v>0.439360762389247</v>
      </c>
      <c r="F417" s="15" t="n">
        <f aca="false">MIN(5,INT(E417/0.2)+1)</f>
        <v>3</v>
      </c>
      <c r="G417" s="21" t="n">
        <v>0.439360762389247</v>
      </c>
      <c r="H417" s="28" t="n">
        <f aca="false">ABS(E417-G417)</f>
        <v>0</v>
      </c>
      <c r="I417" s="15" t="n">
        <v>3</v>
      </c>
      <c r="J417" s="21" t="n">
        <f aca="false">(SUMPRODUCT(2_Matriz_decision!C417:Q417,5_Ponderada!$C$5:$Q$5)-1)/4</f>
        <v>0.467393055076723</v>
      </c>
      <c r="K417" s="15" t="n">
        <f aca="false">MIN(5,INT(J417/0.2)+1)</f>
        <v>3</v>
      </c>
      <c r="L417" s="21" t="n">
        <v>0.467393055076723</v>
      </c>
    </row>
    <row r="418" customFormat="false" ht="15" hidden="false" customHeight="false" outlineLevel="0" collapsed="false">
      <c r="A418" s="15" t="n">
        <f aca="false">2_Matriz_decision!A418</f>
        <v>414</v>
      </c>
      <c r="B418" s="16" t="n">
        <f aca="false">2_Matriz_decision!B418</f>
        <v>41.624</v>
      </c>
      <c r="C418" s="21" t="n">
        <f aca="false">SQRT(SUMXMY2(5_Ponderada!C421:Q421,5_Ponderada!$C$6:$Q$6))</f>
        <v>0.0162459391306246</v>
      </c>
      <c r="D418" s="21" t="n">
        <f aca="false">SQRT(SUMXMY2(5_Ponderada!C421:Q421,5_Ponderada!$C$7:$Q$7))</f>
        <v>0.010112319069947</v>
      </c>
      <c r="E418" s="21" t="n">
        <f aca="false">D418/(C418+D418)</f>
        <v>0.383648987463357</v>
      </c>
      <c r="F418" s="15" t="n">
        <f aca="false">MIN(5,INT(E418/0.2)+1)</f>
        <v>2</v>
      </c>
      <c r="G418" s="21" t="n">
        <v>0.383648987463357</v>
      </c>
      <c r="H418" s="28" t="n">
        <f aca="false">ABS(E418-G418)</f>
        <v>0</v>
      </c>
      <c r="I418" s="15" t="n">
        <v>2</v>
      </c>
      <c r="J418" s="21" t="n">
        <f aca="false">(SUMPRODUCT(2_Matriz_decision!C418:Q418,5_Ponderada!$C$5:$Q$5)-1)/4</f>
        <v>0.422327438138508</v>
      </c>
      <c r="K418" s="15" t="n">
        <f aca="false">MIN(5,INT(J418/0.2)+1)</f>
        <v>3</v>
      </c>
      <c r="L418" s="21" t="n">
        <v>0.422327438138509</v>
      </c>
    </row>
    <row r="419" customFormat="false" ht="15" hidden="false" customHeight="false" outlineLevel="0" collapsed="false">
      <c r="A419" s="15" t="n">
        <f aca="false">2_Matriz_decision!A419</f>
        <v>415</v>
      </c>
      <c r="B419" s="16" t="n">
        <f aca="false">2_Matriz_decision!B419</f>
        <v>41.724</v>
      </c>
      <c r="C419" s="21" t="n">
        <f aca="false">SQRT(SUMXMY2(5_Ponderada!C422:Q422,5_Ponderada!$C$6:$Q$6))</f>
        <v>0.0161462783785689</v>
      </c>
      <c r="D419" s="21" t="n">
        <f aca="false">SQRT(SUMXMY2(5_Ponderada!C422:Q422,5_Ponderada!$C$7:$Q$7))</f>
        <v>0.0109102784745445</v>
      </c>
      <c r="E419" s="21" t="n">
        <f aca="false">D419/(C419+D419)</f>
        <v>0.403239722399825</v>
      </c>
      <c r="F419" s="15" t="n">
        <f aca="false">MIN(5,INT(E419/0.2)+1)</f>
        <v>3</v>
      </c>
      <c r="G419" s="21" t="n">
        <v>0.403239722399825</v>
      </c>
      <c r="H419" s="28" t="n">
        <f aca="false">ABS(E419-G419)</f>
        <v>0</v>
      </c>
      <c r="I419" s="15" t="n">
        <v>3</v>
      </c>
      <c r="J419" s="21" t="n">
        <f aca="false">(SUMPRODUCT(2_Matriz_decision!C419:Q419,5_Ponderada!$C$5:$Q$5)-1)/4</f>
        <v>0.46833498022599</v>
      </c>
      <c r="K419" s="15" t="n">
        <f aca="false">MIN(5,INT(J419/0.2)+1)</f>
        <v>3</v>
      </c>
      <c r="L419" s="21" t="n">
        <v>0.46833498022599</v>
      </c>
    </row>
    <row r="420" customFormat="false" ht="15" hidden="false" customHeight="false" outlineLevel="0" collapsed="false">
      <c r="A420" s="15" t="n">
        <f aca="false">2_Matriz_decision!A420</f>
        <v>416</v>
      </c>
      <c r="B420" s="16" t="n">
        <f aca="false">2_Matriz_decision!B420</f>
        <v>41.823</v>
      </c>
      <c r="C420" s="21" t="n">
        <f aca="false">SQRT(SUMXMY2(5_Ponderada!C423:Q423,5_Ponderada!$C$6:$Q$6))</f>
        <v>0.0162295183252318</v>
      </c>
      <c r="D420" s="21" t="n">
        <f aca="false">SQRT(SUMXMY2(5_Ponderada!C423:Q423,5_Ponderada!$C$7:$Q$7))</f>
        <v>0.0101358842985023</v>
      </c>
      <c r="E420" s="21" t="n">
        <f aca="false">D420/(C420+D420)</f>
        <v>0.384438820948556</v>
      </c>
      <c r="F420" s="15" t="n">
        <f aca="false">MIN(5,INT(E420/0.2)+1)</f>
        <v>2</v>
      </c>
      <c r="G420" s="21" t="n">
        <v>0.384438820948556</v>
      </c>
      <c r="H420" s="28" t="n">
        <f aca="false">ABS(E420-G420)</f>
        <v>0</v>
      </c>
      <c r="I420" s="15" t="n">
        <v>2</v>
      </c>
      <c r="J420" s="21" t="n">
        <f aca="false">(SUMPRODUCT(2_Matriz_decision!C420:Q420,5_Ponderada!$C$5:$Q$5)-1)/4</f>
        <v>0.427971600176809</v>
      </c>
      <c r="K420" s="15" t="n">
        <f aca="false">MIN(5,INT(J420/0.2)+1)</f>
        <v>3</v>
      </c>
      <c r="L420" s="21" t="n">
        <v>0.427971600176809</v>
      </c>
    </row>
    <row r="421" customFormat="false" ht="15" hidden="false" customHeight="false" outlineLevel="0" collapsed="false">
      <c r="A421" s="15" t="n">
        <f aca="false">2_Matriz_decision!A421</f>
        <v>417</v>
      </c>
      <c r="B421" s="16" t="n">
        <f aca="false">2_Matriz_decision!B421</f>
        <v>41.921</v>
      </c>
      <c r="C421" s="21" t="n">
        <f aca="false">SQRT(SUMXMY2(5_Ponderada!C424:Q424,5_Ponderada!$C$6:$Q$6))</f>
        <v>0.0162369961548092</v>
      </c>
      <c r="D421" s="21" t="n">
        <f aca="false">SQRT(SUMXMY2(5_Ponderada!C424:Q424,5_Ponderada!$C$7:$Q$7))</f>
        <v>0.0100598468542006</v>
      </c>
      <c r="E421" s="21" t="n">
        <f aca="false">D421/(C421+D421)</f>
        <v>0.382549603036147</v>
      </c>
      <c r="F421" s="15" t="n">
        <f aca="false">MIN(5,INT(E421/0.2)+1)</f>
        <v>2</v>
      </c>
      <c r="G421" s="21" t="n">
        <v>0.382549603036147</v>
      </c>
      <c r="H421" s="28" t="n">
        <f aca="false">ABS(E421-G421)</f>
        <v>0</v>
      </c>
      <c r="I421" s="15" t="n">
        <v>2</v>
      </c>
      <c r="J421" s="21" t="n">
        <f aca="false">(SUMPRODUCT(2_Matriz_decision!C421:Q421,5_Ponderada!$C$5:$Q$5)-1)/4</f>
        <v>0.416133536801833</v>
      </c>
      <c r="K421" s="15" t="n">
        <f aca="false">MIN(5,INT(J421/0.2)+1)</f>
        <v>3</v>
      </c>
      <c r="L421" s="21" t="n">
        <v>0.416133536801833</v>
      </c>
    </row>
    <row r="422" customFormat="false" ht="15" hidden="false" customHeight="false" outlineLevel="0" collapsed="false">
      <c r="A422" s="15" t="n">
        <f aca="false">2_Matriz_decision!A422</f>
        <v>418</v>
      </c>
      <c r="B422" s="16" t="n">
        <f aca="false">2_Matriz_decision!B422</f>
        <v>42.02</v>
      </c>
      <c r="C422" s="21" t="n">
        <f aca="false">SQRT(SUMXMY2(5_Ponderada!C425:Q425,5_Ponderada!$C$6:$Q$6))</f>
        <v>0.0161376514650647</v>
      </c>
      <c r="D422" s="21" t="n">
        <f aca="false">SQRT(SUMXMY2(5_Ponderada!C425:Q425,5_Ponderada!$C$7:$Q$7))</f>
        <v>0.0108605754950008</v>
      </c>
      <c r="E422" s="21" t="n">
        <f aca="false">D422/(C422+D422)</f>
        <v>0.402269953173785</v>
      </c>
      <c r="F422" s="15" t="n">
        <f aca="false">MIN(5,INT(E422/0.2)+1)</f>
        <v>3</v>
      </c>
      <c r="G422" s="21" t="n">
        <v>0.402269953173785</v>
      </c>
      <c r="H422" s="28" t="n">
        <f aca="false">ABS(E422-G422)</f>
        <v>0</v>
      </c>
      <c r="I422" s="15" t="n">
        <v>3</v>
      </c>
      <c r="J422" s="21" t="n">
        <f aca="false">(SUMPRODUCT(2_Matriz_decision!C422:Q422,5_Ponderada!$C$5:$Q$5)-1)/4</f>
        <v>0.461108752623684</v>
      </c>
      <c r="K422" s="15" t="n">
        <f aca="false">MIN(5,INT(J422/0.2)+1)</f>
        <v>3</v>
      </c>
      <c r="L422" s="21" t="n">
        <v>0.461108752623684</v>
      </c>
    </row>
    <row r="423" customFormat="false" ht="15" hidden="false" customHeight="false" outlineLevel="0" collapsed="false">
      <c r="A423" s="15" t="n">
        <f aca="false">2_Matriz_decision!A423</f>
        <v>419</v>
      </c>
      <c r="B423" s="16" t="n">
        <f aca="false">2_Matriz_decision!B423</f>
        <v>42.118</v>
      </c>
      <c r="C423" s="21" t="n">
        <f aca="false">SQRT(SUMXMY2(5_Ponderada!C426:Q426,5_Ponderada!$C$6:$Q$6))</f>
        <v>0.0168835251231957</v>
      </c>
      <c r="D423" s="21" t="n">
        <f aca="false">SQRT(SUMXMY2(5_Ponderada!C426:Q426,5_Ponderada!$C$7:$Q$7))</f>
        <v>0.00882182241579448</v>
      </c>
      <c r="E423" s="21" t="n">
        <f aca="false">D423/(C423+D423)</f>
        <v>0.343190163152372</v>
      </c>
      <c r="F423" s="15" t="n">
        <f aca="false">MIN(5,INT(E423/0.2)+1)</f>
        <v>2</v>
      </c>
      <c r="G423" s="21" t="n">
        <v>0.343190163152372</v>
      </c>
      <c r="H423" s="28" t="n">
        <f aca="false">ABS(E423-G423)</f>
        <v>0</v>
      </c>
      <c r="I423" s="15" t="n">
        <v>2</v>
      </c>
      <c r="J423" s="21" t="n">
        <f aca="false">(SUMPRODUCT(2_Matriz_decision!C423:Q423,5_Ponderada!$C$5:$Q$5)-1)/4</f>
        <v>0.401951532264031</v>
      </c>
      <c r="K423" s="15" t="n">
        <f aca="false">MIN(5,INT(J423/0.2)+1)</f>
        <v>3</v>
      </c>
      <c r="L423" s="21" t="n">
        <v>0.401951532264031</v>
      </c>
    </row>
    <row r="424" customFormat="false" ht="15" hidden="false" customHeight="false" outlineLevel="0" collapsed="false">
      <c r="A424" s="15" t="n">
        <f aca="false">2_Matriz_decision!A424</f>
        <v>420</v>
      </c>
      <c r="B424" s="16" t="n">
        <f aca="false">2_Matriz_decision!B424</f>
        <v>42.217</v>
      </c>
      <c r="C424" s="21" t="n">
        <f aca="false">SQRT(SUMXMY2(5_Ponderada!C427:Q427,5_Ponderada!$C$6:$Q$6))</f>
        <v>0.0168874407533336</v>
      </c>
      <c r="D424" s="21" t="n">
        <f aca="false">SQRT(SUMXMY2(5_Ponderada!C427:Q427,5_Ponderada!$C$7:$Q$7))</f>
        <v>0.00881425809546456</v>
      </c>
      <c r="E424" s="21" t="n">
        <f aca="false">D424/(C424+D424)</f>
        <v>0.342944571380998</v>
      </c>
      <c r="F424" s="15" t="n">
        <f aca="false">MIN(5,INT(E424/0.2)+1)</f>
        <v>2</v>
      </c>
      <c r="G424" s="21" t="n">
        <v>0.342944571380998</v>
      </c>
      <c r="H424" s="28" t="n">
        <f aca="false">ABS(E424-G424)</f>
        <v>0</v>
      </c>
      <c r="I424" s="15" t="n">
        <v>2</v>
      </c>
      <c r="J424" s="21" t="n">
        <f aca="false">(SUMPRODUCT(2_Matriz_decision!C424:Q424,5_Ponderada!$C$5:$Q$5)-1)/4</f>
        <v>0.400457386556509</v>
      </c>
      <c r="K424" s="15" t="n">
        <f aca="false">MIN(5,INT(J424/0.2)+1)</f>
        <v>3</v>
      </c>
      <c r="L424" s="21" t="n">
        <v>0.400457386556509</v>
      </c>
    </row>
    <row r="425" customFormat="false" ht="15" hidden="false" customHeight="false" outlineLevel="0" collapsed="false">
      <c r="A425" s="15" t="n">
        <f aca="false">2_Matriz_decision!A425</f>
        <v>421</v>
      </c>
      <c r="B425" s="16" t="n">
        <f aca="false">2_Matriz_decision!B425</f>
        <v>42.317</v>
      </c>
      <c r="C425" s="21" t="n">
        <f aca="false">SQRT(SUMXMY2(5_Ponderada!C428:Q428,5_Ponderada!$C$6:$Q$6))</f>
        <v>0.0168777488899372</v>
      </c>
      <c r="D425" s="21" t="n">
        <f aca="false">SQRT(SUMXMY2(5_Ponderada!C428:Q428,5_Ponderada!$C$7:$Q$7))</f>
        <v>0.00890482553514753</v>
      </c>
      <c r="E425" s="21" t="n">
        <f aca="false">D425/(C425+D425)</f>
        <v>0.345381550667947</v>
      </c>
      <c r="F425" s="15" t="n">
        <f aca="false">MIN(5,INT(E425/0.2)+1)</f>
        <v>2</v>
      </c>
      <c r="G425" s="21" t="n">
        <v>0.345381550667947</v>
      </c>
      <c r="H425" s="28" t="n">
        <f aca="false">ABS(E425-G425)</f>
        <v>0</v>
      </c>
      <c r="I425" s="15" t="n">
        <v>2</v>
      </c>
      <c r="J425" s="21" t="n">
        <f aca="false">(SUMPRODUCT(2_Matriz_decision!C425:Q425,5_Ponderada!$C$5:$Q$5)-1)/4</f>
        <v>0.412891201410961</v>
      </c>
      <c r="K425" s="15" t="n">
        <f aca="false">MIN(5,INT(J425/0.2)+1)</f>
        <v>3</v>
      </c>
      <c r="L425" s="21" t="n">
        <v>0.412891201410962</v>
      </c>
    </row>
    <row r="426" customFormat="false" ht="15" hidden="false" customHeight="false" outlineLevel="0" collapsed="false">
      <c r="A426" s="15" t="n">
        <f aca="false">2_Matriz_decision!A426</f>
        <v>422</v>
      </c>
      <c r="B426" s="16" t="n">
        <f aca="false">2_Matriz_decision!B426</f>
        <v>42.417</v>
      </c>
      <c r="C426" s="21" t="n">
        <f aca="false">SQRT(SUMXMY2(5_Ponderada!C429:Q429,5_Ponderada!$C$6:$Q$6))</f>
        <v>0.0168849424896965</v>
      </c>
      <c r="D426" s="21" t="n">
        <f aca="false">SQRT(SUMXMY2(5_Ponderada!C429:Q429,5_Ponderada!$C$7:$Q$7))</f>
        <v>0.00882018110742965</v>
      </c>
      <c r="E426" s="21" t="n">
        <f aca="false">D426/(C426+D426)</f>
        <v>0.343129301600236</v>
      </c>
      <c r="F426" s="15" t="n">
        <f aca="false">MIN(5,INT(E426/0.2)+1)</f>
        <v>2</v>
      </c>
      <c r="G426" s="21" t="n">
        <v>0.343129301600236</v>
      </c>
      <c r="H426" s="28" t="n">
        <f aca="false">ABS(E426-G426)</f>
        <v>0</v>
      </c>
      <c r="I426" s="15" t="n">
        <v>2</v>
      </c>
      <c r="J426" s="21" t="n">
        <f aca="false">(SUMPRODUCT(2_Matriz_decision!C426:Q426,5_Ponderada!$C$5:$Q$5)-1)/4</f>
        <v>0.401898732546776</v>
      </c>
      <c r="K426" s="15" t="n">
        <f aca="false">MIN(5,INT(J426/0.2)+1)</f>
        <v>3</v>
      </c>
      <c r="L426" s="21" t="n">
        <v>0.401898732546776</v>
      </c>
    </row>
    <row r="427" customFormat="false" ht="15" hidden="false" customHeight="false" outlineLevel="0" collapsed="false">
      <c r="A427" s="15" t="n">
        <f aca="false">2_Matriz_decision!A427</f>
        <v>423</v>
      </c>
      <c r="B427" s="16" t="n">
        <f aca="false">2_Matriz_decision!B427</f>
        <v>42.517</v>
      </c>
      <c r="C427" s="21" t="n">
        <f aca="false">SQRT(SUMXMY2(5_Ponderada!C430:Q430,5_Ponderada!$C$6:$Q$6))</f>
        <v>0.0168811038433715</v>
      </c>
      <c r="D427" s="21" t="n">
        <f aca="false">SQRT(SUMXMY2(5_Ponderada!C430:Q430,5_Ponderada!$C$7:$Q$7))</f>
        <v>0.00882710958902219</v>
      </c>
      <c r="E427" s="21" t="n">
        <f aca="false">D427/(C427+D427)</f>
        <v>0.343357565948149</v>
      </c>
      <c r="F427" s="15" t="n">
        <f aca="false">MIN(5,INT(E427/0.2)+1)</f>
        <v>2</v>
      </c>
      <c r="G427" s="21" t="n">
        <v>0.343357565948149</v>
      </c>
      <c r="H427" s="28" t="n">
        <f aca="false">ABS(E427-G427)</f>
        <v>0</v>
      </c>
      <c r="I427" s="15" t="n">
        <v>2</v>
      </c>
      <c r="J427" s="21" t="n">
        <f aca="false">(SUMPRODUCT(2_Matriz_decision!C427:Q427,5_Ponderada!$C$5:$Q$5)-1)/4</f>
        <v>0.40298649213816</v>
      </c>
      <c r="K427" s="15" t="n">
        <f aca="false">MIN(5,INT(J427/0.2)+1)</f>
        <v>3</v>
      </c>
      <c r="L427" s="21" t="n">
        <v>0.40298649213816</v>
      </c>
    </row>
    <row r="428" customFormat="false" ht="15" hidden="false" customHeight="false" outlineLevel="0" collapsed="false">
      <c r="A428" s="15" t="n">
        <f aca="false">2_Matriz_decision!A428</f>
        <v>424</v>
      </c>
      <c r="B428" s="16" t="n">
        <f aca="false">2_Matriz_decision!B428</f>
        <v>42.617</v>
      </c>
      <c r="C428" s="21" t="n">
        <f aca="false">SQRT(SUMXMY2(5_Ponderada!C431:Q431,5_Ponderada!$C$6:$Q$6))</f>
        <v>0.0168561157434298</v>
      </c>
      <c r="D428" s="21" t="n">
        <f aca="false">SQRT(SUMXMY2(5_Ponderada!C431:Q431,5_Ponderada!$C$7:$Q$7))</f>
        <v>0.00885607525582454</v>
      </c>
      <c r="E428" s="21" t="n">
        <f aca="false">D428/(C428+D428)</f>
        <v>0.344430984356073</v>
      </c>
      <c r="F428" s="15" t="n">
        <f aca="false">MIN(5,INT(E428/0.2)+1)</f>
        <v>2</v>
      </c>
      <c r="G428" s="21" t="n">
        <v>0.344430984356073</v>
      </c>
      <c r="H428" s="28" t="n">
        <f aca="false">ABS(E428-G428)</f>
        <v>0</v>
      </c>
      <c r="I428" s="15" t="n">
        <v>2</v>
      </c>
      <c r="J428" s="21" t="n">
        <f aca="false">(SUMPRODUCT(2_Matriz_decision!C428:Q428,5_Ponderada!$C$5:$Q$5)-1)/4</f>
        <v>0.413299250962774</v>
      </c>
      <c r="K428" s="15" t="n">
        <f aca="false">MIN(5,INT(J428/0.2)+1)</f>
        <v>3</v>
      </c>
      <c r="L428" s="21" t="n">
        <v>0.413299250962774</v>
      </c>
    </row>
    <row r="429" customFormat="false" ht="15" hidden="false" customHeight="false" outlineLevel="0" collapsed="false">
      <c r="A429" s="15" t="n">
        <f aca="false">2_Matriz_decision!A429</f>
        <v>425</v>
      </c>
      <c r="B429" s="16" t="n">
        <f aca="false">2_Matriz_decision!B429</f>
        <v>42.716</v>
      </c>
      <c r="C429" s="21" t="n">
        <f aca="false">SQRT(SUMXMY2(5_Ponderada!C432:Q432,5_Ponderada!$C$6:$Q$6))</f>
        <v>0.0164941786321559</v>
      </c>
      <c r="D429" s="21" t="n">
        <f aca="false">SQRT(SUMXMY2(5_Ponderada!C432:Q432,5_Ponderada!$C$7:$Q$7))</f>
        <v>0.00892978979451593</v>
      </c>
      <c r="E429" s="21" t="n">
        <f aca="false">D429/(C429+D429)</f>
        <v>0.351235088270007</v>
      </c>
      <c r="F429" s="15" t="n">
        <f aca="false">MIN(5,INT(E429/0.2)+1)</f>
        <v>2</v>
      </c>
      <c r="G429" s="21" t="n">
        <v>0.351235088270007</v>
      </c>
      <c r="H429" s="28" t="n">
        <f aca="false">ABS(E429-G429)</f>
        <v>0</v>
      </c>
      <c r="I429" s="15" t="n">
        <v>2</v>
      </c>
      <c r="J429" s="21" t="n">
        <f aca="false">(SUMPRODUCT(2_Matriz_decision!C429:Q429,5_Ponderada!$C$5:$Q$5)-1)/4</f>
        <v>0.415305917510275</v>
      </c>
      <c r="K429" s="15" t="n">
        <f aca="false">MIN(5,INT(J429/0.2)+1)</f>
        <v>3</v>
      </c>
      <c r="L429" s="21" t="n">
        <v>0.415305917510275</v>
      </c>
    </row>
    <row r="430" customFormat="false" ht="15" hidden="false" customHeight="false" outlineLevel="0" collapsed="false">
      <c r="A430" s="15" t="n">
        <f aca="false">2_Matriz_decision!A430</f>
        <v>426</v>
      </c>
      <c r="B430" s="16" t="n">
        <f aca="false">2_Matriz_decision!B430</f>
        <v>42.816</v>
      </c>
      <c r="C430" s="21" t="n">
        <f aca="false">SQRT(SUMXMY2(5_Ponderada!C433:Q433,5_Ponderada!$C$6:$Q$6))</f>
        <v>0.0155006677345229</v>
      </c>
      <c r="D430" s="21" t="n">
        <f aca="false">SQRT(SUMXMY2(5_Ponderada!C433:Q433,5_Ponderada!$C$7:$Q$7))</f>
        <v>0.0132674756015826</v>
      </c>
      <c r="E430" s="21" t="n">
        <f aca="false">D430/(C430+D430)</f>
        <v>0.461186370165613</v>
      </c>
      <c r="F430" s="15" t="n">
        <f aca="false">MIN(5,INT(E430/0.2)+1)</f>
        <v>3</v>
      </c>
      <c r="G430" s="21" t="n">
        <v>0.461186370165613</v>
      </c>
      <c r="H430" s="28" t="n">
        <f aca="false">ABS(E430-G430)</f>
        <v>0</v>
      </c>
      <c r="I430" s="15" t="n">
        <v>3</v>
      </c>
      <c r="J430" s="21" t="n">
        <f aca="false">(SUMPRODUCT(2_Matriz_decision!C430:Q430,5_Ponderada!$C$5:$Q$5)-1)/4</f>
        <v>0.521368860418207</v>
      </c>
      <c r="K430" s="15" t="n">
        <f aca="false">MIN(5,INT(J430/0.2)+1)</f>
        <v>3</v>
      </c>
      <c r="L430" s="21" t="n">
        <v>0.521368860418207</v>
      </c>
    </row>
    <row r="431" customFormat="false" ht="15" hidden="false" customHeight="false" outlineLevel="0" collapsed="false">
      <c r="A431" s="15" t="n">
        <f aca="false">2_Matriz_decision!A431</f>
        <v>427</v>
      </c>
      <c r="B431" s="16" t="n">
        <f aca="false">2_Matriz_decision!B431</f>
        <v>42.915</v>
      </c>
      <c r="C431" s="21" t="n">
        <f aca="false">SQRT(SUMXMY2(5_Ponderada!C434:Q434,5_Ponderada!$C$6:$Q$6))</f>
        <v>0.0154784591384148</v>
      </c>
      <c r="D431" s="21" t="n">
        <f aca="false">SQRT(SUMXMY2(5_Ponderada!C434:Q434,5_Ponderada!$C$7:$Q$7))</f>
        <v>0.0132804461157408</v>
      </c>
      <c r="E431" s="21" t="n">
        <f aca="false">D431/(C431+D431)</f>
        <v>0.46178552341876</v>
      </c>
      <c r="F431" s="15" t="n">
        <f aca="false">MIN(5,INT(E431/0.2)+1)</f>
        <v>3</v>
      </c>
      <c r="G431" s="21" t="n">
        <v>0.46178552341876</v>
      </c>
      <c r="H431" s="28" t="n">
        <f aca="false">ABS(E431-G431)</f>
        <v>0</v>
      </c>
      <c r="I431" s="15" t="n">
        <v>3</v>
      </c>
      <c r="J431" s="21" t="n">
        <f aca="false">(SUMPRODUCT(2_Matriz_decision!C431:Q431,5_Ponderada!$C$5:$Q$5)-1)/4</f>
        <v>0.529784934278</v>
      </c>
      <c r="K431" s="15" t="n">
        <f aca="false">MIN(5,INT(J431/0.2)+1)</f>
        <v>3</v>
      </c>
      <c r="L431" s="21" t="n">
        <v>0.529784934278001</v>
      </c>
    </row>
    <row r="432" customFormat="false" ht="15" hidden="false" customHeight="false" outlineLevel="0" collapsed="false">
      <c r="A432" s="15" t="n">
        <f aca="false">2_Matriz_decision!A432</f>
        <v>428</v>
      </c>
      <c r="B432" s="16" t="n">
        <f aca="false">2_Matriz_decision!B432</f>
        <v>43.014</v>
      </c>
      <c r="C432" s="21" t="n">
        <f aca="false">SQRT(SUMXMY2(5_Ponderada!C435:Q435,5_Ponderada!$C$6:$Q$6))</f>
        <v>0.0157570700841238</v>
      </c>
      <c r="D432" s="21" t="n">
        <f aca="false">SQRT(SUMXMY2(5_Ponderada!C435:Q435,5_Ponderada!$C$7:$Q$7))</f>
        <v>0.0109800952357077</v>
      </c>
      <c r="E432" s="21" t="n">
        <f aca="false">D432/(C432+D432)</f>
        <v>0.410667888849217</v>
      </c>
      <c r="F432" s="15" t="n">
        <f aca="false">MIN(5,INT(E432/0.2)+1)</f>
        <v>3</v>
      </c>
      <c r="G432" s="21" t="n">
        <v>0.410667888849217</v>
      </c>
      <c r="H432" s="28" t="n">
        <f aca="false">ABS(E432-G432)</f>
        <v>0</v>
      </c>
      <c r="I432" s="15" t="n">
        <v>3</v>
      </c>
      <c r="J432" s="21" t="n">
        <f aca="false">(SUMPRODUCT(2_Matriz_decision!C432:Q432,5_Ponderada!$C$5:$Q$5)-1)/4</f>
        <v>0.471355933365211</v>
      </c>
      <c r="K432" s="15" t="n">
        <f aca="false">MIN(5,INT(J432/0.2)+1)</f>
        <v>3</v>
      </c>
      <c r="L432" s="21" t="n">
        <v>0.471355933365211</v>
      </c>
    </row>
    <row r="433" customFormat="false" ht="15" hidden="false" customHeight="false" outlineLevel="0" collapsed="false">
      <c r="A433" s="15" t="n">
        <f aca="false">2_Matriz_decision!A433</f>
        <v>429</v>
      </c>
      <c r="B433" s="16" t="n">
        <f aca="false">2_Matriz_decision!B433</f>
        <v>43.113</v>
      </c>
      <c r="C433" s="21" t="n">
        <f aca="false">SQRT(SUMXMY2(5_Ponderada!C436:Q436,5_Ponderada!$C$6:$Q$6))</f>
        <v>0.0155190238101733</v>
      </c>
      <c r="D433" s="21" t="n">
        <f aca="false">SQRT(SUMXMY2(5_Ponderada!C436:Q436,5_Ponderada!$C$7:$Q$7))</f>
        <v>0.0132052696406158</v>
      </c>
      <c r="E433" s="21" t="n">
        <f aca="false">D433/(C433+D433)</f>
        <v>0.459724785336819</v>
      </c>
      <c r="F433" s="15" t="n">
        <f aca="false">MIN(5,INT(E433/0.2)+1)</f>
        <v>3</v>
      </c>
      <c r="G433" s="21" t="n">
        <v>0.459724785336819</v>
      </c>
      <c r="H433" s="28" t="n">
        <f aca="false">ABS(E433-G433)</f>
        <v>0</v>
      </c>
      <c r="I433" s="15" t="n">
        <v>3</v>
      </c>
      <c r="J433" s="21" t="n">
        <f aca="false">(SUMPRODUCT(2_Matriz_decision!C433:Q433,5_Ponderada!$C$5:$Q$5)-1)/4</f>
        <v>0.50424565647414</v>
      </c>
      <c r="K433" s="15" t="n">
        <f aca="false">MIN(5,INT(J433/0.2)+1)</f>
        <v>3</v>
      </c>
      <c r="L433" s="21" t="n">
        <v>0.504245656474141</v>
      </c>
    </row>
    <row r="434" customFormat="false" ht="15" hidden="false" customHeight="false" outlineLevel="0" collapsed="false">
      <c r="A434" s="15" t="n">
        <f aca="false">2_Matriz_decision!A434</f>
        <v>430</v>
      </c>
      <c r="B434" s="16" t="n">
        <f aca="false">2_Matriz_decision!B434</f>
        <v>43.212</v>
      </c>
      <c r="C434" s="21" t="n">
        <f aca="false">SQRT(SUMXMY2(5_Ponderada!C437:Q437,5_Ponderada!$C$6:$Q$6))</f>
        <v>0.0158390642112349</v>
      </c>
      <c r="D434" s="21" t="n">
        <f aca="false">SQRT(SUMXMY2(5_Ponderada!C437:Q437,5_Ponderada!$C$7:$Q$7))</f>
        <v>0.010206175209085</v>
      </c>
      <c r="E434" s="21" t="n">
        <f aca="false">D434/(C434+D434)</f>
        <v>0.39186336682789</v>
      </c>
      <c r="F434" s="15" t="n">
        <f aca="false">MIN(5,INT(E434/0.2)+1)</f>
        <v>2</v>
      </c>
      <c r="G434" s="21" t="n">
        <v>0.39186336682789</v>
      </c>
      <c r="H434" s="28" t="n">
        <f aca="false">ABS(E434-G434)</f>
        <v>0</v>
      </c>
      <c r="I434" s="15" t="n">
        <v>2</v>
      </c>
      <c r="J434" s="21" t="n">
        <f aca="false">(SUMPRODUCT(2_Matriz_decision!C434:Q434,5_Ponderada!$C$5:$Q$5)-1)/4</f>
        <v>0.435360657952613</v>
      </c>
      <c r="K434" s="15" t="n">
        <f aca="false">MIN(5,INT(J434/0.2)+1)</f>
        <v>3</v>
      </c>
      <c r="L434" s="21" t="n">
        <v>0.435360657952614</v>
      </c>
    </row>
    <row r="435" customFormat="false" ht="15" hidden="false" customHeight="false" outlineLevel="0" collapsed="false">
      <c r="A435" s="15" t="n">
        <f aca="false">2_Matriz_decision!A435</f>
        <v>431</v>
      </c>
      <c r="B435" s="16" t="n">
        <f aca="false">2_Matriz_decision!B435</f>
        <v>43.311</v>
      </c>
      <c r="C435" s="21" t="n">
        <f aca="false">SQRT(SUMXMY2(5_Ponderada!C438:Q438,5_Ponderada!$C$6:$Q$6))</f>
        <v>0.0158399228893077</v>
      </c>
      <c r="D435" s="21" t="n">
        <f aca="false">SQRT(SUMXMY2(5_Ponderada!C438:Q438,5_Ponderada!$C$7:$Q$7))</f>
        <v>0.0102053475194085</v>
      </c>
      <c r="E435" s="21" t="n">
        <f aca="false">D435/(C435+D435)</f>
        <v>0.391831121706965</v>
      </c>
      <c r="F435" s="15" t="n">
        <f aca="false">MIN(5,INT(E435/0.2)+1)</f>
        <v>2</v>
      </c>
      <c r="G435" s="21" t="n">
        <v>0.391831121706965</v>
      </c>
      <c r="H435" s="28" t="n">
        <f aca="false">ABS(E435-G435)</f>
        <v>0</v>
      </c>
      <c r="I435" s="15" t="n">
        <v>2</v>
      </c>
      <c r="J435" s="21" t="n">
        <f aca="false">(SUMPRODUCT(2_Matriz_decision!C435:Q435,5_Ponderada!$C$5:$Q$5)-1)/4</f>
        <v>0.435229118018697</v>
      </c>
      <c r="K435" s="15" t="n">
        <f aca="false">MIN(5,INT(J435/0.2)+1)</f>
        <v>3</v>
      </c>
      <c r="L435" s="21" t="n">
        <v>0.435229118018697</v>
      </c>
    </row>
    <row r="436" customFormat="false" ht="15" hidden="false" customHeight="false" outlineLevel="0" collapsed="false">
      <c r="A436" s="15" t="n">
        <f aca="false">2_Matriz_decision!A436</f>
        <v>432</v>
      </c>
      <c r="B436" s="16" t="n">
        <f aca="false">2_Matriz_decision!B436</f>
        <v>43.41</v>
      </c>
      <c r="C436" s="21" t="n">
        <f aca="false">SQRT(SUMXMY2(5_Ponderada!C439:Q439,5_Ponderada!$C$6:$Q$6))</f>
        <v>0.0139160765569865</v>
      </c>
      <c r="D436" s="21" t="n">
        <f aca="false">SQRT(SUMXMY2(5_Ponderada!C439:Q439,5_Ponderada!$C$7:$Q$7))</f>
        <v>0.0106004297136693</v>
      </c>
      <c r="E436" s="21" t="n">
        <f aca="false">D436/(C436+D436)</f>
        <v>0.432379295673019</v>
      </c>
      <c r="F436" s="15" t="n">
        <f aca="false">MIN(5,INT(E436/0.2)+1)</f>
        <v>3</v>
      </c>
      <c r="G436" s="21" t="n">
        <v>0.432379295673019</v>
      </c>
      <c r="H436" s="28" t="n">
        <f aca="false">ABS(E436-G436)</f>
        <v>0</v>
      </c>
      <c r="I436" s="15" t="n">
        <v>3</v>
      </c>
      <c r="J436" s="21" t="n">
        <f aca="false">(SUMPRODUCT(2_Matriz_decision!C436:Q436,5_Ponderada!$C$5:$Q$5)-1)/4</f>
        <v>0.48962073527405</v>
      </c>
      <c r="K436" s="15" t="n">
        <f aca="false">MIN(5,INT(J436/0.2)+1)</f>
        <v>3</v>
      </c>
      <c r="L436" s="21" t="n">
        <v>0.489620735274051</v>
      </c>
    </row>
    <row r="437" customFormat="false" ht="15" hidden="false" customHeight="false" outlineLevel="0" collapsed="false">
      <c r="A437" s="15" t="n">
        <f aca="false">2_Matriz_decision!A437</f>
        <v>433</v>
      </c>
      <c r="B437" s="16" t="n">
        <f aca="false">2_Matriz_decision!B437</f>
        <v>43.51</v>
      </c>
      <c r="C437" s="21" t="n">
        <f aca="false">SQRT(SUMXMY2(5_Ponderada!C440:Q440,5_Ponderada!$C$6:$Q$6))</f>
        <v>0.0156010725860934</v>
      </c>
      <c r="D437" s="21" t="n">
        <f aca="false">SQRT(SUMXMY2(5_Ponderada!C440:Q440,5_Ponderada!$C$7:$Q$7))</f>
        <v>0.0126206872304924</v>
      </c>
      <c r="E437" s="21" t="n">
        <f aca="false">D437/(C437+D437)</f>
        <v>0.447197032095613</v>
      </c>
      <c r="F437" s="15" t="n">
        <f aca="false">MIN(5,INT(E437/0.2)+1)</f>
        <v>3</v>
      </c>
      <c r="G437" s="21" t="n">
        <v>0.447197032095613</v>
      </c>
      <c r="H437" s="28" t="n">
        <f aca="false">ABS(E437-G437)</f>
        <v>0</v>
      </c>
      <c r="I437" s="15" t="n">
        <v>3</v>
      </c>
      <c r="J437" s="21" t="n">
        <f aca="false">(SUMPRODUCT(2_Matriz_decision!C437:Q437,5_Ponderada!$C$5:$Q$5)-1)/4</f>
        <v>0.481155666739088</v>
      </c>
      <c r="K437" s="15" t="n">
        <f aca="false">MIN(5,INT(J437/0.2)+1)</f>
        <v>3</v>
      </c>
      <c r="L437" s="21" t="n">
        <v>0.481155666739088</v>
      </c>
    </row>
    <row r="438" customFormat="false" ht="15" hidden="false" customHeight="false" outlineLevel="0" collapsed="false">
      <c r="A438" s="15" t="n">
        <f aca="false">2_Matriz_decision!A438</f>
        <v>434</v>
      </c>
      <c r="B438" s="16" t="n">
        <f aca="false">2_Matriz_decision!B438</f>
        <v>43.609</v>
      </c>
      <c r="C438" s="21" t="n">
        <f aca="false">SQRT(SUMXMY2(5_Ponderada!C441:Q441,5_Ponderada!$C$6:$Q$6))</f>
        <v>0.0155665093425343</v>
      </c>
      <c r="D438" s="21" t="n">
        <f aca="false">SQRT(SUMXMY2(5_Ponderada!C441:Q441,5_Ponderada!$C$7:$Q$7))</f>
        <v>0.012643220424413</v>
      </c>
      <c r="E438" s="21" t="n">
        <f aca="false">D438/(C438+D438)</f>
        <v>0.448186513265602</v>
      </c>
      <c r="F438" s="15" t="n">
        <f aca="false">MIN(5,INT(E438/0.2)+1)</f>
        <v>3</v>
      </c>
      <c r="G438" s="21" t="n">
        <v>0.448186513265602</v>
      </c>
      <c r="H438" s="28" t="n">
        <f aca="false">ABS(E438-G438)</f>
        <v>0</v>
      </c>
      <c r="I438" s="15" t="n">
        <v>3</v>
      </c>
      <c r="J438" s="21" t="n">
        <f aca="false">(SUMPRODUCT(2_Matriz_decision!C438:Q438,5_Ponderada!$C$5:$Q$5)-1)/4</f>
        <v>0.49166065027341</v>
      </c>
      <c r="K438" s="15" t="n">
        <f aca="false">MIN(5,INT(J438/0.2)+1)</f>
        <v>3</v>
      </c>
      <c r="L438" s="21" t="n">
        <v>0.491660650273411</v>
      </c>
    </row>
    <row r="439" customFormat="false" ht="15" hidden="false" customHeight="false" outlineLevel="0" collapsed="false">
      <c r="A439" s="15" t="n">
        <f aca="false">2_Matriz_decision!A439</f>
        <v>435</v>
      </c>
      <c r="B439" s="16" t="n">
        <f aca="false">2_Matriz_decision!B439</f>
        <v>43.709</v>
      </c>
      <c r="C439" s="21" t="n">
        <f aca="false">SQRT(SUMXMY2(5_Ponderada!C442:Q442,5_Ponderada!$C$6:$Q$6))</f>
        <v>0.0155799009748357</v>
      </c>
      <c r="D439" s="21" t="n">
        <f aca="false">SQRT(SUMXMY2(5_Ponderada!C442:Q442,5_Ponderada!$C$7:$Q$7))</f>
        <v>0.0126352787576446</v>
      </c>
      <c r="E439" s="21" t="n">
        <f aca="false">D439/(C439+D439)</f>
        <v>0.447818474928915</v>
      </c>
      <c r="F439" s="15" t="n">
        <f aca="false">MIN(5,INT(E439/0.2)+1)</f>
        <v>3</v>
      </c>
      <c r="G439" s="21" t="n">
        <v>0.447818474928915</v>
      </c>
      <c r="H439" s="28" t="n">
        <f aca="false">ABS(E439-G439)</f>
        <v>0</v>
      </c>
      <c r="I439" s="15" t="n">
        <v>3</v>
      </c>
      <c r="J439" s="21" t="n">
        <f aca="false">(SUMPRODUCT(2_Matriz_decision!C439:Q439,5_Ponderada!$C$5:$Q$5)-1)/4</f>
        <v>0.482925633963177</v>
      </c>
      <c r="K439" s="15" t="n">
        <f aca="false">MIN(5,INT(J439/0.2)+1)</f>
        <v>3</v>
      </c>
      <c r="L439" s="21" t="n">
        <v>0.482925633963178</v>
      </c>
    </row>
    <row r="440" customFormat="false" ht="15" hidden="false" customHeight="false" outlineLevel="0" collapsed="false">
      <c r="A440" s="15" t="n">
        <f aca="false">2_Matriz_decision!A440</f>
        <v>436</v>
      </c>
      <c r="B440" s="16" t="n">
        <f aca="false">2_Matriz_decision!B440</f>
        <v>43.808</v>
      </c>
      <c r="C440" s="21" t="n">
        <f aca="false">SQRT(SUMXMY2(5_Ponderada!C443:Q443,5_Ponderada!$C$6:$Q$6))</f>
        <v>0.0165774045275205</v>
      </c>
      <c r="D440" s="21" t="n">
        <f aca="false">SQRT(SUMXMY2(5_Ponderada!C443:Q443,5_Ponderada!$C$7:$Q$7))</f>
        <v>0.00802831674552769</v>
      </c>
      <c r="E440" s="21" t="n">
        <f aca="false">D440/(C440+D440)</f>
        <v>0.326278455991514</v>
      </c>
      <c r="F440" s="15" t="n">
        <f aca="false">MIN(5,INT(E440/0.2)+1)</f>
        <v>2</v>
      </c>
      <c r="G440" s="21" t="n">
        <v>0.326278455991513</v>
      </c>
      <c r="H440" s="28" t="n">
        <f aca="false">ABS(E440-G440)</f>
        <v>0</v>
      </c>
      <c r="I440" s="15" t="n">
        <v>2</v>
      </c>
      <c r="J440" s="21" t="n">
        <f aca="false">(SUMPRODUCT(2_Matriz_decision!C440:Q440,5_Ponderada!$C$5:$Q$5)-1)/4</f>
        <v>0.383911435703503</v>
      </c>
      <c r="K440" s="15" t="n">
        <f aca="false">MIN(5,INT(J440/0.2)+1)</f>
        <v>2</v>
      </c>
      <c r="L440" s="21" t="n">
        <v>0.383911435703504</v>
      </c>
    </row>
    <row r="441" customFormat="false" ht="15" hidden="false" customHeight="false" outlineLevel="0" collapsed="false">
      <c r="A441" s="15" t="n">
        <f aca="false">2_Matriz_decision!A441</f>
        <v>437</v>
      </c>
      <c r="B441" s="16" t="n">
        <f aca="false">2_Matriz_decision!B441</f>
        <v>43.908</v>
      </c>
      <c r="C441" s="21" t="n">
        <f aca="false">SQRT(SUMXMY2(5_Ponderada!C444:Q444,5_Ponderada!$C$6:$Q$6))</f>
        <v>0.0165674595170242</v>
      </c>
      <c r="D441" s="21" t="n">
        <f aca="false">SQRT(SUMXMY2(5_Ponderada!C444:Q444,5_Ponderada!$C$7:$Q$7))</f>
        <v>0.00804294367704816</v>
      </c>
      <c r="E441" s="21" t="n">
        <f aca="false">D441/(C441+D441)</f>
        <v>0.326810723644925</v>
      </c>
      <c r="F441" s="15" t="n">
        <f aca="false">MIN(5,INT(E441/0.2)+1)</f>
        <v>2</v>
      </c>
      <c r="G441" s="21" t="n">
        <v>0.326810723644925</v>
      </c>
      <c r="H441" s="28" t="n">
        <f aca="false">ABS(E441-G441)</f>
        <v>0</v>
      </c>
      <c r="I441" s="15" t="n">
        <v>2</v>
      </c>
      <c r="J441" s="21" t="n">
        <f aca="false">(SUMPRODUCT(2_Matriz_decision!C441:Q441,5_Ponderada!$C$5:$Q$5)-1)/4</f>
        <v>0.390955589057969</v>
      </c>
      <c r="K441" s="15" t="n">
        <f aca="false">MIN(5,INT(J441/0.2)+1)</f>
        <v>2</v>
      </c>
      <c r="L441" s="21" t="n">
        <v>0.39095558905797</v>
      </c>
    </row>
    <row r="442" customFormat="false" ht="15" hidden="false" customHeight="false" outlineLevel="0" collapsed="false">
      <c r="A442" s="15" t="n">
        <f aca="false">2_Matriz_decision!A442</f>
        <v>438</v>
      </c>
      <c r="B442" s="16" t="n">
        <f aca="false">2_Matriz_decision!B442</f>
        <v>44.008</v>
      </c>
      <c r="C442" s="21" t="n">
        <f aca="false">SQRT(SUMXMY2(5_Ponderada!C445:Q445,5_Ponderada!$C$6:$Q$6))</f>
        <v>0.0158396776450947</v>
      </c>
      <c r="D442" s="21" t="n">
        <f aca="false">SQRT(SUMXMY2(5_Ponderada!C445:Q445,5_Ponderada!$C$7:$Q$7))</f>
        <v>0.0102045124259732</v>
      </c>
      <c r="E442" s="21" t="n">
        <f aca="false">D442/(C442+D442)</f>
        <v>0.391815310751754</v>
      </c>
      <c r="F442" s="15" t="n">
        <f aca="false">MIN(5,INT(E442/0.2)+1)</f>
        <v>2</v>
      </c>
      <c r="G442" s="21" t="n">
        <v>0.391815310751754</v>
      </c>
      <c r="H442" s="28" t="n">
        <f aca="false">ABS(E442-G442)</f>
        <v>0</v>
      </c>
      <c r="I442" s="15" t="n">
        <v>2</v>
      </c>
      <c r="J442" s="21" t="n">
        <f aca="false">(SUMPRODUCT(2_Matriz_decision!C442:Q442,5_Ponderada!$C$5:$Q$5)-1)/4</f>
        <v>0.437616437647202</v>
      </c>
      <c r="K442" s="15" t="n">
        <f aca="false">MIN(5,INT(J442/0.2)+1)</f>
        <v>3</v>
      </c>
      <c r="L442" s="21" t="n">
        <v>0.437616437647203</v>
      </c>
    </row>
    <row r="443" customFormat="false" ht="15" hidden="false" customHeight="false" outlineLevel="0" collapsed="false">
      <c r="A443" s="15" t="n">
        <f aca="false">2_Matriz_decision!A443</f>
        <v>439</v>
      </c>
      <c r="B443" s="16" t="n">
        <f aca="false">2_Matriz_decision!B443</f>
        <v>44.108</v>
      </c>
      <c r="C443" s="21" t="n">
        <f aca="false">SQRT(SUMXMY2(5_Ponderada!C446:Q446,5_Ponderada!$C$6:$Q$6))</f>
        <v>0.0158368806467597</v>
      </c>
      <c r="D443" s="21" t="n">
        <f aca="false">SQRT(SUMXMY2(5_Ponderada!C446:Q446,5_Ponderada!$C$7:$Q$7))</f>
        <v>0.0102068088333419</v>
      </c>
      <c r="E443" s="21" t="n">
        <f aca="false">D443/(C443+D443)</f>
        <v>0.391911017106093</v>
      </c>
      <c r="F443" s="15" t="n">
        <f aca="false">MIN(5,INT(E443/0.2)+1)</f>
        <v>2</v>
      </c>
      <c r="G443" s="21" t="n">
        <v>0.391911017106093</v>
      </c>
      <c r="H443" s="28" t="n">
        <f aca="false">ABS(E443-G443)</f>
        <v>0</v>
      </c>
      <c r="I443" s="15" t="n">
        <v>2</v>
      </c>
      <c r="J443" s="21" t="n">
        <f aca="false">(SUMPRODUCT(2_Matriz_decision!C443:Q443,5_Ponderada!$C$5:$Q$5)-1)/4</f>
        <v>0.438781357290148</v>
      </c>
      <c r="K443" s="15" t="n">
        <f aca="false">MIN(5,INT(J443/0.2)+1)</f>
        <v>3</v>
      </c>
      <c r="L443" s="21" t="n">
        <v>0.438781357290149</v>
      </c>
    </row>
    <row r="444" customFormat="false" ht="15" hidden="false" customHeight="false" outlineLevel="0" collapsed="false">
      <c r="A444" s="15" t="n">
        <f aca="false">2_Matriz_decision!A444</f>
        <v>440</v>
      </c>
      <c r="B444" s="16" t="n">
        <f aca="false">2_Matriz_decision!B444</f>
        <v>44.208</v>
      </c>
      <c r="C444" s="21" t="n">
        <f aca="false">SQRT(SUMXMY2(5_Ponderada!C447:Q447,5_Ponderada!$C$6:$Q$6))</f>
        <v>0.0158687260740048</v>
      </c>
      <c r="D444" s="21" t="n">
        <f aca="false">SQRT(SUMXMY2(5_Ponderada!C447:Q447,5_Ponderada!$C$7:$Q$7))</f>
        <v>0.0101800132104754</v>
      </c>
      <c r="E444" s="21" t="n">
        <f aca="false">D444/(C444+D444)</f>
        <v>0.390806368757378</v>
      </c>
      <c r="F444" s="15" t="n">
        <f aca="false">MIN(5,INT(E444/0.2)+1)</f>
        <v>2</v>
      </c>
      <c r="G444" s="21" t="n">
        <v>0.390806368757378</v>
      </c>
      <c r="H444" s="28" t="n">
        <f aca="false">ABS(E444-G444)</f>
        <v>0</v>
      </c>
      <c r="I444" s="15" t="n">
        <v>2</v>
      </c>
      <c r="J444" s="21" t="n">
        <f aca="false">(SUMPRODUCT(2_Matriz_decision!C444:Q444,5_Ponderada!$C$5:$Q$5)-1)/4</f>
        <v>0.42806335035378</v>
      </c>
      <c r="K444" s="15" t="n">
        <f aca="false">MIN(5,INT(J444/0.2)+1)</f>
        <v>3</v>
      </c>
      <c r="L444" s="21" t="n">
        <v>0.428063350353781</v>
      </c>
    </row>
    <row r="445" customFormat="false" ht="15" hidden="false" customHeight="false" outlineLevel="0" collapsed="false">
      <c r="A445" s="15" t="n">
        <f aca="false">2_Matriz_decision!A445</f>
        <v>441</v>
      </c>
      <c r="B445" s="16" t="n">
        <f aca="false">2_Matriz_decision!B445</f>
        <v>44.307</v>
      </c>
      <c r="C445" s="21" t="n">
        <f aca="false">SQRT(SUMXMY2(5_Ponderada!C448:Q448,5_Ponderada!$C$6:$Q$6))</f>
        <v>0.0158418010187786</v>
      </c>
      <c r="D445" s="21" t="n">
        <f aca="false">SQRT(SUMXMY2(5_Ponderada!C448:Q448,5_Ponderada!$C$7:$Q$7))</f>
        <v>0.0102070226719382</v>
      </c>
      <c r="E445" s="21" t="n">
        <f aca="false">D445/(C445+D445)</f>
        <v>0.391841980779185</v>
      </c>
      <c r="F445" s="15" t="n">
        <f aca="false">MIN(5,INT(E445/0.2)+1)</f>
        <v>2</v>
      </c>
      <c r="G445" s="21" t="n">
        <v>0.391841980779185</v>
      </c>
      <c r="H445" s="28" t="n">
        <f aca="false">ABS(E445-G445)</f>
        <v>0</v>
      </c>
      <c r="I445" s="15" t="n">
        <v>2</v>
      </c>
      <c r="J445" s="21" t="n">
        <f aca="false">(SUMPRODUCT(2_Matriz_decision!C445:Q445,5_Ponderada!$C$5:$Q$5)-1)/4</f>
        <v>0.439922186048699</v>
      </c>
      <c r="K445" s="15" t="n">
        <f aca="false">MIN(5,INT(J445/0.2)+1)</f>
        <v>3</v>
      </c>
      <c r="L445" s="21" t="n">
        <v>0.4399221860487</v>
      </c>
    </row>
    <row r="446" customFormat="false" ht="15" hidden="false" customHeight="false" outlineLevel="0" collapsed="false">
      <c r="A446" s="15" t="n">
        <f aca="false">2_Matriz_decision!A446</f>
        <v>442</v>
      </c>
      <c r="B446" s="16" t="n">
        <f aca="false">2_Matriz_decision!B446</f>
        <v>44.407</v>
      </c>
      <c r="C446" s="21" t="n">
        <f aca="false">SQRT(SUMXMY2(5_Ponderada!C449:Q449,5_Ponderada!$C$6:$Q$6))</f>
        <v>0.0155973288120866</v>
      </c>
      <c r="D446" s="21" t="n">
        <f aca="false">SQRT(SUMXMY2(5_Ponderada!C449:Q449,5_Ponderada!$C$7:$Q$7))</f>
        <v>0.0125756509936899</v>
      </c>
      <c r="E446" s="21" t="n">
        <f aca="false">D446/(C446+D446)</f>
        <v>0.446372768531622</v>
      </c>
      <c r="F446" s="15" t="n">
        <f aca="false">MIN(5,INT(E446/0.2)+1)</f>
        <v>3</v>
      </c>
      <c r="G446" s="21" t="n">
        <v>0.446372768531622</v>
      </c>
      <c r="H446" s="28" t="n">
        <f aca="false">ABS(E446-G446)</f>
        <v>0</v>
      </c>
      <c r="I446" s="15" t="n">
        <v>3</v>
      </c>
      <c r="J446" s="21" t="n">
        <f aca="false">(SUMPRODUCT(2_Matriz_decision!C446:Q446,5_Ponderada!$C$5:$Q$5)-1)/4</f>
        <v>0.471037375806398</v>
      </c>
      <c r="K446" s="15" t="n">
        <f aca="false">MIN(5,INT(J446/0.2)+1)</f>
        <v>3</v>
      </c>
      <c r="L446" s="21" t="n">
        <v>0.471037375806398</v>
      </c>
    </row>
    <row r="447" customFormat="false" ht="15" hidden="false" customHeight="false" outlineLevel="0" collapsed="false">
      <c r="A447" s="15" t="n">
        <f aca="false">2_Matriz_decision!A447</f>
        <v>443</v>
      </c>
      <c r="B447" s="16" t="n">
        <f aca="false">2_Matriz_decision!B447</f>
        <v>44.506</v>
      </c>
      <c r="C447" s="21" t="n">
        <f aca="false">SQRT(SUMXMY2(5_Ponderada!C450:Q450,5_Ponderada!$C$6:$Q$6))</f>
        <v>0.0158149537127488</v>
      </c>
      <c r="D447" s="21" t="n">
        <f aca="false">SQRT(SUMXMY2(5_Ponderada!C450:Q450,5_Ponderada!$C$7:$Q$7))</f>
        <v>0.0102291461066772</v>
      </c>
      <c r="E447" s="21" t="n">
        <f aca="false">D447/(C447+D447)</f>
        <v>0.392762513490576</v>
      </c>
      <c r="F447" s="15" t="n">
        <f aca="false">MIN(5,INT(E447/0.2)+1)</f>
        <v>2</v>
      </c>
      <c r="G447" s="21" t="n">
        <v>0.392762513490576</v>
      </c>
      <c r="H447" s="28" t="n">
        <f aca="false">ABS(E447-G447)</f>
        <v>0</v>
      </c>
      <c r="I447" s="15" t="n">
        <v>2</v>
      </c>
      <c r="J447" s="21" t="n">
        <f aca="false">(SUMPRODUCT(2_Matriz_decision!C447:Q447,5_Ponderada!$C$5:$Q$5)-1)/4</f>
        <v>0.446580167436019</v>
      </c>
      <c r="K447" s="15" t="n">
        <f aca="false">MIN(5,INT(J447/0.2)+1)</f>
        <v>3</v>
      </c>
      <c r="L447" s="21" t="n">
        <v>0.446580167436019</v>
      </c>
    </row>
    <row r="448" customFormat="false" ht="15" hidden="false" customHeight="false" outlineLevel="0" collapsed="false">
      <c r="A448" s="15" t="n">
        <f aca="false">2_Matriz_decision!A448</f>
        <v>444</v>
      </c>
      <c r="B448" s="16" t="n">
        <f aca="false">2_Matriz_decision!B448</f>
        <v>44.606</v>
      </c>
      <c r="C448" s="21" t="n">
        <f aca="false">SQRT(SUMXMY2(5_Ponderada!C451:Q451,5_Ponderada!$C$6:$Q$6))</f>
        <v>0.0165554151300945</v>
      </c>
      <c r="D448" s="21" t="n">
        <f aca="false">SQRT(SUMXMY2(5_Ponderada!C451:Q451,5_Ponderada!$C$7:$Q$7))</f>
        <v>0.00809774863689108</v>
      </c>
      <c r="E448" s="21" t="n">
        <f aca="false">D448/(C448+D448)</f>
        <v>0.328466914568394</v>
      </c>
      <c r="F448" s="15" t="n">
        <f aca="false">MIN(5,INT(E448/0.2)+1)</f>
        <v>2</v>
      </c>
      <c r="G448" s="21" t="n">
        <v>0.328466914568394</v>
      </c>
      <c r="H448" s="28" t="n">
        <f aca="false">ABS(E448-G448)</f>
        <v>0</v>
      </c>
      <c r="I448" s="15" t="n">
        <v>2</v>
      </c>
      <c r="J448" s="21" t="n">
        <f aca="false">(SUMPRODUCT(2_Matriz_decision!C448:Q448,5_Ponderada!$C$5:$Q$5)-1)/4</f>
        <v>0.404416757468956</v>
      </c>
      <c r="K448" s="15" t="n">
        <f aca="false">MIN(5,INT(J448/0.2)+1)</f>
        <v>3</v>
      </c>
      <c r="L448" s="21" t="n">
        <v>0.404416757468956</v>
      </c>
    </row>
    <row r="449" customFormat="false" ht="15" hidden="false" customHeight="false" outlineLevel="0" collapsed="false">
      <c r="A449" s="15" t="n">
        <f aca="false">2_Matriz_decision!A449</f>
        <v>445</v>
      </c>
      <c r="B449" s="16" t="n">
        <f aca="false">2_Matriz_decision!B449</f>
        <v>44.704</v>
      </c>
      <c r="C449" s="21" t="n">
        <f aca="false">SQRT(SUMXMY2(5_Ponderada!C452:Q452,5_Ponderada!$C$6:$Q$6))</f>
        <v>0.0155731571646581</v>
      </c>
      <c r="D449" s="21" t="n">
        <f aca="false">SQRT(SUMXMY2(5_Ponderada!C452:Q452,5_Ponderada!$C$7:$Q$7))</f>
        <v>0.0126397860552457</v>
      </c>
      <c r="E449" s="21" t="n">
        <f aca="false">D449/(C449+D449)</f>
        <v>0.448013734573021</v>
      </c>
      <c r="F449" s="15" t="n">
        <f aca="false">MIN(5,INT(E449/0.2)+1)</f>
        <v>3</v>
      </c>
      <c r="G449" s="21" t="n">
        <v>0.448013734573021</v>
      </c>
      <c r="H449" s="28" t="n">
        <f aca="false">ABS(E449-G449)</f>
        <v>0</v>
      </c>
      <c r="I449" s="15" t="n">
        <v>3</v>
      </c>
      <c r="J449" s="21" t="n">
        <f aca="false">(SUMPRODUCT(2_Matriz_decision!C449:Q449,5_Ponderada!$C$5:$Q$5)-1)/4</f>
        <v>0.491966648822544</v>
      </c>
      <c r="K449" s="15" t="n">
        <f aca="false">MIN(5,INT(J449/0.2)+1)</f>
        <v>3</v>
      </c>
      <c r="L449" s="21" t="n">
        <v>0.491966648822544</v>
      </c>
    </row>
    <row r="450" customFormat="false" ht="15" hidden="false" customHeight="false" outlineLevel="0" collapsed="false">
      <c r="A450" s="15" t="n">
        <f aca="false">2_Matriz_decision!A450</f>
        <v>446</v>
      </c>
      <c r="B450" s="16" t="n">
        <f aca="false">2_Matriz_decision!B450</f>
        <v>44.803</v>
      </c>
      <c r="C450" s="21" t="n">
        <f aca="false">SQRT(SUMXMY2(5_Ponderada!C453:Q453,5_Ponderada!$C$6:$Q$6))</f>
        <v>0.016558633495544</v>
      </c>
      <c r="D450" s="21" t="n">
        <f aca="false">SQRT(SUMXMY2(5_Ponderada!C453:Q453,5_Ponderada!$C$7:$Q$7))</f>
        <v>0.00797138946470661</v>
      </c>
      <c r="E450" s="21" t="n">
        <f aca="false">D450/(C450+D450)</f>
        <v>0.324964614897579</v>
      </c>
      <c r="F450" s="15" t="n">
        <f aca="false">MIN(5,INT(E450/0.2)+1)</f>
        <v>2</v>
      </c>
      <c r="G450" s="21" t="n">
        <v>0.324964614897579</v>
      </c>
      <c r="H450" s="28" t="n">
        <f aca="false">ABS(E450-G450)</f>
        <v>0</v>
      </c>
      <c r="I450" s="15" t="n">
        <v>2</v>
      </c>
      <c r="J450" s="21" t="n">
        <f aca="false">(SUMPRODUCT(2_Matriz_decision!C450:Q450,5_Ponderada!$C$5:$Q$5)-1)/4</f>
        <v>0.38695753962011</v>
      </c>
      <c r="K450" s="15" t="n">
        <f aca="false">MIN(5,INT(J450/0.2)+1)</f>
        <v>2</v>
      </c>
      <c r="L450" s="21" t="n">
        <v>0.386957539620111</v>
      </c>
    </row>
    <row r="451" customFormat="false" ht="15" hidden="false" customHeight="false" outlineLevel="0" collapsed="false">
      <c r="A451" s="15" t="n">
        <f aca="false">2_Matriz_decision!A451</f>
        <v>447</v>
      </c>
      <c r="B451" s="16" t="n">
        <f aca="false">2_Matriz_decision!B451</f>
        <v>44.902</v>
      </c>
      <c r="C451" s="21" t="n">
        <f aca="false">SQRT(SUMXMY2(5_Ponderada!C454:Q454,5_Ponderada!$C$6:$Q$6))</f>
        <v>0.0177049995491194</v>
      </c>
      <c r="D451" s="21" t="n">
        <f aca="false">SQRT(SUMXMY2(5_Ponderada!C454:Q454,5_Ponderada!$C$7:$Q$7))</f>
        <v>0.0063261036991747</v>
      </c>
      <c r="E451" s="21" t="n">
        <f aca="false">D451/(C451+D451)</f>
        <v>0.263246494920027</v>
      </c>
      <c r="F451" s="15" t="n">
        <f aca="false">MIN(5,INT(E451/0.2)+1)</f>
        <v>2</v>
      </c>
      <c r="G451" s="21" t="n">
        <v>0.263246494920027</v>
      </c>
      <c r="H451" s="28" t="n">
        <f aca="false">ABS(E451-G451)</f>
        <v>0</v>
      </c>
      <c r="I451" s="15" t="n">
        <v>2</v>
      </c>
      <c r="J451" s="21" t="n">
        <f aca="false">(SUMPRODUCT(2_Matriz_decision!C451:Q451,5_Ponderada!$C$5:$Q$5)-1)/4</f>
        <v>0.342003610587</v>
      </c>
      <c r="K451" s="15" t="n">
        <f aca="false">MIN(5,INT(J451/0.2)+1)</f>
        <v>2</v>
      </c>
      <c r="L451" s="21" t="n">
        <v>0.342003610587001</v>
      </c>
    </row>
    <row r="452" customFormat="false" ht="15" hidden="false" customHeight="false" outlineLevel="0" collapsed="false">
      <c r="A452" s="15" t="n">
        <f aca="false">2_Matriz_decision!A452</f>
        <v>448</v>
      </c>
      <c r="B452" s="16" t="n">
        <f aca="false">2_Matriz_decision!B452</f>
        <v>45.001</v>
      </c>
      <c r="C452" s="21" t="n">
        <f aca="false">SQRT(SUMXMY2(5_Ponderada!C455:Q455,5_Ponderada!$C$6:$Q$6))</f>
        <v>0.0165518109699587</v>
      </c>
      <c r="D452" s="21" t="n">
        <f aca="false">SQRT(SUMXMY2(5_Ponderada!C455:Q455,5_Ponderada!$C$7:$Q$7))</f>
        <v>0.00798422506555658</v>
      </c>
      <c r="E452" s="21" t="n">
        <f aca="false">D452/(C452+D452)</f>
        <v>0.325408108057864</v>
      </c>
      <c r="F452" s="15" t="n">
        <f aca="false">MIN(5,INT(E452/0.2)+1)</f>
        <v>2</v>
      </c>
      <c r="G452" s="21" t="n">
        <v>0.325408108057864</v>
      </c>
      <c r="H452" s="28" t="n">
        <f aca="false">ABS(E452-G452)</f>
        <v>0</v>
      </c>
      <c r="I452" s="15" t="n">
        <v>2</v>
      </c>
      <c r="J452" s="21" t="n">
        <f aca="false">(SUMPRODUCT(2_Matriz_decision!C452:Q452,5_Ponderada!$C$5:$Q$5)-1)/4</f>
        <v>0.389967272544092</v>
      </c>
      <c r="K452" s="15" t="n">
        <f aca="false">MIN(5,INT(J452/0.2)+1)</f>
        <v>2</v>
      </c>
      <c r="L452" s="21" t="n">
        <v>0.389967272544093</v>
      </c>
    </row>
    <row r="453" customFormat="false" ht="15" hidden="false" customHeight="false" outlineLevel="0" collapsed="false">
      <c r="A453" s="15" t="n">
        <f aca="false">2_Matriz_decision!A453</f>
        <v>449</v>
      </c>
      <c r="B453" s="16" t="n">
        <f aca="false">2_Matriz_decision!B453</f>
        <v>45.101</v>
      </c>
      <c r="C453" s="21" t="n">
        <f aca="false">SQRT(SUMXMY2(5_Ponderada!C456:Q456,5_Ponderada!$C$6:$Q$6))</f>
        <v>0.0165702564926286</v>
      </c>
      <c r="D453" s="21" t="n">
        <f aca="false">SQRT(SUMXMY2(5_Ponderada!C456:Q456,5_Ponderada!$C$7:$Q$7))</f>
        <v>0.00796174804598319</v>
      </c>
      <c r="E453" s="21" t="n">
        <f aca="false">D453/(C453+D453)</f>
        <v>0.324545351907624</v>
      </c>
      <c r="F453" s="15" t="n">
        <f aca="false">MIN(5,INT(E453/0.2)+1)</f>
        <v>2</v>
      </c>
      <c r="G453" s="21" t="n">
        <v>0.324545351907624</v>
      </c>
      <c r="H453" s="28" t="n">
        <f aca="false">ABS(E453-G453)</f>
        <v>0</v>
      </c>
      <c r="I453" s="15" t="n">
        <v>2</v>
      </c>
      <c r="J453" s="21" t="n">
        <f aca="false">(SUMPRODUCT(2_Matriz_decision!C453:Q453,5_Ponderada!$C$5:$Q$5)-1)/4</f>
        <v>0.380814824728987</v>
      </c>
      <c r="K453" s="15" t="n">
        <f aca="false">MIN(5,INT(J453/0.2)+1)</f>
        <v>2</v>
      </c>
      <c r="L453" s="21" t="n">
        <v>0.380814824728987</v>
      </c>
    </row>
    <row r="454" customFormat="false" ht="15" hidden="false" customHeight="false" outlineLevel="0" collapsed="false">
      <c r="A454" s="15" t="n">
        <f aca="false">2_Matriz_decision!A454</f>
        <v>450</v>
      </c>
      <c r="B454" s="16" t="n">
        <f aca="false">2_Matriz_decision!B454</f>
        <v>45.2</v>
      </c>
      <c r="C454" s="21" t="n">
        <f aca="false">SQRT(SUMXMY2(5_Ponderada!C457:Q457,5_Ponderada!$C$6:$Q$6))</f>
        <v>0.0155869997701495</v>
      </c>
      <c r="D454" s="21" t="n">
        <f aca="false">SQRT(SUMXMY2(5_Ponderada!C457:Q457,5_Ponderada!$C$7:$Q$7))</f>
        <v>0.012629242486571</v>
      </c>
      <c r="E454" s="21" t="n">
        <f aca="false">D454/(C454+D454)</f>
        <v>0.447587682713597</v>
      </c>
      <c r="F454" s="15" t="n">
        <f aca="false">MIN(5,INT(E454/0.2)+1)</f>
        <v>3</v>
      </c>
      <c r="G454" s="21" t="n">
        <v>0.447587682713597</v>
      </c>
      <c r="H454" s="28" t="n">
        <f aca="false">ABS(E454-G454)</f>
        <v>0</v>
      </c>
      <c r="I454" s="15" t="n">
        <v>3</v>
      </c>
      <c r="J454" s="21" t="n">
        <f aca="false">(SUMPRODUCT(2_Matriz_decision!C454:Q454,5_Ponderada!$C$5:$Q$5)-1)/4</f>
        <v>0.484135738981165</v>
      </c>
      <c r="K454" s="15" t="n">
        <f aca="false">MIN(5,INT(J454/0.2)+1)</f>
        <v>3</v>
      </c>
      <c r="L454" s="21" t="n">
        <v>0.484135738981166</v>
      </c>
    </row>
    <row r="455" customFormat="false" ht="15" hidden="false" customHeight="false" outlineLevel="0" collapsed="false">
      <c r="A455" s="15" t="n">
        <f aca="false">2_Matriz_decision!A455</f>
        <v>451</v>
      </c>
      <c r="B455" s="16" t="n">
        <f aca="false">2_Matriz_decision!B455</f>
        <v>45.3</v>
      </c>
      <c r="C455" s="21" t="n">
        <f aca="false">SQRT(SUMXMY2(5_Ponderada!C458:Q458,5_Ponderada!$C$6:$Q$6))</f>
        <v>0.0165730314021507</v>
      </c>
      <c r="D455" s="21" t="n">
        <f aca="false">SQRT(SUMXMY2(5_Ponderada!C458:Q458,5_Ponderada!$C$7:$Q$7))</f>
        <v>0.00804446114029092</v>
      </c>
      <c r="E455" s="21" t="n">
        <f aca="false">D455/(C455+D455)</f>
        <v>0.326778250320252</v>
      </c>
      <c r="F455" s="15" t="n">
        <f aca="false">MIN(5,INT(E455/0.2)+1)</f>
        <v>2</v>
      </c>
      <c r="G455" s="21" t="n">
        <v>0.326778250320252</v>
      </c>
      <c r="H455" s="28" t="n">
        <f aca="false">ABS(E455-G455)</f>
        <v>0</v>
      </c>
      <c r="I455" s="15" t="n">
        <v>2</v>
      </c>
      <c r="J455" s="21" t="n">
        <f aca="false">(SUMPRODUCT(2_Matriz_decision!C455:Q455,5_Ponderada!$C$5:$Q$5)-1)/4</f>
        <v>0.393327418991692</v>
      </c>
      <c r="K455" s="15" t="n">
        <f aca="false">MIN(5,INT(J455/0.2)+1)</f>
        <v>2</v>
      </c>
      <c r="L455" s="21" t="n">
        <v>0.393327418991693</v>
      </c>
    </row>
    <row r="456" customFormat="false" ht="15" hidden="false" customHeight="false" outlineLevel="0" collapsed="false">
      <c r="A456" s="15" t="n">
        <f aca="false">2_Matriz_decision!A456</f>
        <v>452</v>
      </c>
      <c r="B456" s="16" t="n">
        <f aca="false">2_Matriz_decision!B456</f>
        <v>45.4</v>
      </c>
      <c r="C456" s="21" t="n">
        <f aca="false">SQRT(SUMXMY2(5_Ponderada!C459:Q459,5_Ponderada!$C$6:$Q$6))</f>
        <v>0.0147078784255623</v>
      </c>
      <c r="D456" s="21" t="n">
        <f aca="false">SQRT(SUMXMY2(5_Ponderada!C459:Q459,5_Ponderada!$C$7:$Q$7))</f>
        <v>0.00857847294226135</v>
      </c>
      <c r="E456" s="21" t="n">
        <f aca="false">D456/(C456+D456)</f>
        <v>0.368390599573053</v>
      </c>
      <c r="F456" s="15" t="n">
        <f aca="false">MIN(5,INT(E456/0.2)+1)</f>
        <v>2</v>
      </c>
      <c r="G456" s="21" t="n">
        <v>0.368390599573053</v>
      </c>
      <c r="H456" s="28" t="n">
        <f aca="false">ABS(E456-G456)</f>
        <v>0</v>
      </c>
      <c r="I456" s="15" t="n">
        <v>2</v>
      </c>
      <c r="J456" s="21" t="n">
        <f aca="false">(SUMPRODUCT(2_Matriz_decision!C456:Q456,5_Ponderada!$C$5:$Q$5)-1)/4</f>
        <v>0.450100032053455</v>
      </c>
      <c r="K456" s="15" t="n">
        <f aca="false">MIN(5,INT(J456/0.2)+1)</f>
        <v>3</v>
      </c>
      <c r="L456" s="21" t="n">
        <v>0.450100032053456</v>
      </c>
    </row>
    <row r="457" customFormat="false" ht="15" hidden="false" customHeight="false" outlineLevel="0" collapsed="false">
      <c r="A457" s="15" t="n">
        <f aca="false">2_Matriz_decision!A457</f>
        <v>453</v>
      </c>
      <c r="B457" s="16" t="n">
        <f aca="false">2_Matriz_decision!B457</f>
        <v>45.5</v>
      </c>
      <c r="C457" s="21" t="n">
        <f aca="false">SQRT(SUMXMY2(5_Ponderada!C460:Q460,5_Ponderada!$C$6:$Q$6))</f>
        <v>0.0177353982898779</v>
      </c>
      <c r="D457" s="21" t="n">
        <f aca="false">SQRT(SUMXMY2(5_Ponderada!C460:Q460,5_Ponderada!$C$7:$Q$7))</f>
        <v>0.00628170947325813</v>
      </c>
      <c r="E457" s="21" t="n">
        <f aca="false">D457/(C457+D457)</f>
        <v>0.261551454705131</v>
      </c>
      <c r="F457" s="15" t="n">
        <f aca="false">MIN(5,INT(E457/0.2)+1)</f>
        <v>2</v>
      </c>
      <c r="G457" s="21" t="n">
        <v>0.261551454705131</v>
      </c>
      <c r="H457" s="28" t="n">
        <f aca="false">ABS(E457-G457)</f>
        <v>0</v>
      </c>
      <c r="I457" s="15" t="n">
        <v>2</v>
      </c>
      <c r="J457" s="21" t="n">
        <f aca="false">(SUMPRODUCT(2_Matriz_decision!C457:Q457,5_Ponderada!$C$5:$Q$5)-1)/4</f>
        <v>0.333518736634558</v>
      </c>
      <c r="K457" s="15" t="n">
        <f aca="false">MIN(5,INT(J457/0.2)+1)</f>
        <v>2</v>
      </c>
      <c r="L457" s="21" t="n">
        <v>0.333518736634558</v>
      </c>
    </row>
    <row r="458" customFormat="false" ht="15" hidden="false" customHeight="false" outlineLevel="0" collapsed="false">
      <c r="A458" s="15" t="n">
        <f aca="false">2_Matriz_decision!A458</f>
        <v>454</v>
      </c>
      <c r="B458" s="16" t="n">
        <f aca="false">2_Matriz_decision!B458</f>
        <v>45.6</v>
      </c>
      <c r="C458" s="21" t="n">
        <f aca="false">SQRT(SUMXMY2(5_Ponderada!C461:Q461,5_Ponderada!$C$6:$Q$6))</f>
        <v>0.0197234903657525</v>
      </c>
      <c r="D458" s="21" t="n">
        <f aca="false">SQRT(SUMXMY2(5_Ponderada!C461:Q461,5_Ponderada!$C$7:$Q$7))</f>
        <v>0.00545544647635424</v>
      </c>
      <c r="E458" s="21" t="n">
        <f aca="false">D458/(C458+D458)</f>
        <v>0.216667070200959</v>
      </c>
      <c r="F458" s="15" t="n">
        <f aca="false">MIN(5,INT(E458/0.2)+1)</f>
        <v>2</v>
      </c>
      <c r="G458" s="21" t="n">
        <v>0.216667070200959</v>
      </c>
      <c r="H458" s="28" t="n">
        <f aca="false">ABS(E458-G458)</f>
        <v>0</v>
      </c>
      <c r="I458" s="15" t="n">
        <v>2</v>
      </c>
      <c r="J458" s="21" t="n">
        <f aca="false">(SUMPRODUCT(2_Matriz_decision!C458:Q458,5_Ponderada!$C$5:$Q$5)-1)/4</f>
        <v>0.268127823260366</v>
      </c>
      <c r="K458" s="15" t="n">
        <f aca="false">MIN(5,INT(J458/0.2)+1)</f>
        <v>2</v>
      </c>
      <c r="L458" s="21" t="n">
        <v>0.268127823260366</v>
      </c>
    </row>
    <row r="459" customFormat="false" ht="15" hidden="false" customHeight="false" outlineLevel="0" collapsed="false">
      <c r="A459" s="15" t="n">
        <f aca="false">2_Matriz_decision!A459</f>
        <v>455</v>
      </c>
      <c r="B459" s="16" t="n">
        <f aca="false">2_Matriz_decision!B459</f>
        <v>45.7</v>
      </c>
      <c r="C459" s="21" t="n">
        <f aca="false">SQRT(SUMXMY2(5_Ponderada!C462:Q462,5_Ponderada!$C$6:$Q$6))</f>
        <v>0.0182705842920054</v>
      </c>
      <c r="D459" s="21" t="n">
        <f aca="false">SQRT(SUMXMY2(5_Ponderada!C462:Q462,5_Ponderada!$C$7:$Q$7))</f>
        <v>0.00612890509100381</v>
      </c>
      <c r="E459" s="21" t="n">
        <f aca="false">D459/(C459+D459)</f>
        <v>0.251189891509439</v>
      </c>
      <c r="F459" s="15" t="n">
        <f aca="false">MIN(5,INT(E459/0.2)+1)</f>
        <v>2</v>
      </c>
      <c r="G459" s="21" t="n">
        <v>0.25118989150944</v>
      </c>
      <c r="H459" s="28" t="n">
        <f aca="false">ABS(E459-G459)</f>
        <v>0</v>
      </c>
      <c r="I459" s="15" t="n">
        <v>2</v>
      </c>
      <c r="J459" s="21" t="n">
        <f aca="false">(SUMPRODUCT(2_Matriz_decision!C459:Q459,5_Ponderada!$C$5:$Q$5)-1)/4</f>
        <v>0.31376709803749</v>
      </c>
      <c r="K459" s="15" t="n">
        <f aca="false">MIN(5,INT(J459/0.2)+1)</f>
        <v>2</v>
      </c>
      <c r="L459" s="21" t="n">
        <v>0.313767098037491</v>
      </c>
    </row>
    <row r="460" customFormat="false" ht="15" hidden="false" customHeight="false" outlineLevel="0" collapsed="false">
      <c r="A460" s="15" t="n">
        <f aca="false">2_Matriz_decision!A460</f>
        <v>456</v>
      </c>
      <c r="B460" s="16" t="n">
        <f aca="false">2_Matriz_decision!B460</f>
        <v>45.8</v>
      </c>
      <c r="C460" s="21" t="n">
        <f aca="false">SQRT(SUMXMY2(5_Ponderada!C463:Q463,5_Ponderada!$C$6:$Q$6))</f>
        <v>0.0182909220769463</v>
      </c>
      <c r="D460" s="21" t="n">
        <f aca="false">SQRT(SUMXMY2(5_Ponderada!C463:Q463,5_Ponderada!$C$7:$Q$7))</f>
        <v>0.00605329975758082</v>
      </c>
      <c r="E460" s="21" t="n">
        <f aca="false">D460/(C460+D460)</f>
        <v>0.248654477383849</v>
      </c>
      <c r="F460" s="15" t="n">
        <f aca="false">MIN(5,INT(E460/0.2)+1)</f>
        <v>2</v>
      </c>
      <c r="G460" s="21" t="n">
        <v>0.248654477383849</v>
      </c>
      <c r="H460" s="28" t="n">
        <f aca="false">ABS(E460-G460)</f>
        <v>0</v>
      </c>
      <c r="I460" s="15" t="n">
        <v>2</v>
      </c>
      <c r="J460" s="21" t="n">
        <f aca="false">(SUMPRODUCT(2_Matriz_decision!C460:Q460,5_Ponderada!$C$5:$Q$5)-1)/4</f>
        <v>0.301669944120817</v>
      </c>
      <c r="K460" s="15" t="n">
        <f aca="false">MIN(5,INT(J460/0.2)+1)</f>
        <v>2</v>
      </c>
      <c r="L460" s="21" t="n">
        <v>0.301669944120817</v>
      </c>
    </row>
    <row r="461" customFormat="false" ht="15" hidden="false" customHeight="false" outlineLevel="0" collapsed="false">
      <c r="A461" s="15" t="n">
        <f aca="false">2_Matriz_decision!A461</f>
        <v>457</v>
      </c>
      <c r="B461" s="16" t="n">
        <f aca="false">2_Matriz_decision!B461</f>
        <v>45.9</v>
      </c>
      <c r="C461" s="21" t="n">
        <f aca="false">SQRT(SUMXMY2(5_Ponderada!C464:Q464,5_Ponderada!$C$6:$Q$6))</f>
        <v>0.01971733750216</v>
      </c>
      <c r="D461" s="21" t="n">
        <f aca="false">SQRT(SUMXMY2(5_Ponderada!C464:Q464,5_Ponderada!$C$7:$Q$7))</f>
        <v>0.00546251068961687</v>
      </c>
      <c r="E461" s="21" t="n">
        <f aca="false">D461/(C461+D461)</f>
        <v>0.216939778509101</v>
      </c>
      <c r="F461" s="15" t="n">
        <f aca="false">MIN(5,INT(E461/0.2)+1)</f>
        <v>2</v>
      </c>
      <c r="G461" s="21" t="n">
        <v>0.216939778509101</v>
      </c>
      <c r="H461" s="28" t="n">
        <f aca="false">ABS(E461-G461)</f>
        <v>0</v>
      </c>
      <c r="I461" s="15" t="n">
        <v>2</v>
      </c>
      <c r="J461" s="21" t="n">
        <f aca="false">(SUMPRODUCT(2_Matriz_decision!C461:Q461,5_Ponderada!$C$5:$Q$5)-1)/4</f>
        <v>0.268964786704979</v>
      </c>
      <c r="K461" s="15" t="n">
        <f aca="false">MIN(5,INT(J461/0.2)+1)</f>
        <v>2</v>
      </c>
      <c r="L461" s="21" t="n">
        <v>0.26896478670498</v>
      </c>
    </row>
    <row r="462" customFormat="false" ht="15" hidden="false" customHeight="false" outlineLevel="0" collapsed="false">
      <c r="A462" s="15" t="n">
        <f aca="false">2_Matriz_decision!A462</f>
        <v>458</v>
      </c>
      <c r="B462" s="16" t="n">
        <f aca="false">2_Matriz_decision!B462</f>
        <v>46</v>
      </c>
      <c r="C462" s="21" t="n">
        <f aca="false">SQRT(SUMXMY2(5_Ponderada!C465:Q465,5_Ponderada!$C$6:$Q$6))</f>
        <v>0.0197169374545215</v>
      </c>
      <c r="D462" s="21" t="n">
        <f aca="false">SQRT(SUMXMY2(5_Ponderada!C465:Q465,5_Ponderada!$C$7:$Q$7))</f>
        <v>0.00546514540947971</v>
      </c>
      <c r="E462" s="21" t="n">
        <f aca="false">D462/(C462+D462)</f>
        <v>0.217025153915777</v>
      </c>
      <c r="F462" s="15" t="n">
        <f aca="false">MIN(5,INT(E462/0.2)+1)</f>
        <v>2</v>
      </c>
      <c r="G462" s="21" t="n">
        <v>0.217025153915777</v>
      </c>
      <c r="H462" s="28" t="n">
        <f aca="false">ABS(E462-G462)</f>
        <v>0</v>
      </c>
      <c r="I462" s="15" t="n">
        <v>2</v>
      </c>
      <c r="J462" s="21" t="n">
        <f aca="false">(SUMPRODUCT(2_Matriz_decision!C462:Q462,5_Ponderada!$C$5:$Q$5)-1)/4</f>
        <v>0.269502461935176</v>
      </c>
      <c r="K462" s="15" t="n">
        <f aca="false">MIN(5,INT(J462/0.2)+1)</f>
        <v>2</v>
      </c>
      <c r="L462" s="21" t="n">
        <v>0.269502461935177</v>
      </c>
    </row>
    <row r="463" customFormat="false" ht="15" hidden="false" customHeight="false" outlineLevel="0" collapsed="false">
      <c r="A463" s="15" t="n">
        <f aca="false">2_Matriz_decision!A463</f>
        <v>459</v>
      </c>
      <c r="B463" s="16" t="n">
        <f aca="false">2_Matriz_decision!B463</f>
        <v>46.101</v>
      </c>
      <c r="C463" s="21" t="n">
        <f aca="false">SQRT(SUMXMY2(5_Ponderada!C466:Q466,5_Ponderada!$C$6:$Q$6))</f>
        <v>0.0197267281527872</v>
      </c>
      <c r="D463" s="21" t="n">
        <f aca="false">SQRT(SUMXMY2(5_Ponderada!C466:Q466,5_Ponderada!$C$7:$Q$7))</f>
        <v>0.00544777568849239</v>
      </c>
      <c r="E463" s="21" t="n">
        <f aca="false">D463/(C463+D463)</f>
        <v>0.216400518669189</v>
      </c>
      <c r="F463" s="15" t="n">
        <f aca="false">MIN(5,INT(E463/0.2)+1)</f>
        <v>2</v>
      </c>
      <c r="G463" s="21" t="n">
        <v>0.216400518669189</v>
      </c>
      <c r="H463" s="28" t="n">
        <f aca="false">ABS(E463-G463)</f>
        <v>0</v>
      </c>
      <c r="I463" s="15" t="n">
        <v>2</v>
      </c>
      <c r="J463" s="21" t="n">
        <f aca="false">(SUMPRODUCT(2_Matriz_decision!C463:Q463,5_Ponderada!$C$5:$Q$5)-1)/4</f>
        <v>0.266704724051826</v>
      </c>
      <c r="K463" s="15" t="n">
        <f aca="false">MIN(5,INT(J463/0.2)+1)</f>
        <v>2</v>
      </c>
      <c r="L463" s="21" t="n">
        <v>0.266704724051827</v>
      </c>
    </row>
    <row r="464" customFormat="false" ht="15" hidden="false" customHeight="false" outlineLevel="0" collapsed="false">
      <c r="A464" s="15" t="n">
        <f aca="false">2_Matriz_decision!A464</f>
        <v>460</v>
      </c>
      <c r="B464" s="16" t="n">
        <f aca="false">2_Matriz_decision!B464</f>
        <v>46.202</v>
      </c>
      <c r="C464" s="21" t="n">
        <f aca="false">SQRT(SUMXMY2(5_Ponderada!C467:Q467,5_Ponderada!$C$6:$Q$6))</f>
        <v>0.0142794522860224</v>
      </c>
      <c r="D464" s="21" t="n">
        <f aca="false">SQRT(SUMXMY2(5_Ponderada!C467:Q467,5_Ponderada!$C$7:$Q$7))</f>
        <v>0.0129860028111673</v>
      </c>
      <c r="E464" s="21" t="n">
        <f aca="false">D464/(C464+D464)</f>
        <v>0.476280434890147</v>
      </c>
      <c r="F464" s="15" t="n">
        <f aca="false">MIN(5,INT(E464/0.2)+1)</f>
        <v>3</v>
      </c>
      <c r="G464" s="21" t="n">
        <v>0.476280434890147</v>
      </c>
      <c r="H464" s="28" t="n">
        <f aca="false">ABS(E464-G464)</f>
        <v>0</v>
      </c>
      <c r="I464" s="15" t="n">
        <v>3</v>
      </c>
      <c r="J464" s="21" t="n">
        <f aca="false">(SUMPRODUCT(2_Matriz_decision!C464:Q464,5_Ponderada!$C$5:$Q$5)-1)/4</f>
        <v>0.519195393933636</v>
      </c>
      <c r="K464" s="15" t="n">
        <f aca="false">MIN(5,INT(J464/0.2)+1)</f>
        <v>3</v>
      </c>
      <c r="L464" s="21" t="n">
        <v>0.519195393933636</v>
      </c>
    </row>
    <row r="465" customFormat="false" ht="15" hidden="false" customHeight="false" outlineLevel="0" collapsed="false">
      <c r="A465" s="15" t="n">
        <f aca="false">2_Matriz_decision!A465</f>
        <v>461</v>
      </c>
      <c r="B465" s="16" t="n">
        <f aca="false">2_Matriz_decision!B465</f>
        <v>46.303</v>
      </c>
      <c r="C465" s="21" t="n">
        <f aca="false">SQRT(SUMXMY2(5_Ponderada!C468:Q468,5_Ponderada!$C$6:$Q$6))</f>
        <v>0.0142156939612549</v>
      </c>
      <c r="D465" s="21" t="n">
        <f aca="false">SQRT(SUMXMY2(5_Ponderada!C468:Q468,5_Ponderada!$C$7:$Q$7))</f>
        <v>0.0130351326268968</v>
      </c>
      <c r="E465" s="21" t="n">
        <f aca="false">D465/(C465+D465)</f>
        <v>0.478338981194952</v>
      </c>
      <c r="F465" s="15" t="n">
        <f aca="false">MIN(5,INT(E465/0.2)+1)</f>
        <v>3</v>
      </c>
      <c r="G465" s="21" t="n">
        <v>0.478338981194952</v>
      </c>
      <c r="H465" s="28" t="n">
        <f aca="false">ABS(E465-G465)</f>
        <v>0</v>
      </c>
      <c r="I465" s="15" t="n">
        <v>3</v>
      </c>
      <c r="J465" s="21" t="n">
        <f aca="false">(SUMPRODUCT(2_Matriz_decision!C465:Q465,5_Ponderada!$C$5:$Q$5)-1)/4</f>
        <v>0.542129383315365</v>
      </c>
      <c r="K465" s="15" t="n">
        <f aca="false">MIN(5,INT(J465/0.2)+1)</f>
        <v>3</v>
      </c>
      <c r="L465" s="21" t="n">
        <v>0.542129383315366</v>
      </c>
    </row>
    <row r="466" customFormat="false" ht="15" hidden="false" customHeight="false" outlineLevel="0" collapsed="false">
      <c r="A466" s="15" t="n">
        <f aca="false">2_Matriz_decision!A466</f>
        <v>462</v>
      </c>
      <c r="B466" s="16" t="n">
        <f aca="false">2_Matriz_decision!B466</f>
        <v>46.403</v>
      </c>
      <c r="C466" s="21" t="n">
        <f aca="false">SQRT(SUMXMY2(5_Ponderada!C469:Q469,5_Ponderada!$C$6:$Q$6))</f>
        <v>0.0127981980722336</v>
      </c>
      <c r="D466" s="21" t="n">
        <f aca="false">SQRT(SUMXMY2(5_Ponderada!C469:Q469,5_Ponderada!$C$7:$Q$7))</f>
        <v>0.0138814883559021</v>
      </c>
      <c r="E466" s="21" t="n">
        <f aca="false">D466/(C466+D466)</f>
        <v>0.520301780655976</v>
      </c>
      <c r="F466" s="15" t="n">
        <f aca="false">MIN(5,INT(E466/0.2)+1)</f>
        <v>3</v>
      </c>
      <c r="G466" s="21" t="n">
        <v>0.520301780655976</v>
      </c>
      <c r="H466" s="28" t="n">
        <f aca="false">ABS(E466-G466)</f>
        <v>0</v>
      </c>
      <c r="I466" s="15" t="n">
        <v>3</v>
      </c>
      <c r="J466" s="21" t="n">
        <f aca="false">(SUMPRODUCT(2_Matriz_decision!C466:Q466,5_Ponderada!$C$5:$Q$5)-1)/4</f>
        <v>0.570014935954287</v>
      </c>
      <c r="K466" s="15" t="n">
        <f aca="false">MIN(5,INT(J466/0.2)+1)</f>
        <v>3</v>
      </c>
      <c r="L466" s="21" t="n">
        <v>0.570014935954288</v>
      </c>
    </row>
    <row r="467" customFormat="false" ht="15" hidden="false" customHeight="false" outlineLevel="0" collapsed="false">
      <c r="A467" s="15" t="n">
        <f aca="false">2_Matriz_decision!A467</f>
        <v>463</v>
      </c>
      <c r="B467" s="16" t="n">
        <f aca="false">2_Matriz_decision!B467</f>
        <v>46.503</v>
      </c>
      <c r="C467" s="21" t="n">
        <f aca="false">SQRT(SUMXMY2(5_Ponderada!C470:Q470,5_Ponderada!$C$6:$Q$6))</f>
        <v>0.0142470018860349</v>
      </c>
      <c r="D467" s="21" t="n">
        <f aca="false">SQRT(SUMXMY2(5_Ponderada!C470:Q470,5_Ponderada!$C$7:$Q$7))</f>
        <v>0.0129519429984933</v>
      </c>
      <c r="E467" s="21" t="n">
        <f aca="false">D467/(C467+D467)</f>
        <v>0.47619284694609</v>
      </c>
      <c r="F467" s="15" t="n">
        <f aca="false">MIN(5,INT(E467/0.2)+1)</f>
        <v>3</v>
      </c>
      <c r="G467" s="21" t="n">
        <v>0.47619284694609</v>
      </c>
      <c r="H467" s="28" t="n">
        <f aca="false">ABS(E467-G467)</f>
        <v>0</v>
      </c>
      <c r="I467" s="15" t="n">
        <v>3</v>
      </c>
      <c r="J467" s="21" t="n">
        <f aca="false">(SUMPRODUCT(2_Matriz_decision!C467:Q467,5_Ponderada!$C$5:$Q$5)-1)/4</f>
        <v>0.518593828594999</v>
      </c>
      <c r="K467" s="15" t="n">
        <f aca="false">MIN(5,INT(J467/0.2)+1)</f>
        <v>3</v>
      </c>
      <c r="L467" s="21" t="n">
        <v>0.518593828595</v>
      </c>
    </row>
    <row r="468" customFormat="false" ht="15" hidden="false" customHeight="false" outlineLevel="0" collapsed="false">
      <c r="A468" s="15" t="n">
        <f aca="false">2_Matriz_decision!A468</f>
        <v>464</v>
      </c>
      <c r="B468" s="16" t="n">
        <f aca="false">2_Matriz_decision!B468</f>
        <v>46.603</v>
      </c>
      <c r="C468" s="21" t="n">
        <f aca="false">SQRT(SUMXMY2(5_Ponderada!C471:Q471,5_Ponderada!$C$6:$Q$6))</f>
        <v>0.0142233583910643</v>
      </c>
      <c r="D468" s="21" t="n">
        <f aca="false">SQRT(SUMXMY2(5_Ponderada!C471:Q471,5_Ponderada!$C$7:$Q$7))</f>
        <v>0.0130249335031575</v>
      </c>
      <c r="E468" s="21" t="n">
        <f aca="false">D468/(C468+D468)</f>
        <v>0.478009174069349</v>
      </c>
      <c r="F468" s="15" t="n">
        <f aca="false">MIN(5,INT(E468/0.2)+1)</f>
        <v>3</v>
      </c>
      <c r="G468" s="21" t="n">
        <v>0.478009174069349</v>
      </c>
      <c r="H468" s="28" t="n">
        <f aca="false">ABS(E468-G468)</f>
        <v>0</v>
      </c>
      <c r="I468" s="15" t="n">
        <v>3</v>
      </c>
      <c r="J468" s="21" t="n">
        <f aca="false">(SUMPRODUCT(2_Matriz_decision!C468:Q468,5_Ponderada!$C$5:$Q$5)-1)/4</f>
        <v>0.533831209668511</v>
      </c>
      <c r="K468" s="15" t="n">
        <f aca="false">MIN(5,INT(J468/0.2)+1)</f>
        <v>3</v>
      </c>
      <c r="L468" s="21" t="n">
        <v>0.533831209668512</v>
      </c>
    </row>
    <row r="469" customFormat="false" ht="15" hidden="false" customHeight="false" outlineLevel="0" collapsed="false">
      <c r="A469" s="15" t="n">
        <f aca="false">2_Matriz_decision!A469</f>
        <v>465</v>
      </c>
      <c r="B469" s="16" t="n">
        <f aca="false">2_Matriz_decision!B469</f>
        <v>46.701</v>
      </c>
      <c r="C469" s="21" t="n">
        <f aca="false">SQRT(SUMXMY2(5_Ponderada!C472:Q472,5_Ponderada!$C$6:$Q$6))</f>
        <v>0.0121738892767505</v>
      </c>
      <c r="D469" s="21" t="n">
        <f aca="false">SQRT(SUMXMY2(5_Ponderada!C472:Q472,5_Ponderada!$C$7:$Q$7))</f>
        <v>0.0132295787520538</v>
      </c>
      <c r="E469" s="21" t="n">
        <f aca="false">D469/(C469+D469)</f>
        <v>0.520778451865437</v>
      </c>
      <c r="F469" s="15" t="n">
        <f aca="false">MIN(5,INT(E469/0.2)+1)</f>
        <v>3</v>
      </c>
      <c r="G469" s="21" t="n">
        <v>0.520778451865436</v>
      </c>
      <c r="H469" s="28" t="n">
        <f aca="false">ABS(E469-G469)</f>
        <v>0</v>
      </c>
      <c r="I469" s="15" t="n">
        <v>3</v>
      </c>
      <c r="J469" s="21" t="n">
        <f aca="false">(SUMPRODUCT(2_Matriz_decision!C469:Q469,5_Ponderada!$C$5:$Q$5)-1)/4</f>
        <v>0.563599138967159</v>
      </c>
      <c r="K469" s="15" t="n">
        <f aca="false">MIN(5,INT(J469/0.2)+1)</f>
        <v>3</v>
      </c>
      <c r="L469" s="21" t="n">
        <v>0.56359913896716</v>
      </c>
    </row>
    <row r="470" customFormat="false" ht="15" hidden="false" customHeight="false" outlineLevel="0" collapsed="false">
      <c r="A470" s="15" t="n">
        <f aca="false">2_Matriz_decision!A470</f>
        <v>466</v>
      </c>
      <c r="B470" s="16" t="n">
        <f aca="false">2_Matriz_decision!B470</f>
        <v>46.799</v>
      </c>
      <c r="C470" s="21" t="n">
        <f aca="false">SQRT(SUMXMY2(5_Ponderada!C473:Q473,5_Ponderada!$C$6:$Q$6))</f>
        <v>0.0128836259878495</v>
      </c>
      <c r="D470" s="21" t="n">
        <f aca="false">SQRT(SUMXMY2(5_Ponderada!C473:Q473,5_Ponderada!$C$7:$Q$7))</f>
        <v>0.0137405620704532</v>
      </c>
      <c r="E470" s="21" t="n">
        <f aca="false">D470/(C470+D470)</f>
        <v>0.516093187156115</v>
      </c>
      <c r="F470" s="15" t="n">
        <f aca="false">MIN(5,INT(E470/0.2)+1)</f>
        <v>3</v>
      </c>
      <c r="G470" s="21" t="n">
        <v>0.516093187156115</v>
      </c>
      <c r="H470" s="28" t="n">
        <f aca="false">ABS(E470-G470)</f>
        <v>0</v>
      </c>
      <c r="I470" s="15" t="n">
        <v>3</v>
      </c>
      <c r="J470" s="21" t="n">
        <f aca="false">(SUMPRODUCT(2_Matriz_decision!C470:Q470,5_Ponderada!$C$5:$Q$5)-1)/4</f>
        <v>0.550411007545192</v>
      </c>
      <c r="K470" s="15" t="n">
        <f aca="false">MIN(5,INT(J470/0.2)+1)</f>
        <v>3</v>
      </c>
      <c r="L470" s="21" t="n">
        <v>0.550411007545193</v>
      </c>
    </row>
    <row r="471" customFormat="false" ht="15" hidden="false" customHeight="false" outlineLevel="0" collapsed="false">
      <c r="A471" s="15" t="n">
        <f aca="false">2_Matriz_decision!A471</f>
        <v>467</v>
      </c>
      <c r="B471" s="16" t="n">
        <f aca="false">2_Matriz_decision!B471</f>
        <v>46.897</v>
      </c>
      <c r="C471" s="21" t="n">
        <f aca="false">SQRT(SUMXMY2(5_Ponderada!C474:Q474,5_Ponderada!$C$6:$Q$6))</f>
        <v>0.0140589123125878</v>
      </c>
      <c r="D471" s="21" t="n">
        <f aca="false">SQRT(SUMXMY2(5_Ponderada!C474:Q474,5_Ponderada!$C$7:$Q$7))</f>
        <v>0.0097360401047585</v>
      </c>
      <c r="E471" s="21" t="n">
        <f aca="false">D471/(C471+D471)</f>
        <v>0.409164092198858</v>
      </c>
      <c r="F471" s="15" t="n">
        <f aca="false">MIN(5,INT(E471/0.2)+1)</f>
        <v>3</v>
      </c>
      <c r="G471" s="21" t="n">
        <v>0.409164092198858</v>
      </c>
      <c r="H471" s="28" t="n">
        <f aca="false">ABS(E471-G471)</f>
        <v>0</v>
      </c>
      <c r="I471" s="15" t="n">
        <v>3</v>
      </c>
      <c r="J471" s="21" t="n">
        <f aca="false">(SUMPRODUCT(2_Matriz_decision!C471:Q471,5_Ponderada!$C$5:$Q$5)-1)/4</f>
        <v>0.46938228748025</v>
      </c>
      <c r="K471" s="15" t="n">
        <f aca="false">MIN(5,INT(J471/0.2)+1)</f>
        <v>3</v>
      </c>
      <c r="L471" s="21" t="n">
        <v>0.46938228748025</v>
      </c>
    </row>
    <row r="472" customFormat="false" ht="15" hidden="false" customHeight="false" outlineLevel="0" collapsed="false">
      <c r="A472" s="15" t="n">
        <f aca="false">2_Matriz_decision!A472</f>
        <v>468</v>
      </c>
      <c r="B472" s="16" t="n">
        <f aca="false">2_Matriz_decision!B472</f>
        <v>46.994</v>
      </c>
      <c r="C472" s="21" t="n">
        <f aca="false">SQRT(SUMXMY2(5_Ponderada!C475:Q475,5_Ponderada!$C$6:$Q$6))</f>
        <v>0.012813305135984</v>
      </c>
      <c r="D472" s="21" t="n">
        <f aca="false">SQRT(SUMXMY2(5_Ponderada!C475:Q475,5_Ponderada!$C$7:$Q$7))</f>
        <v>0.0138874152526742</v>
      </c>
      <c r="E472" s="21" t="n">
        <f aca="false">D472/(C472+D472)</f>
        <v>0.52011387897134</v>
      </c>
      <c r="F472" s="15" t="n">
        <f aca="false">MIN(5,INT(E472/0.2)+1)</f>
        <v>3</v>
      </c>
      <c r="G472" s="21" t="n">
        <v>0.52011387897134</v>
      </c>
      <c r="H472" s="28" t="n">
        <f aca="false">ABS(E472-G472)</f>
        <v>0</v>
      </c>
      <c r="I472" s="15" t="n">
        <v>3</v>
      </c>
      <c r="J472" s="21" t="n">
        <f aca="false">(SUMPRODUCT(2_Matriz_decision!C472:Q472,5_Ponderada!$C$5:$Q$5)-1)/4</f>
        <v>0.577528173126805</v>
      </c>
      <c r="K472" s="15" t="n">
        <f aca="false">MIN(5,INT(J472/0.2)+1)</f>
        <v>3</v>
      </c>
      <c r="L472" s="21" t="n">
        <v>0.577528173126806</v>
      </c>
    </row>
    <row r="473" customFormat="false" ht="15" hidden="false" customHeight="false" outlineLevel="0" collapsed="false">
      <c r="A473" s="15" t="n">
        <f aca="false">2_Matriz_decision!A473</f>
        <v>469</v>
      </c>
      <c r="B473" s="16" t="n">
        <f aca="false">2_Matriz_decision!B473</f>
        <v>47.093</v>
      </c>
      <c r="C473" s="21" t="n">
        <f aca="false">SQRT(SUMXMY2(5_Ponderada!C476:Q476,5_Ponderada!$C$6:$Q$6))</f>
        <v>0.0118286866138995</v>
      </c>
      <c r="D473" s="21" t="n">
        <f aca="false">SQRT(SUMXMY2(5_Ponderada!C476:Q476,5_Ponderada!$C$7:$Q$7))</f>
        <v>0.0152494549014262</v>
      </c>
      <c r="E473" s="21" t="n">
        <f aca="false">D473/(C473+D473)</f>
        <v>0.563164753858579</v>
      </c>
      <c r="F473" s="15" t="n">
        <f aca="false">MIN(5,INT(E473/0.2)+1)</f>
        <v>3</v>
      </c>
      <c r="G473" s="21" t="n">
        <v>0.563164753858579</v>
      </c>
      <c r="H473" s="28" t="n">
        <f aca="false">ABS(E473-G473)</f>
        <v>0</v>
      </c>
      <c r="I473" s="15" t="n">
        <v>3</v>
      </c>
      <c r="J473" s="21" t="n">
        <f aca="false">(SUMPRODUCT(2_Matriz_decision!C473:Q473,5_Ponderada!$C$5:$Q$5)-1)/4</f>
        <v>0.629043783077488</v>
      </c>
      <c r="K473" s="15" t="n">
        <f aca="false">MIN(5,INT(J473/0.2)+1)</f>
        <v>4</v>
      </c>
      <c r="L473" s="21" t="n">
        <v>0.629043783077489</v>
      </c>
    </row>
    <row r="474" customFormat="false" ht="15" hidden="false" customHeight="false" outlineLevel="0" collapsed="false">
      <c r="A474" s="15" t="n">
        <f aca="false">2_Matriz_decision!A474</f>
        <v>470</v>
      </c>
      <c r="B474" s="16" t="n">
        <f aca="false">2_Matriz_decision!B474</f>
        <v>47.191</v>
      </c>
      <c r="C474" s="21" t="n">
        <f aca="false">SQRT(SUMXMY2(5_Ponderada!C477:Q477,5_Ponderada!$C$6:$Q$6))</f>
        <v>0.0117793150763687</v>
      </c>
      <c r="D474" s="21" t="n">
        <f aca="false">SQRT(SUMXMY2(5_Ponderada!C477:Q477,5_Ponderada!$C$7:$Q$7))</f>
        <v>0.0152725742240865</v>
      </c>
      <c r="E474" s="21" t="n">
        <f aca="false">D474/(C474+D474)</f>
        <v>0.564565899795749</v>
      </c>
      <c r="F474" s="15" t="n">
        <f aca="false">MIN(5,INT(E474/0.2)+1)</f>
        <v>3</v>
      </c>
      <c r="G474" s="21" t="n">
        <v>0.564565899795749</v>
      </c>
      <c r="H474" s="28" t="n">
        <f aca="false">ABS(E474-G474)</f>
        <v>0</v>
      </c>
      <c r="I474" s="15" t="n">
        <v>3</v>
      </c>
      <c r="J474" s="21" t="n">
        <f aca="false">(SUMPRODUCT(2_Matriz_decision!C474:Q474,5_Ponderada!$C$5:$Q$5)-1)/4</f>
        <v>0.634685525067038</v>
      </c>
      <c r="K474" s="15" t="n">
        <f aca="false">MIN(5,INT(J474/0.2)+1)</f>
        <v>4</v>
      </c>
      <c r="L474" s="21" t="n">
        <v>0.634685525067038</v>
      </c>
    </row>
    <row r="475" customFormat="false" ht="15" hidden="false" customHeight="false" outlineLevel="0" collapsed="false">
      <c r="A475" s="15" t="n">
        <f aca="false">2_Matriz_decision!A475</f>
        <v>471</v>
      </c>
      <c r="B475" s="16" t="n">
        <f aca="false">2_Matriz_decision!B475</f>
        <v>47.29</v>
      </c>
      <c r="C475" s="21" t="n">
        <f aca="false">SQRT(SUMXMY2(5_Ponderada!C478:Q478,5_Ponderada!$C$6:$Q$6))</f>
        <v>0.0161820704360991</v>
      </c>
      <c r="D475" s="21" t="n">
        <f aca="false">SQRT(SUMXMY2(5_Ponderada!C478:Q478,5_Ponderada!$C$7:$Q$7))</f>
        <v>0.0125512527348325</v>
      </c>
      <c r="E475" s="21" t="n">
        <f aca="false">D475/(C475+D475)</f>
        <v>0.436818695149405</v>
      </c>
      <c r="F475" s="15" t="n">
        <f aca="false">MIN(5,INT(E475/0.2)+1)</f>
        <v>3</v>
      </c>
      <c r="G475" s="21" t="n">
        <v>0.436818695149405</v>
      </c>
      <c r="H475" s="28" t="n">
        <f aca="false">ABS(E475-G475)</f>
        <v>0</v>
      </c>
      <c r="I475" s="15" t="n">
        <v>3</v>
      </c>
      <c r="J475" s="21" t="n">
        <f aca="false">(SUMPRODUCT(2_Matriz_decision!C475:Q475,5_Ponderada!$C$5:$Q$5)-1)/4</f>
        <v>0.467226395967509</v>
      </c>
      <c r="K475" s="15" t="n">
        <f aca="false">MIN(5,INT(J475/0.2)+1)</f>
        <v>3</v>
      </c>
      <c r="L475" s="21" t="n">
        <v>0.467226395967509</v>
      </c>
    </row>
    <row r="476" customFormat="false" ht="15" hidden="false" customHeight="false" outlineLevel="0" collapsed="false">
      <c r="A476" s="15" t="n">
        <f aca="false">2_Matriz_decision!A476</f>
        <v>472</v>
      </c>
      <c r="B476" s="16" t="n">
        <f aca="false">2_Matriz_decision!B476</f>
        <v>47.389</v>
      </c>
      <c r="C476" s="21" t="n">
        <f aca="false">SQRT(SUMXMY2(5_Ponderada!C479:Q479,5_Ponderada!$C$6:$Q$6))</f>
        <v>0.0114345063250004</v>
      </c>
      <c r="D476" s="21" t="n">
        <f aca="false">SQRT(SUMXMY2(5_Ponderada!C479:Q479,5_Ponderada!$C$7:$Q$7))</f>
        <v>0.0170273690053084</v>
      </c>
      <c r="E476" s="21" t="n">
        <f aca="false">D476/(C476+D476)</f>
        <v>0.598251830130676</v>
      </c>
      <c r="F476" s="15" t="n">
        <f aca="false">MIN(5,INT(E476/0.2)+1)</f>
        <v>3</v>
      </c>
      <c r="G476" s="21" t="n">
        <v>0.598251830130676</v>
      </c>
      <c r="H476" s="28" t="n">
        <f aca="false">ABS(E476-G476)</f>
        <v>0</v>
      </c>
      <c r="I476" s="15" t="n">
        <v>3</v>
      </c>
      <c r="J476" s="21" t="n">
        <f aca="false">(SUMPRODUCT(2_Matriz_decision!C476:Q476,5_Ponderada!$C$5:$Q$5)-1)/4</f>
        <v>0.693131987195379</v>
      </c>
      <c r="K476" s="15" t="n">
        <f aca="false">MIN(5,INT(J476/0.2)+1)</f>
        <v>4</v>
      </c>
      <c r="L476" s="21" t="n">
        <v>0.69313198719538</v>
      </c>
    </row>
    <row r="477" customFormat="false" ht="15" hidden="false" customHeight="false" outlineLevel="0" collapsed="false">
      <c r="A477" s="15" t="n">
        <f aca="false">2_Matriz_decision!A477</f>
        <v>473</v>
      </c>
      <c r="B477" s="16" t="n">
        <f aca="false">2_Matriz_decision!B477</f>
        <v>47.49</v>
      </c>
      <c r="C477" s="21" t="n">
        <f aca="false">SQRT(SUMXMY2(5_Ponderada!C480:Q480,5_Ponderada!$C$6:$Q$6))</f>
        <v>0.0162456287881468</v>
      </c>
      <c r="D477" s="21" t="n">
        <f aca="false">SQRT(SUMXMY2(5_Ponderada!C480:Q480,5_Ponderada!$C$7:$Q$7))</f>
        <v>0.012538412344638</v>
      </c>
      <c r="E477" s="21" t="n">
        <f aca="false">D477/(C477+D477)</f>
        <v>0.43560291922863</v>
      </c>
      <c r="F477" s="15" t="n">
        <f aca="false">MIN(5,INT(E477/0.2)+1)</f>
        <v>3</v>
      </c>
      <c r="G477" s="21" t="n">
        <v>0.43560291922863</v>
      </c>
      <c r="H477" s="28" t="n">
        <f aca="false">ABS(E477-G477)</f>
        <v>0</v>
      </c>
      <c r="I477" s="15" t="n">
        <v>3</v>
      </c>
      <c r="J477" s="21" t="n">
        <f aca="false">(SUMPRODUCT(2_Matriz_decision!C477:Q477,5_Ponderada!$C$5:$Q$5)-1)/4</f>
        <v>0.458405509337802</v>
      </c>
      <c r="K477" s="15" t="n">
        <f aca="false">MIN(5,INT(J477/0.2)+1)</f>
        <v>3</v>
      </c>
      <c r="L477" s="21" t="n">
        <v>0.458405509337802</v>
      </c>
    </row>
    <row r="478" customFormat="false" ht="15" hidden="false" customHeight="false" outlineLevel="0" collapsed="false">
      <c r="A478" s="15" t="n">
        <f aca="false">2_Matriz_decision!A478</f>
        <v>474</v>
      </c>
      <c r="B478" s="16" t="n">
        <f aca="false">2_Matriz_decision!B478</f>
        <v>47.59</v>
      </c>
      <c r="C478" s="21" t="n">
        <f aca="false">SQRT(SUMXMY2(5_Ponderada!C481:Q481,5_Ponderada!$C$6:$Q$6))</f>
        <v>0.0162441843012468</v>
      </c>
      <c r="D478" s="21" t="n">
        <f aca="false">SQRT(SUMXMY2(5_Ponderada!C481:Q481,5_Ponderada!$C$7:$Q$7))</f>
        <v>0.0125094493875659</v>
      </c>
      <c r="E478" s="21" t="n">
        <f aca="false">D478/(C478+D478)</f>
        <v>0.435056296638884</v>
      </c>
      <c r="F478" s="15" t="n">
        <f aca="false">MIN(5,INT(E478/0.2)+1)</f>
        <v>3</v>
      </c>
      <c r="G478" s="21" t="n">
        <v>0.435056296638884</v>
      </c>
      <c r="H478" s="28" t="n">
        <f aca="false">ABS(E478-G478)</f>
        <v>0</v>
      </c>
      <c r="I478" s="15" t="n">
        <v>3</v>
      </c>
      <c r="J478" s="21" t="n">
        <f aca="false">(SUMPRODUCT(2_Matriz_decision!C478:Q478,5_Ponderada!$C$5:$Q$5)-1)/4</f>
        <v>0.451401219847901</v>
      </c>
      <c r="K478" s="15" t="n">
        <f aca="false">MIN(5,INT(J478/0.2)+1)</f>
        <v>3</v>
      </c>
      <c r="L478" s="21" t="n">
        <v>0.451401219847902</v>
      </c>
    </row>
    <row r="479" customFormat="false" ht="15" hidden="false" customHeight="false" outlineLevel="0" collapsed="false">
      <c r="A479" s="15" t="n">
        <f aca="false">2_Matriz_decision!A479</f>
        <v>475</v>
      </c>
      <c r="B479" s="16" t="n">
        <f aca="false">2_Matriz_decision!B479</f>
        <v>47.691</v>
      </c>
      <c r="C479" s="21" t="n">
        <f aca="false">SQRT(SUMXMY2(5_Ponderada!C482:Q482,5_Ponderada!$C$6:$Q$6))</f>
        <v>0.0164581968778086</v>
      </c>
      <c r="D479" s="21" t="n">
        <f aca="false">SQRT(SUMXMY2(5_Ponderada!C482:Q482,5_Ponderada!$C$7:$Q$7))</f>
        <v>0.0100337729451393</v>
      </c>
      <c r="E479" s="21" t="n">
        <f aca="false">D479/(C479+D479)</f>
        <v>0.378747711559291</v>
      </c>
      <c r="F479" s="15" t="n">
        <f aca="false">MIN(5,INT(E479/0.2)+1)</f>
        <v>2</v>
      </c>
      <c r="G479" s="21" t="n">
        <v>0.378747711559291</v>
      </c>
      <c r="H479" s="28" t="n">
        <f aca="false">ABS(E479-G479)</f>
        <v>0</v>
      </c>
      <c r="I479" s="15" t="n">
        <v>2</v>
      </c>
      <c r="J479" s="21" t="n">
        <f aca="false">(SUMPRODUCT(2_Matriz_decision!C479:Q479,5_Ponderada!$C$5:$Q$5)-1)/4</f>
        <v>0.406979161500855</v>
      </c>
      <c r="K479" s="15" t="n">
        <f aca="false">MIN(5,INT(J479/0.2)+1)</f>
        <v>3</v>
      </c>
      <c r="L479" s="21" t="n">
        <v>0.406979161500855</v>
      </c>
    </row>
    <row r="480" customFormat="false" ht="15" hidden="false" customHeight="false" outlineLevel="0" collapsed="false">
      <c r="A480" s="15" t="n">
        <f aca="false">2_Matriz_decision!A480</f>
        <v>476</v>
      </c>
      <c r="B480" s="16" t="n">
        <f aca="false">2_Matriz_decision!B480</f>
        <v>47.792</v>
      </c>
      <c r="C480" s="21" t="n">
        <f aca="false">SQRT(SUMXMY2(5_Ponderada!C483:Q483,5_Ponderada!$C$6:$Q$6))</f>
        <v>0.0162074299611057</v>
      </c>
      <c r="D480" s="21" t="n">
        <f aca="false">SQRT(SUMXMY2(5_Ponderada!C483:Q483,5_Ponderada!$C$7:$Q$7))</f>
        <v>0.0125255560726393</v>
      </c>
      <c r="E480" s="21" t="n">
        <f aca="false">D480/(C480+D480)</f>
        <v>0.435929494342455</v>
      </c>
      <c r="F480" s="15" t="n">
        <f aca="false">MIN(5,INT(E480/0.2)+1)</f>
        <v>3</v>
      </c>
      <c r="G480" s="21" t="n">
        <v>0.435929494342455</v>
      </c>
      <c r="H480" s="28" t="n">
        <f aca="false">ABS(E480-G480)</f>
        <v>0</v>
      </c>
      <c r="I480" s="15" t="n">
        <v>3</v>
      </c>
      <c r="J480" s="21" t="n">
        <f aca="false">(SUMPRODUCT(2_Matriz_decision!C480:Q480,5_Ponderada!$C$5:$Q$5)-1)/4</f>
        <v>0.458923685344339</v>
      </c>
      <c r="K480" s="15" t="n">
        <f aca="false">MIN(5,INT(J480/0.2)+1)</f>
        <v>3</v>
      </c>
      <c r="L480" s="21" t="n">
        <v>0.458923685344339</v>
      </c>
    </row>
    <row r="481" customFormat="false" ht="15" hidden="false" customHeight="false" outlineLevel="0" collapsed="false">
      <c r="A481" s="15" t="n">
        <f aca="false">2_Matriz_decision!A481</f>
        <v>477</v>
      </c>
      <c r="B481" s="16" t="n">
        <f aca="false">2_Matriz_decision!B481</f>
        <v>47.892</v>
      </c>
      <c r="C481" s="21" t="n">
        <f aca="false">SQRT(SUMXMY2(5_Ponderada!C484:Q484,5_Ponderada!$C$6:$Q$6))</f>
        <v>0.0164627071754481</v>
      </c>
      <c r="D481" s="21" t="n">
        <f aca="false">SQRT(SUMXMY2(5_Ponderada!C484:Q484,5_Ponderada!$C$7:$Q$7))</f>
        <v>0.0100314490297621</v>
      </c>
      <c r="E481" s="21" t="n">
        <f aca="false">D481/(C481+D481)</f>
        <v>0.378628741827579</v>
      </c>
      <c r="F481" s="15" t="n">
        <f aca="false">MIN(5,INT(E481/0.2)+1)</f>
        <v>2</v>
      </c>
      <c r="G481" s="21" t="n">
        <v>0.378628741827579</v>
      </c>
      <c r="H481" s="28" t="n">
        <f aca="false">ABS(E481-G481)</f>
        <v>0</v>
      </c>
      <c r="I481" s="15" t="n">
        <v>2</v>
      </c>
      <c r="J481" s="21" t="n">
        <f aca="false">(SUMPRODUCT(2_Matriz_decision!C481:Q481,5_Ponderada!$C$5:$Q$5)-1)/4</f>
        <v>0.406051189885477</v>
      </c>
      <c r="K481" s="15" t="n">
        <f aca="false">MIN(5,INT(J481/0.2)+1)</f>
        <v>3</v>
      </c>
      <c r="L481" s="21" t="n">
        <v>0.406051189885478</v>
      </c>
    </row>
    <row r="482" customFormat="false" ht="15" hidden="false" customHeight="false" outlineLevel="0" collapsed="false">
      <c r="A482" s="15" t="n">
        <f aca="false">2_Matriz_decision!A482</f>
        <v>478</v>
      </c>
      <c r="B482" s="16" t="n">
        <f aca="false">2_Matriz_decision!B482</f>
        <v>47.992</v>
      </c>
      <c r="C482" s="21" t="n">
        <f aca="false">SQRT(SUMXMY2(5_Ponderada!C485:Q485,5_Ponderada!$C$6:$Q$6))</f>
        <v>0.0162375186447741</v>
      </c>
      <c r="D482" s="21" t="n">
        <f aca="false">SQRT(SUMXMY2(5_Ponderada!C485:Q485,5_Ponderada!$C$7:$Q$7))</f>
        <v>0.0125136158819025</v>
      </c>
      <c r="E482" s="21" t="n">
        <f aca="false">D482/(C482+D482)</f>
        <v>0.435239029273499</v>
      </c>
      <c r="F482" s="15" t="n">
        <f aca="false">MIN(5,INT(E482/0.2)+1)</f>
        <v>3</v>
      </c>
      <c r="G482" s="21" t="n">
        <v>0.435239029273499</v>
      </c>
      <c r="H482" s="28" t="n">
        <f aca="false">ABS(E482-G482)</f>
        <v>0</v>
      </c>
      <c r="I482" s="15" t="n">
        <v>3</v>
      </c>
      <c r="J482" s="21" t="n">
        <f aca="false">(SUMPRODUCT(2_Matriz_decision!C482:Q482,5_Ponderada!$C$5:$Q$5)-1)/4</f>
        <v>0.452790257179188</v>
      </c>
      <c r="K482" s="15" t="n">
        <f aca="false">MIN(5,INT(J482/0.2)+1)</f>
        <v>3</v>
      </c>
      <c r="L482" s="21" t="n">
        <v>0.452790257179188</v>
      </c>
    </row>
    <row r="483" customFormat="false" ht="15" hidden="false" customHeight="false" outlineLevel="0" collapsed="false">
      <c r="A483" s="15" t="n">
        <f aca="false">2_Matriz_decision!A483</f>
        <v>479</v>
      </c>
      <c r="B483" s="16" t="n">
        <f aca="false">2_Matriz_decision!B483</f>
        <v>48.092</v>
      </c>
      <c r="C483" s="21" t="n">
        <f aca="false">SQRT(SUMXMY2(5_Ponderada!C486:Q486,5_Ponderada!$C$6:$Q$6))</f>
        <v>0.0164346165455376</v>
      </c>
      <c r="D483" s="21" t="n">
        <f aca="false">SQRT(SUMXMY2(5_Ponderada!C486:Q486,5_Ponderada!$C$7:$Q$7))</f>
        <v>0.0107473111746808</v>
      </c>
      <c r="E483" s="21" t="n">
        <f aca="false">D483/(C483+D483)</f>
        <v>0.395384436501417</v>
      </c>
      <c r="F483" s="15" t="n">
        <f aca="false">MIN(5,INT(E483/0.2)+1)</f>
        <v>2</v>
      </c>
      <c r="G483" s="21" t="n">
        <v>0.395384436501417</v>
      </c>
      <c r="H483" s="28" t="n">
        <f aca="false">ABS(E483-G483)</f>
        <v>0</v>
      </c>
      <c r="I483" s="15" t="n">
        <v>2</v>
      </c>
      <c r="J483" s="21" t="n">
        <f aca="false">(SUMPRODUCT(2_Matriz_decision!C483:Q483,5_Ponderada!$C$5:$Q$5)-1)/4</f>
        <v>0.418630943065708</v>
      </c>
      <c r="K483" s="15" t="n">
        <f aca="false">MIN(5,INT(J483/0.2)+1)</f>
        <v>3</v>
      </c>
      <c r="L483" s="21" t="n">
        <v>0.418630943065708</v>
      </c>
    </row>
    <row r="484" customFormat="false" ht="15" hidden="false" customHeight="false" outlineLevel="0" collapsed="false">
      <c r="A484" s="15" t="n">
        <f aca="false">2_Matriz_decision!A484</f>
        <v>480</v>
      </c>
      <c r="B484" s="16" t="n">
        <f aca="false">2_Matriz_decision!B484</f>
        <v>48.191</v>
      </c>
      <c r="C484" s="21" t="n">
        <f aca="false">SQRT(SUMXMY2(5_Ponderada!C487:Q487,5_Ponderada!$C$6:$Q$6))</f>
        <v>0.0153205700234775</v>
      </c>
      <c r="D484" s="21" t="n">
        <f aca="false">SQRT(SUMXMY2(5_Ponderada!C487:Q487,5_Ponderada!$C$7:$Q$7))</f>
        <v>0.00922136595632328</v>
      </c>
      <c r="E484" s="21" t="n">
        <f aca="false">D484/(C484+D484)</f>
        <v>0.37573914152139</v>
      </c>
      <c r="F484" s="15" t="n">
        <f aca="false">MIN(5,INT(E484/0.2)+1)</f>
        <v>2</v>
      </c>
      <c r="G484" s="21" t="n">
        <v>0.37573914152139</v>
      </c>
      <c r="H484" s="28" t="n">
        <f aca="false">ABS(E484-G484)</f>
        <v>0</v>
      </c>
      <c r="I484" s="15" t="n">
        <v>2</v>
      </c>
      <c r="J484" s="21" t="n">
        <f aca="false">(SUMPRODUCT(2_Matriz_decision!C484:Q484,5_Ponderada!$C$5:$Q$5)-1)/4</f>
        <v>0.44000396272468</v>
      </c>
      <c r="K484" s="15" t="n">
        <f aca="false">MIN(5,INT(J484/0.2)+1)</f>
        <v>3</v>
      </c>
      <c r="L484" s="21" t="n">
        <v>0.44000396272468</v>
      </c>
    </row>
    <row r="485" customFormat="false" ht="15" hidden="false" customHeight="false" outlineLevel="0" collapsed="false">
      <c r="A485" s="15" t="n">
        <f aca="false">2_Matriz_decision!A485</f>
        <v>481</v>
      </c>
      <c r="B485" s="16" t="n">
        <f aca="false">2_Matriz_decision!B485</f>
        <v>48.29</v>
      </c>
      <c r="C485" s="21" t="n">
        <f aca="false">SQRT(SUMXMY2(5_Ponderada!C488:Q488,5_Ponderada!$C$6:$Q$6))</f>
        <v>0.0181965221855749</v>
      </c>
      <c r="D485" s="21" t="n">
        <f aca="false">SQRT(SUMXMY2(5_Ponderada!C488:Q488,5_Ponderada!$C$7:$Q$7))</f>
        <v>0.00734313762559845</v>
      </c>
      <c r="E485" s="21" t="n">
        <f aca="false">D485/(C485+D485)</f>
        <v>0.287519006904935</v>
      </c>
      <c r="F485" s="15" t="n">
        <f aca="false">MIN(5,INT(E485/0.2)+1)</f>
        <v>2</v>
      </c>
      <c r="G485" s="21" t="n">
        <v>0.287519006904936</v>
      </c>
      <c r="H485" s="28" t="n">
        <f aca="false">ABS(E485-G485)</f>
        <v>0</v>
      </c>
      <c r="I485" s="15" t="n">
        <v>2</v>
      </c>
      <c r="J485" s="21" t="n">
        <f aca="false">(SUMPRODUCT(2_Matriz_decision!C485:Q485,5_Ponderada!$C$5:$Q$5)-1)/4</f>
        <v>0.349377493507406</v>
      </c>
      <c r="K485" s="15" t="n">
        <f aca="false">MIN(5,INT(J485/0.2)+1)</f>
        <v>2</v>
      </c>
      <c r="L485" s="21" t="n">
        <v>0.349377493507407</v>
      </c>
    </row>
    <row r="486" customFormat="false" ht="15" hidden="false" customHeight="false" outlineLevel="0" collapsed="false">
      <c r="A486" s="15" t="n">
        <f aca="false">2_Matriz_decision!A486</f>
        <v>482</v>
      </c>
      <c r="B486" s="16" t="n">
        <f aca="false">2_Matriz_decision!B486</f>
        <v>48.389</v>
      </c>
      <c r="C486" s="21" t="n">
        <f aca="false">SQRT(SUMXMY2(5_Ponderada!C489:Q489,5_Ponderada!$C$6:$Q$6))</f>
        <v>0.0196633402210281</v>
      </c>
      <c r="D486" s="21" t="n">
        <f aca="false">SQRT(SUMXMY2(5_Ponderada!C489:Q489,5_Ponderada!$C$7:$Q$7))</f>
        <v>0.00677837282384173</v>
      </c>
      <c r="E486" s="21" t="n">
        <f aca="false">D486/(C486+D486)</f>
        <v>0.256351500840331</v>
      </c>
      <c r="F486" s="15" t="n">
        <f aca="false">MIN(5,INT(E486/0.2)+1)</f>
        <v>2</v>
      </c>
      <c r="G486" s="21" t="n">
        <v>0.256351500840331</v>
      </c>
      <c r="H486" s="28" t="n">
        <f aca="false">ABS(E486-G486)</f>
        <v>0</v>
      </c>
      <c r="I486" s="15" t="n">
        <v>2</v>
      </c>
      <c r="J486" s="21" t="n">
        <f aca="false">(SUMPRODUCT(2_Matriz_decision!C486:Q486,5_Ponderada!$C$5:$Q$5)-1)/4</f>
        <v>0.301212558695699</v>
      </c>
      <c r="K486" s="15" t="n">
        <f aca="false">MIN(5,INT(J486/0.2)+1)</f>
        <v>2</v>
      </c>
      <c r="L486" s="21" t="n">
        <v>0.3012125586957</v>
      </c>
    </row>
    <row r="487" customFormat="false" ht="15" hidden="false" customHeight="false" outlineLevel="0" collapsed="false">
      <c r="A487" s="15" t="n">
        <f aca="false">2_Matriz_decision!A487</f>
        <v>483</v>
      </c>
      <c r="B487" s="16" t="n">
        <f aca="false">2_Matriz_decision!B487</f>
        <v>48.488</v>
      </c>
      <c r="C487" s="21" t="n">
        <f aca="false">SQRT(SUMXMY2(5_Ponderada!C490:Q490,5_Ponderada!$C$6:$Q$6))</f>
        <v>0.0196585303777449</v>
      </c>
      <c r="D487" s="21" t="n">
        <f aca="false">SQRT(SUMXMY2(5_Ponderada!C490:Q490,5_Ponderada!$C$7:$Q$7))</f>
        <v>0.0067861818284838</v>
      </c>
      <c r="E487" s="21" t="n">
        <f aca="false">D487/(C487+D487)</f>
        <v>0.256617722876387</v>
      </c>
      <c r="F487" s="15" t="n">
        <f aca="false">MIN(5,INT(E487/0.2)+1)</f>
        <v>2</v>
      </c>
      <c r="G487" s="21" t="n">
        <v>0.256617722876387</v>
      </c>
      <c r="H487" s="28" t="n">
        <f aca="false">ABS(E487-G487)</f>
        <v>0</v>
      </c>
      <c r="I487" s="15" t="n">
        <v>2</v>
      </c>
      <c r="J487" s="21" t="n">
        <f aca="false">(SUMPRODUCT(2_Matriz_decision!C487:Q487,5_Ponderada!$C$5:$Q$5)-1)/4</f>
        <v>0.303751701201138</v>
      </c>
      <c r="K487" s="15" t="n">
        <f aca="false">MIN(5,INT(J487/0.2)+1)</f>
        <v>2</v>
      </c>
      <c r="L487" s="21" t="n">
        <v>0.303751701201138</v>
      </c>
    </row>
    <row r="488" customFormat="false" ht="15" hidden="false" customHeight="false" outlineLevel="0" collapsed="false">
      <c r="A488" s="15" t="n">
        <f aca="false">2_Matriz_decision!A488</f>
        <v>484</v>
      </c>
      <c r="B488" s="16" t="n">
        <f aca="false">2_Matriz_decision!B488</f>
        <v>48.587</v>
      </c>
      <c r="C488" s="21" t="n">
        <f aca="false">SQRT(SUMXMY2(5_Ponderada!C491:Q491,5_Ponderada!$C$6:$Q$6))</f>
        <v>0.0196720505176133</v>
      </c>
      <c r="D488" s="21" t="n">
        <f aca="false">SQRT(SUMXMY2(5_Ponderada!C491:Q491,5_Ponderada!$C$7:$Q$7))</f>
        <v>0.0067242170048849</v>
      </c>
      <c r="E488" s="21" t="n">
        <f aca="false">D488/(C488+D488)</f>
        <v>0.254741205329643</v>
      </c>
      <c r="F488" s="15" t="n">
        <f aca="false">MIN(5,INT(E488/0.2)+1)</f>
        <v>2</v>
      </c>
      <c r="G488" s="21" t="n">
        <v>0.254741205329643</v>
      </c>
      <c r="H488" s="28" t="n">
        <f aca="false">ABS(E488-G488)</f>
        <v>0</v>
      </c>
      <c r="I488" s="15" t="n">
        <v>2</v>
      </c>
      <c r="J488" s="21" t="n">
        <f aca="false">(SUMPRODUCT(2_Matriz_decision!C488:Q488,5_Ponderada!$C$5:$Q$5)-1)/4</f>
        <v>0.293233286626343</v>
      </c>
      <c r="K488" s="15" t="n">
        <f aca="false">MIN(5,INT(J488/0.2)+1)</f>
        <v>2</v>
      </c>
      <c r="L488" s="21" t="n">
        <v>0.293233286626343</v>
      </c>
    </row>
    <row r="489" customFormat="false" ht="15" hidden="false" customHeight="false" outlineLevel="0" collapsed="false">
      <c r="A489" s="15" t="n">
        <f aca="false">2_Matriz_decision!A489</f>
        <v>485</v>
      </c>
      <c r="B489" s="16" t="n">
        <f aca="false">2_Matriz_decision!B489</f>
        <v>48.687</v>
      </c>
      <c r="C489" s="21" t="n">
        <f aca="false">SQRT(SUMXMY2(5_Ponderada!C492:Q492,5_Ponderada!$C$6:$Q$6))</f>
        <v>0.0196716821567119</v>
      </c>
      <c r="D489" s="21" t="n">
        <f aca="false">SQRT(SUMXMY2(5_Ponderada!C492:Q492,5_Ponderada!$C$7:$Q$7))</f>
        <v>0.00672478428373656</v>
      </c>
      <c r="E489" s="21" t="n">
        <f aca="false">D489/(C489+D489)</f>
        <v>0.25476077636785</v>
      </c>
      <c r="F489" s="15" t="n">
        <f aca="false">MIN(5,INT(E489/0.2)+1)</f>
        <v>2</v>
      </c>
      <c r="G489" s="21" t="n">
        <v>0.254760776367851</v>
      </c>
      <c r="H489" s="28" t="n">
        <f aca="false">ABS(E489-G489)</f>
        <v>0</v>
      </c>
      <c r="I489" s="15" t="n">
        <v>2</v>
      </c>
      <c r="J489" s="21" t="n">
        <f aca="false">(SUMPRODUCT(2_Matriz_decision!C489:Q489,5_Ponderada!$C$5:$Q$5)-1)/4</f>
        <v>0.293336402944269</v>
      </c>
      <c r="K489" s="15" t="n">
        <f aca="false">MIN(5,INT(J489/0.2)+1)</f>
        <v>2</v>
      </c>
      <c r="L489" s="21" t="n">
        <v>0.293336402944269</v>
      </c>
    </row>
    <row r="490" customFormat="false" ht="15" hidden="false" customHeight="false" outlineLevel="0" collapsed="false">
      <c r="A490" s="15" t="n">
        <f aca="false">2_Matriz_decision!A490</f>
        <v>486</v>
      </c>
      <c r="B490" s="16" t="n">
        <f aca="false">2_Matriz_decision!B490</f>
        <v>48.786</v>
      </c>
      <c r="C490" s="21" t="n">
        <f aca="false">SQRT(SUMXMY2(5_Ponderada!C493:Q493,5_Ponderada!$C$6:$Q$6))</f>
        <v>0.0196720169666492</v>
      </c>
      <c r="D490" s="21" t="n">
        <f aca="false">SQRT(SUMXMY2(5_Ponderada!C493:Q493,5_Ponderada!$C$7:$Q$7))</f>
        <v>0.00672426839074225</v>
      </c>
      <c r="E490" s="21" t="n">
        <f aca="false">D490/(C490+D490)</f>
        <v>0.254742979919306</v>
      </c>
      <c r="F490" s="15" t="n">
        <f aca="false">MIN(5,INT(E490/0.2)+1)</f>
        <v>2</v>
      </c>
      <c r="G490" s="21" t="n">
        <v>0.254742979919306</v>
      </c>
      <c r="H490" s="28" t="n">
        <f aca="false">ABS(E490-G490)</f>
        <v>0</v>
      </c>
      <c r="I490" s="15" t="n">
        <v>2</v>
      </c>
      <c r="J490" s="21" t="n">
        <f aca="false">(SUMPRODUCT(2_Matriz_decision!C490:Q490,5_Ponderada!$C$5:$Q$5)-1)/4</f>
        <v>0.293242660837063</v>
      </c>
      <c r="K490" s="15" t="n">
        <f aca="false">MIN(5,INT(J490/0.2)+1)</f>
        <v>2</v>
      </c>
      <c r="L490" s="21" t="n">
        <v>0.293242660837064</v>
      </c>
    </row>
    <row r="491" customFormat="false" ht="15" hidden="false" customHeight="false" outlineLevel="0" collapsed="false">
      <c r="A491" s="15" t="n">
        <f aca="false">2_Matriz_decision!A491</f>
        <v>487</v>
      </c>
      <c r="B491" s="16" t="n">
        <f aca="false">2_Matriz_decision!B491</f>
        <v>48.885</v>
      </c>
      <c r="C491" s="21" t="n">
        <f aca="false">SQRT(SUMXMY2(5_Ponderada!C494:Q494,5_Ponderada!$C$6:$Q$6))</f>
        <v>0.0196709500532066</v>
      </c>
      <c r="D491" s="21" t="n">
        <f aca="false">SQRT(SUMXMY2(5_Ponderada!C494:Q494,5_Ponderada!$C$7:$Q$7))</f>
        <v>0.00672593226530906</v>
      </c>
      <c r="E491" s="21" t="n">
        <f aca="false">D491/(C491+D491)</f>
        <v>0.254800251944574</v>
      </c>
      <c r="F491" s="15" t="n">
        <f aca="false">MIN(5,INT(E491/0.2)+1)</f>
        <v>2</v>
      </c>
      <c r="G491" s="21" t="n">
        <v>0.254800251944574</v>
      </c>
      <c r="H491" s="28" t="n">
        <f aca="false">ABS(E491-G491)</f>
        <v>0</v>
      </c>
      <c r="I491" s="15" t="n">
        <v>2</v>
      </c>
      <c r="J491" s="21" t="n">
        <f aca="false">(SUMPRODUCT(2_Matriz_decision!C491:Q491,5_Ponderada!$C$5:$Q$5)-1)/4</f>
        <v>0.293542635580121</v>
      </c>
      <c r="K491" s="15" t="n">
        <f aca="false">MIN(5,INT(J491/0.2)+1)</f>
        <v>2</v>
      </c>
      <c r="L491" s="21" t="n">
        <v>0.293542635580122</v>
      </c>
    </row>
    <row r="492" customFormat="false" ht="15" hidden="false" customHeight="false" outlineLevel="0" collapsed="false">
      <c r="A492" s="15" t="n">
        <f aca="false">2_Matriz_decision!A492</f>
        <v>488</v>
      </c>
      <c r="B492" s="16" t="n">
        <f aca="false">2_Matriz_decision!B492</f>
        <v>48.984</v>
      </c>
      <c r="C492" s="21" t="n">
        <f aca="false">SQRT(SUMXMY2(5_Ponderada!C495:Q495,5_Ponderada!$C$6:$Q$6))</f>
        <v>0.0196698307337856</v>
      </c>
      <c r="D492" s="21" t="n">
        <f aca="false">SQRT(SUMXMY2(5_Ponderada!C495:Q495,5_Ponderada!$C$7:$Q$7))</f>
        <v>0.00672774160557795</v>
      </c>
      <c r="E492" s="21" t="n">
        <f aca="false">D492/(C492+D492)</f>
        <v>0.254862133497999</v>
      </c>
      <c r="F492" s="15" t="n">
        <f aca="false">MIN(5,INT(E492/0.2)+1)</f>
        <v>2</v>
      </c>
      <c r="G492" s="21" t="n">
        <v>0.254862133497999</v>
      </c>
      <c r="H492" s="28" t="n">
        <f aca="false">ABS(E492-G492)</f>
        <v>0</v>
      </c>
      <c r="I492" s="15" t="n">
        <v>2</v>
      </c>
      <c r="J492" s="21" t="n">
        <f aca="false">(SUMPRODUCT(2_Matriz_decision!C492:Q492,5_Ponderada!$C$5:$Q$5)-1)/4</f>
        <v>0.29386135874462</v>
      </c>
      <c r="K492" s="15" t="n">
        <f aca="false">MIN(5,INT(J492/0.2)+1)</f>
        <v>2</v>
      </c>
      <c r="L492" s="21" t="n">
        <v>0.293861358744621</v>
      </c>
    </row>
    <row r="493" customFormat="false" ht="15" hidden="false" customHeight="false" outlineLevel="0" collapsed="false">
      <c r="A493" s="15" t="n">
        <f aca="false">2_Matriz_decision!A493</f>
        <v>489</v>
      </c>
      <c r="B493" s="16" t="n">
        <f aca="false">2_Matriz_decision!B493</f>
        <v>49.084</v>
      </c>
      <c r="C493" s="21" t="n">
        <f aca="false">SQRT(SUMXMY2(5_Ponderada!C496:Q496,5_Ponderada!$C$6:$Q$6))</f>
        <v>0.0182134447465843</v>
      </c>
      <c r="D493" s="21" t="n">
        <f aca="false">SQRT(SUMXMY2(5_Ponderada!C496:Q496,5_Ponderada!$C$7:$Q$7))</f>
        <v>0.00720671605446668</v>
      </c>
      <c r="E493" s="21" t="n">
        <f aca="false">D493/(C493+D493)</f>
        <v>0.283503952271173</v>
      </c>
      <c r="F493" s="15" t="n">
        <f aca="false">MIN(5,INT(E493/0.2)+1)</f>
        <v>2</v>
      </c>
      <c r="G493" s="21" t="n">
        <v>0.283503952271173</v>
      </c>
      <c r="H493" s="28" t="n">
        <f aca="false">ABS(E493-G493)</f>
        <v>0</v>
      </c>
      <c r="I493" s="15" t="n">
        <v>2</v>
      </c>
      <c r="J493" s="21" t="n">
        <f aca="false">(SUMPRODUCT(2_Matriz_decision!C493:Q493,5_Ponderada!$C$5:$Q$5)-1)/4</f>
        <v>0.329586341661767</v>
      </c>
      <c r="K493" s="15" t="n">
        <f aca="false">MIN(5,INT(J493/0.2)+1)</f>
        <v>2</v>
      </c>
      <c r="L493" s="21" t="n">
        <v>0.329586341661768</v>
      </c>
    </row>
    <row r="494" customFormat="false" ht="15" hidden="false" customHeight="false" outlineLevel="0" collapsed="false">
      <c r="A494" s="15" t="n">
        <f aca="false">2_Matriz_decision!A494</f>
        <v>490</v>
      </c>
      <c r="B494" s="16" t="n">
        <f aca="false">2_Matriz_decision!B494</f>
        <v>49.183</v>
      </c>
      <c r="C494" s="21" t="n">
        <f aca="false">SQRT(SUMXMY2(5_Ponderada!C497:Q497,5_Ponderada!$C$6:$Q$6))</f>
        <v>0.018214249628195</v>
      </c>
      <c r="D494" s="21" t="n">
        <f aca="false">SQRT(SUMXMY2(5_Ponderada!C497:Q497,5_Ponderada!$C$7:$Q$7))</f>
        <v>0.0072055410014794</v>
      </c>
      <c r="E494" s="21" t="n">
        <f aca="false">D494/(C494+D494)</f>
        <v>0.283461854837932</v>
      </c>
      <c r="F494" s="15" t="n">
        <f aca="false">MIN(5,INT(E494/0.2)+1)</f>
        <v>2</v>
      </c>
      <c r="G494" s="21" t="n">
        <v>0.283461854837932</v>
      </c>
      <c r="H494" s="28" t="n">
        <f aca="false">ABS(E494-G494)</f>
        <v>0</v>
      </c>
      <c r="I494" s="15" t="n">
        <v>2</v>
      </c>
      <c r="J494" s="21" t="n">
        <f aca="false">(SUMPRODUCT(2_Matriz_decision!C494:Q494,5_Ponderada!$C$5:$Q$5)-1)/4</f>
        <v>0.329370734815195</v>
      </c>
      <c r="K494" s="15" t="n">
        <f aca="false">MIN(5,INT(J494/0.2)+1)</f>
        <v>2</v>
      </c>
      <c r="L494" s="21" t="n">
        <v>0.329370734815195</v>
      </c>
    </row>
    <row r="495" customFormat="false" ht="15" hidden="false" customHeight="false" outlineLevel="0" collapsed="false">
      <c r="A495" s="15" t="n">
        <f aca="false">2_Matriz_decision!A495</f>
        <v>491</v>
      </c>
      <c r="B495" s="16" t="n">
        <f aca="false">2_Matriz_decision!B495</f>
        <v>49.282</v>
      </c>
      <c r="C495" s="21" t="n">
        <f aca="false">SQRT(SUMXMY2(5_Ponderada!C498:Q498,5_Ponderada!$C$6:$Q$6))</f>
        <v>0.0181996825602394</v>
      </c>
      <c r="D495" s="21" t="n">
        <f aca="false">SQRT(SUMXMY2(5_Ponderada!C498:Q498,5_Ponderada!$C$7:$Q$7))</f>
        <v>0.00726349098812352</v>
      </c>
      <c r="E495" s="21" t="n">
        <f aca="false">D495/(C495+D495)</f>
        <v>0.285254741492759</v>
      </c>
      <c r="F495" s="15" t="n">
        <f aca="false">MIN(5,INT(E495/0.2)+1)</f>
        <v>2</v>
      </c>
      <c r="G495" s="21" t="n">
        <v>0.285254741492759</v>
      </c>
      <c r="H495" s="28" t="n">
        <f aca="false">ABS(E495-G495)</f>
        <v>0</v>
      </c>
      <c r="I495" s="15" t="n">
        <v>2</v>
      </c>
      <c r="J495" s="21" t="n">
        <f aca="false">(SUMPRODUCT(2_Matriz_decision!C495:Q495,5_Ponderada!$C$5:$Q$5)-1)/4</f>
        <v>0.33988914938999</v>
      </c>
      <c r="K495" s="15" t="n">
        <f aca="false">MIN(5,INT(J495/0.2)+1)</f>
        <v>2</v>
      </c>
      <c r="L495" s="21" t="n">
        <v>0.33988914938999</v>
      </c>
    </row>
    <row r="496" customFormat="false" ht="15" hidden="false" customHeight="false" outlineLevel="0" collapsed="false">
      <c r="A496" s="15" t="n">
        <f aca="false">2_Matriz_decision!A496</f>
        <v>492</v>
      </c>
      <c r="B496" s="16" t="n">
        <f aca="false">2_Matriz_decision!B496</f>
        <v>49.381</v>
      </c>
      <c r="C496" s="21" t="n">
        <f aca="false">SQRT(SUMXMY2(5_Ponderada!C499:Q499,5_Ponderada!$C$6:$Q$6))</f>
        <v>0.0196612114771626</v>
      </c>
      <c r="D496" s="21" t="n">
        <f aca="false">SQRT(SUMXMY2(5_Ponderada!C499:Q499,5_Ponderada!$C$7:$Q$7))</f>
        <v>0.00669634273296091</v>
      </c>
      <c r="E496" s="21" t="n">
        <f aca="false">D496/(C496+D496)</f>
        <v>0.254057818854412</v>
      </c>
      <c r="F496" s="15" t="n">
        <f aca="false">MIN(5,INT(E496/0.2)+1)</f>
        <v>2</v>
      </c>
      <c r="G496" s="21" t="n">
        <v>0.254057818854412</v>
      </c>
      <c r="H496" s="28" t="n">
        <f aca="false">ABS(E496-G496)</f>
        <v>0</v>
      </c>
      <c r="I496" s="15" t="n">
        <v>2</v>
      </c>
      <c r="J496" s="21" t="n">
        <f aca="false">(SUMPRODUCT(2_Matriz_decision!C496:Q496,5_Ponderada!$C$5:$Q$5)-1)/4</f>
        <v>0.292261228361824</v>
      </c>
      <c r="K496" s="15" t="n">
        <f aca="false">MIN(5,INT(J496/0.2)+1)</f>
        <v>2</v>
      </c>
      <c r="L496" s="21" t="n">
        <v>0.292261228361825</v>
      </c>
    </row>
    <row r="497" customFormat="false" ht="15" hidden="false" customHeight="false" outlineLevel="0" collapsed="false">
      <c r="A497" s="15" t="n">
        <f aca="false">2_Matriz_decision!A497</f>
        <v>493</v>
      </c>
      <c r="B497" s="16" t="n">
        <f aca="false">2_Matriz_decision!B497</f>
        <v>49.481</v>
      </c>
      <c r="C497" s="21" t="n">
        <f aca="false">SQRT(SUMXMY2(5_Ponderada!C500:Q500,5_Ponderada!$C$6:$Q$6))</f>
        <v>0.0182154883875241</v>
      </c>
      <c r="D497" s="21" t="n">
        <f aca="false">SQRT(SUMXMY2(5_Ponderada!C500:Q500,5_Ponderada!$C$7:$Q$7))</f>
        <v>0.00720378792959656</v>
      </c>
      <c r="E497" s="21" t="n">
        <f aca="false">D497/(C497+D497)</f>
        <v>0.283398623931106</v>
      </c>
      <c r="F497" s="15" t="n">
        <f aca="false">MIN(5,INT(E497/0.2)+1)</f>
        <v>2</v>
      </c>
      <c r="G497" s="21" t="n">
        <v>0.283398623931106</v>
      </c>
      <c r="H497" s="28" t="n">
        <f aca="false">ABS(E497-G497)</f>
        <v>0</v>
      </c>
      <c r="I497" s="15" t="n">
        <v>2</v>
      </c>
      <c r="J497" s="21" t="n">
        <f aca="false">(SUMPRODUCT(2_Matriz_decision!C497:Q497,5_Ponderada!$C$5:$Q$5)-1)/4</f>
        <v>0.329042637439975</v>
      </c>
      <c r="K497" s="15" t="n">
        <f aca="false">MIN(5,INT(J497/0.2)+1)</f>
        <v>2</v>
      </c>
      <c r="L497" s="21" t="n">
        <v>0.329042637439976</v>
      </c>
    </row>
    <row r="498" customFormat="false" ht="15" hidden="false" customHeight="false" outlineLevel="0" collapsed="false">
      <c r="A498" s="15" t="n">
        <f aca="false">2_Matriz_decision!A498</f>
        <v>494</v>
      </c>
      <c r="B498" s="16" t="n">
        <f aca="false">2_Matriz_decision!B498</f>
        <v>49.58</v>
      </c>
      <c r="C498" s="21" t="n">
        <f aca="false">SQRT(SUMXMY2(5_Ponderada!C501:Q501,5_Ponderada!$C$6:$Q$6))</f>
        <v>0.0182097144388835</v>
      </c>
      <c r="D498" s="21" t="n">
        <f aca="false">SQRT(SUMXMY2(5_Ponderada!C501:Q501,5_Ponderada!$C$7:$Q$7))</f>
        <v>0.00730755158964618</v>
      </c>
      <c r="E498" s="21" t="n">
        <f aca="false">D498/(C498+D498)</f>
        <v>0.286376745121361</v>
      </c>
      <c r="F498" s="15" t="n">
        <f aca="false">MIN(5,INT(E498/0.2)+1)</f>
        <v>2</v>
      </c>
      <c r="G498" s="21" t="n">
        <v>0.286376745121361</v>
      </c>
      <c r="H498" s="28" t="n">
        <f aca="false">ABS(E498-G498)</f>
        <v>0</v>
      </c>
      <c r="I498" s="15" t="n">
        <v>2</v>
      </c>
      <c r="J498" s="21" t="n">
        <f aca="false">(SUMPRODUCT(2_Matriz_decision!C498:Q498,5_Ponderada!$C$5:$Q$5)-1)/4</f>
        <v>0.340590100282614</v>
      </c>
      <c r="K498" s="15" t="n">
        <f aca="false">MIN(5,INT(J498/0.2)+1)</f>
        <v>2</v>
      </c>
      <c r="L498" s="21" t="n">
        <v>0.340590100282615</v>
      </c>
    </row>
    <row r="499" customFormat="false" ht="15" hidden="false" customHeight="false" outlineLevel="0" collapsed="false">
      <c r="A499" s="15" t="n">
        <f aca="false">2_Matriz_decision!A499</f>
        <v>495</v>
      </c>
      <c r="B499" s="16" t="n">
        <f aca="false">2_Matriz_decision!B499</f>
        <v>49.679</v>
      </c>
      <c r="C499" s="21" t="n">
        <f aca="false">SQRT(SUMXMY2(5_Ponderada!C502:Q502,5_Ponderada!$C$6:$Q$6))</f>
        <v>0.0182018263645614</v>
      </c>
      <c r="D499" s="21" t="n">
        <f aca="false">SQRT(SUMXMY2(5_Ponderada!C502:Q502,5_Ponderada!$C$7:$Q$7))</f>
        <v>0.00726041750537889</v>
      </c>
      <c r="E499" s="21" t="n">
        <f aca="false">D499/(C499+D499)</f>
        <v>0.285144449266321</v>
      </c>
      <c r="F499" s="15" t="n">
        <f aca="false">MIN(5,INT(E499/0.2)+1)</f>
        <v>2</v>
      </c>
      <c r="G499" s="21" t="n">
        <v>0.285144449266321</v>
      </c>
      <c r="H499" s="28" t="n">
        <f aca="false">ABS(E499-G499)</f>
        <v>0</v>
      </c>
      <c r="I499" s="15" t="n">
        <v>2</v>
      </c>
      <c r="J499" s="21" t="n">
        <f aca="false">(SUMPRODUCT(2_Matriz_decision!C499:Q499,5_Ponderada!$C$5:$Q$5)-1)/4</f>
        <v>0.339317322536036</v>
      </c>
      <c r="K499" s="15" t="n">
        <f aca="false">MIN(5,INT(J499/0.2)+1)</f>
        <v>2</v>
      </c>
      <c r="L499" s="21" t="n">
        <v>0.339317322536036</v>
      </c>
    </row>
    <row r="500" customFormat="false" ht="15" hidden="false" customHeight="false" outlineLevel="0" collapsed="false">
      <c r="A500" s="15" t="n">
        <f aca="false">2_Matriz_decision!A500</f>
        <v>496</v>
      </c>
      <c r="B500" s="16" t="n">
        <f aca="false">2_Matriz_decision!B500</f>
        <v>49.778</v>
      </c>
      <c r="C500" s="21" t="n">
        <f aca="false">SQRT(SUMXMY2(5_Ponderada!C503:Q503,5_Ponderada!$C$6:$Q$6))</f>
        <v>0.0182152711295022</v>
      </c>
      <c r="D500" s="21" t="n">
        <f aca="false">SQRT(SUMXMY2(5_Ponderada!C503:Q503,5_Ponderada!$C$7:$Q$7))</f>
        <v>0.00720347612076882</v>
      </c>
      <c r="E500" s="21" t="n">
        <f aca="false">D500/(C500+D500)</f>
        <v>0.283392255717559</v>
      </c>
      <c r="F500" s="15" t="n">
        <f aca="false">MIN(5,INT(E500/0.2)+1)</f>
        <v>2</v>
      </c>
      <c r="G500" s="21" t="n">
        <v>0.283392255717559</v>
      </c>
      <c r="H500" s="28" t="n">
        <f aca="false">ABS(E500-G500)</f>
        <v>0</v>
      </c>
      <c r="I500" s="15" t="n">
        <v>2</v>
      </c>
      <c r="J500" s="21" t="n">
        <f aca="false">(SUMPRODUCT(2_Matriz_decision!C500:Q500,5_Ponderada!$C$5:$Q$5)-1)/4</f>
        <v>0.328925999068661</v>
      </c>
      <c r="K500" s="15" t="n">
        <f aca="false">MIN(5,INT(J500/0.2)+1)</f>
        <v>2</v>
      </c>
      <c r="L500" s="21" t="n">
        <v>0.328925999068661</v>
      </c>
    </row>
    <row r="501" customFormat="false" ht="15" hidden="false" customHeight="false" outlineLevel="0" collapsed="false">
      <c r="A501" s="15" t="n">
        <f aca="false">2_Matriz_decision!A501</f>
        <v>497</v>
      </c>
      <c r="B501" s="16" t="n">
        <f aca="false">2_Matriz_decision!B501</f>
        <v>49.877</v>
      </c>
      <c r="C501" s="21" t="n">
        <f aca="false">SQRT(SUMXMY2(5_Ponderada!C504:Q504,5_Ponderada!$C$6:$Q$6))</f>
        <v>0.018203215708259</v>
      </c>
      <c r="D501" s="21" t="n">
        <f aca="false">SQRT(SUMXMY2(5_Ponderada!C504:Q504,5_Ponderada!$C$7:$Q$7))</f>
        <v>0.00725623452610823</v>
      </c>
      <c r="E501" s="21" t="n">
        <f aca="false">D501/(C501+D501)</f>
        <v>0.285011438161896</v>
      </c>
      <c r="F501" s="15" t="n">
        <f aca="false">MIN(5,INT(E501/0.2)+1)</f>
        <v>2</v>
      </c>
      <c r="G501" s="21" t="n">
        <v>0.285011438161896</v>
      </c>
      <c r="H501" s="28" t="n">
        <f aca="false">ABS(E501-G501)</f>
        <v>0</v>
      </c>
      <c r="I501" s="15" t="n">
        <v>2</v>
      </c>
      <c r="J501" s="21" t="n">
        <f aca="false">(SUMPRODUCT(2_Matriz_decision!C501:Q501,5_Ponderada!$C$5:$Q$5)-1)/4</f>
        <v>0.338283566597221</v>
      </c>
      <c r="K501" s="15" t="n">
        <f aca="false">MIN(5,INT(J501/0.2)+1)</f>
        <v>2</v>
      </c>
      <c r="L501" s="21" t="n">
        <v>0.338283566597221</v>
      </c>
    </row>
    <row r="502" customFormat="false" ht="15" hidden="false" customHeight="false" outlineLevel="0" collapsed="false">
      <c r="A502" s="15" t="n">
        <f aca="false">2_Matriz_decision!A502</f>
        <v>498</v>
      </c>
      <c r="B502" s="16" t="n">
        <f aca="false">2_Matriz_decision!B502</f>
        <v>49.975</v>
      </c>
      <c r="C502" s="21" t="n">
        <f aca="false">SQRT(SUMXMY2(5_Ponderada!C505:Q505,5_Ponderada!$C$6:$Q$6))</f>
        <v>0.0182039223547419</v>
      </c>
      <c r="D502" s="21" t="n">
        <f aca="false">SQRT(SUMXMY2(5_Ponderada!C505:Q505,5_Ponderada!$C$7:$Q$7))</f>
        <v>0.00725628332625029</v>
      </c>
      <c r="E502" s="21" t="n">
        <f aca="false">D502/(C502+D502)</f>
        <v>0.285004898120976</v>
      </c>
      <c r="F502" s="15" t="n">
        <f aca="false">MIN(5,INT(E502/0.2)+1)</f>
        <v>2</v>
      </c>
      <c r="G502" s="21" t="n">
        <v>0.285004898120976</v>
      </c>
      <c r="H502" s="28" t="n">
        <f aca="false">ABS(E502-G502)</f>
        <v>0</v>
      </c>
      <c r="I502" s="15" t="n">
        <v>2</v>
      </c>
      <c r="J502" s="21" t="n">
        <f aca="false">(SUMPRODUCT(2_Matriz_decision!C502:Q502,5_Ponderada!$C$5:$Q$5)-1)/4</f>
        <v>0.338395129092396</v>
      </c>
      <c r="K502" s="15" t="n">
        <f aca="false">MIN(5,INT(J502/0.2)+1)</f>
        <v>2</v>
      </c>
      <c r="L502" s="21" t="n">
        <v>0.338395129092397</v>
      </c>
    </row>
    <row r="503" customFormat="false" ht="15" hidden="false" customHeight="false" outlineLevel="0" collapsed="false">
      <c r="A503" s="15" t="n">
        <f aca="false">2_Matriz_decision!A503</f>
        <v>499</v>
      </c>
      <c r="B503" s="16" t="n">
        <f aca="false">2_Matriz_decision!B503</f>
        <v>50.074</v>
      </c>
      <c r="C503" s="21" t="n">
        <f aca="false">SQRT(SUMXMY2(5_Ponderada!C506:Q506,5_Ponderada!$C$6:$Q$6))</f>
        <v>0.0182068274871295</v>
      </c>
      <c r="D503" s="21" t="n">
        <f aca="false">SQRT(SUMXMY2(5_Ponderada!C506:Q506,5_Ponderada!$C$7:$Q$7))</f>
        <v>0.00725398005952737</v>
      </c>
      <c r="E503" s="21" t="n">
        <f aca="false">D503/(C503+D503)</f>
        <v>0.284907697693188</v>
      </c>
      <c r="F503" s="15" t="n">
        <f aca="false">MIN(5,INT(E503/0.2)+1)</f>
        <v>2</v>
      </c>
      <c r="G503" s="21" t="n">
        <v>0.284907697693188</v>
      </c>
      <c r="H503" s="28" t="n">
        <f aca="false">ABS(E503-G503)</f>
        <v>0</v>
      </c>
      <c r="I503" s="15" t="n">
        <v>2</v>
      </c>
      <c r="J503" s="21" t="n">
        <f aca="false">(SUMPRODUCT(2_Matriz_decision!C503:Q503,5_Ponderada!$C$5:$Q$5)-1)/4</f>
        <v>0.33803305566732</v>
      </c>
      <c r="K503" s="15" t="n">
        <f aca="false">MIN(5,INT(J503/0.2)+1)</f>
        <v>2</v>
      </c>
      <c r="L503" s="21" t="n">
        <v>0.33803305566732</v>
      </c>
    </row>
    <row r="504" customFormat="false" ht="15" hidden="false" customHeight="false" outlineLevel="0" collapsed="false">
      <c r="A504" s="15" t="n">
        <f aca="false">2_Matriz_decision!A504</f>
        <v>500</v>
      </c>
      <c r="B504" s="16" t="n">
        <f aca="false">2_Matriz_decision!B504</f>
        <v>50.173</v>
      </c>
      <c r="C504" s="21" t="n">
        <f aca="false">SQRT(SUMXMY2(5_Ponderada!C507:Q507,5_Ponderada!$C$6:$Q$6))</f>
        <v>0.0182070524062452</v>
      </c>
      <c r="D504" s="21" t="n">
        <f aca="false">SQRT(SUMXMY2(5_Ponderada!C507:Q507,5_Ponderada!$C$7:$Q$7))</f>
        <v>0.00725371286456736</v>
      </c>
      <c r="E504" s="21" t="n">
        <f aca="false">D504/(C504+D504)</f>
        <v>0.284897676382209</v>
      </c>
      <c r="F504" s="15" t="n">
        <f aca="false">MIN(5,INT(E504/0.2)+1)</f>
        <v>2</v>
      </c>
      <c r="G504" s="21" t="n">
        <v>0.284897676382209</v>
      </c>
      <c r="H504" s="28" t="n">
        <f aca="false">ABS(E504-G504)</f>
        <v>0</v>
      </c>
      <c r="I504" s="15" t="n">
        <v>2</v>
      </c>
      <c r="J504" s="21" t="n">
        <f aca="false">(SUMPRODUCT(2_Matriz_decision!C504:Q504,5_Ponderada!$C$5:$Q$5)-1)/4</f>
        <v>0.337976810402997</v>
      </c>
      <c r="K504" s="15" t="n">
        <f aca="false">MIN(5,INT(J504/0.2)+1)</f>
        <v>2</v>
      </c>
      <c r="L504" s="21" t="n">
        <v>0.337976810402997</v>
      </c>
    </row>
    <row r="505" customFormat="false" ht="15" hidden="false" customHeight="false" outlineLevel="0" collapsed="false">
      <c r="A505" s="15" t="n">
        <f aca="false">2_Matriz_decision!A505</f>
        <v>501</v>
      </c>
      <c r="B505" s="16" t="n">
        <f aca="false">2_Matriz_decision!B505</f>
        <v>50.272</v>
      </c>
      <c r="C505" s="21" t="n">
        <f aca="false">SQRT(SUMXMY2(5_Ponderada!C508:Q508,5_Ponderada!$C$6:$Q$6))</f>
        <v>0.0182033682981301</v>
      </c>
      <c r="D505" s="21" t="n">
        <f aca="false">SQRT(SUMXMY2(5_Ponderada!C508:Q508,5_Ponderada!$C$7:$Q$7))</f>
        <v>0.00725832761248203</v>
      </c>
      <c r="E505" s="21" t="n">
        <f aca="false">D505/(C505+D505)</f>
        <v>0.285068505961414</v>
      </c>
      <c r="F505" s="15" t="n">
        <f aca="false">MIN(5,INT(E505/0.2)+1)</f>
        <v>2</v>
      </c>
      <c r="G505" s="21" t="n">
        <v>0.285068505961414</v>
      </c>
      <c r="H505" s="28" t="n">
        <f aca="false">ABS(E505-G505)</f>
        <v>0</v>
      </c>
      <c r="I505" s="15" t="n">
        <v>2</v>
      </c>
      <c r="J505" s="21" t="n">
        <f aca="false">(SUMPRODUCT(2_Matriz_decision!C505:Q505,5_Ponderada!$C$5:$Q$5)-1)/4</f>
        <v>0.338914231475052</v>
      </c>
      <c r="K505" s="15" t="n">
        <f aca="false">MIN(5,INT(J505/0.2)+1)</f>
        <v>2</v>
      </c>
      <c r="L505" s="21" t="n">
        <v>0.338914231475052</v>
      </c>
    </row>
    <row r="506" customFormat="false" ht="15" hidden="false" customHeight="false" outlineLevel="0" collapsed="false">
      <c r="A506" s="15" t="n">
        <f aca="false">2_Matriz_decision!A506</f>
        <v>502</v>
      </c>
      <c r="B506" s="16" t="n">
        <f aca="false">2_Matriz_decision!B506</f>
        <v>50.371</v>
      </c>
      <c r="C506" s="21" t="n">
        <f aca="false">SQRT(SUMXMY2(5_Ponderada!C509:Q509,5_Ponderada!$C$6:$Q$6))</f>
        <v>0.0182038394650545</v>
      </c>
      <c r="D506" s="21" t="n">
        <f aca="false">SQRT(SUMXMY2(5_Ponderada!C509:Q509,5_Ponderada!$C$7:$Q$7))</f>
        <v>0.007257708273876</v>
      </c>
      <c r="E506" s="21" t="n">
        <f aca="false">D506/(C506+D506)</f>
        <v>0.285045840429371</v>
      </c>
      <c r="F506" s="15" t="n">
        <f aca="false">MIN(5,INT(E506/0.2)+1)</f>
        <v>2</v>
      </c>
      <c r="G506" s="21" t="n">
        <v>0.285045840429371</v>
      </c>
      <c r="H506" s="28" t="n">
        <f aca="false">ABS(E506-G506)</f>
        <v>0</v>
      </c>
      <c r="I506" s="15" t="n">
        <v>2</v>
      </c>
      <c r="J506" s="21" t="n">
        <f aca="false">(SUMPRODUCT(2_Matriz_decision!C506:Q506,5_Ponderada!$C$5:$Q$5)-1)/4</f>
        <v>0.338792366735685</v>
      </c>
      <c r="K506" s="15" t="n">
        <f aca="false">MIN(5,INT(J506/0.2)+1)</f>
        <v>2</v>
      </c>
      <c r="L506" s="21" t="n">
        <v>0.338792366735685</v>
      </c>
    </row>
    <row r="507" customFormat="false" ht="15" hidden="false" customHeight="false" outlineLevel="0" collapsed="false">
      <c r="A507" s="15" t="n">
        <f aca="false">2_Matriz_decision!A507</f>
        <v>503</v>
      </c>
      <c r="B507" s="16" t="n">
        <f aca="false">2_Matriz_decision!B507</f>
        <v>50.471</v>
      </c>
      <c r="C507" s="21" t="n">
        <f aca="false">SQRT(SUMXMY2(5_Ponderada!C510:Q510,5_Ponderada!$C$6:$Q$6))</f>
        <v>0.0182019331169015</v>
      </c>
      <c r="D507" s="21" t="n">
        <f aca="false">SQRT(SUMXMY2(5_Ponderada!C510:Q510,5_Ponderada!$C$7:$Q$7))</f>
        <v>0.00726026964092073</v>
      </c>
      <c r="E507" s="21" t="n">
        <f aca="false">D507/(C507+D507)</f>
        <v>0.285139102456103</v>
      </c>
      <c r="F507" s="15" t="n">
        <f aca="false">MIN(5,INT(E507/0.2)+1)</f>
        <v>2</v>
      </c>
      <c r="G507" s="21" t="n">
        <v>0.285139102456103</v>
      </c>
      <c r="H507" s="28" t="n">
        <f aca="false">ABS(E507-G507)</f>
        <v>0</v>
      </c>
      <c r="I507" s="15" t="n">
        <v>2</v>
      </c>
      <c r="J507" s="21" t="n">
        <f aca="false">(SUMPRODUCT(2_Matriz_decision!C507:Q507,5_Ponderada!$C$5:$Q$5)-1)/4</f>
        <v>0.339289199903874</v>
      </c>
      <c r="K507" s="15" t="n">
        <f aca="false">MIN(5,INT(J507/0.2)+1)</f>
        <v>2</v>
      </c>
      <c r="L507" s="21" t="n">
        <v>0.339289199903875</v>
      </c>
    </row>
    <row r="508" customFormat="false" ht="15" hidden="false" customHeight="false" outlineLevel="0" collapsed="false">
      <c r="A508" s="15" t="n">
        <f aca="false">2_Matriz_decision!A508</f>
        <v>504</v>
      </c>
      <c r="B508" s="16" t="n">
        <f aca="false">2_Matriz_decision!B508</f>
        <v>50.57</v>
      </c>
      <c r="C508" s="21" t="n">
        <f aca="false">SQRT(SUMXMY2(5_Ponderada!C511:Q511,5_Ponderada!$C$6:$Q$6))</f>
        <v>0.0181953940451447</v>
      </c>
      <c r="D508" s="21" t="n">
        <f aca="false">SQRT(SUMXMY2(5_Ponderada!C511:Q511,5_Ponderada!$C$7:$Q$7))</f>
        <v>0.00734828762969553</v>
      </c>
      <c r="E508" s="21" t="n">
        <f aca="false">D508/(C508+D508)</f>
        <v>0.287675352489746</v>
      </c>
      <c r="F508" s="15" t="n">
        <f aca="false">MIN(5,INT(E508/0.2)+1)</f>
        <v>2</v>
      </c>
      <c r="G508" s="21" t="n">
        <v>0.287675352489746</v>
      </c>
      <c r="H508" s="28" t="n">
        <f aca="false">ABS(E508-G508)</f>
        <v>0</v>
      </c>
      <c r="I508" s="15" t="n">
        <v>2</v>
      </c>
      <c r="J508" s="21" t="n">
        <f aca="false">(SUMPRODUCT(2_Matriz_decision!C508:Q508,5_Ponderada!$C$5:$Q$5)-1)/4</f>
        <v>0.351745216447405</v>
      </c>
      <c r="K508" s="15" t="n">
        <f aca="false">MIN(5,INT(J508/0.2)+1)</f>
        <v>2</v>
      </c>
      <c r="L508" s="21" t="n">
        <v>0.351745216447406</v>
      </c>
    </row>
    <row r="509" customFormat="false" ht="15" hidden="false" customHeight="false" outlineLevel="0" collapsed="false">
      <c r="A509" s="15" t="n">
        <f aca="false">2_Matriz_decision!A509</f>
        <v>505</v>
      </c>
      <c r="B509" s="16" t="n">
        <f aca="false">2_Matriz_decision!B509</f>
        <v>50.67</v>
      </c>
      <c r="C509" s="21" t="n">
        <f aca="false">SQRT(SUMXMY2(5_Ponderada!C512:Q512,5_Ponderada!$C$6:$Q$6))</f>
        <v>0.0182646000005231</v>
      </c>
      <c r="D509" s="21" t="n">
        <f aca="false">SQRT(SUMXMY2(5_Ponderada!C512:Q512,5_Ponderada!$C$7:$Q$7))</f>
        <v>0.00604621612082023</v>
      </c>
      <c r="E509" s="21" t="n">
        <f aca="false">D509/(C509+D509)</f>
        <v>0.248704777768116</v>
      </c>
      <c r="F509" s="15" t="n">
        <f aca="false">MIN(5,INT(E509/0.2)+1)</f>
        <v>2</v>
      </c>
      <c r="G509" s="21" t="n">
        <v>0.248704777768116</v>
      </c>
      <c r="H509" s="28" t="n">
        <f aca="false">ABS(E509-G509)</f>
        <v>0</v>
      </c>
      <c r="I509" s="15" t="n">
        <v>2</v>
      </c>
      <c r="J509" s="21" t="n">
        <f aca="false">(SUMPRODUCT(2_Matriz_decision!C509:Q509,5_Ponderada!$C$5:$Q$5)-1)/4</f>
        <v>0.305572961303742</v>
      </c>
      <c r="K509" s="15" t="n">
        <f aca="false">MIN(5,INT(J509/0.2)+1)</f>
        <v>2</v>
      </c>
      <c r="L509" s="21" t="n">
        <v>0.305572961303742</v>
      </c>
    </row>
    <row r="510" customFormat="false" ht="15" hidden="false" customHeight="false" outlineLevel="0" collapsed="false">
      <c r="A510" s="15" t="n">
        <f aca="false">2_Matriz_decision!A510</f>
        <v>506</v>
      </c>
      <c r="B510" s="16" t="n">
        <f aca="false">2_Matriz_decision!B510</f>
        <v>50.769</v>
      </c>
      <c r="C510" s="21" t="n">
        <f aca="false">SQRT(SUMXMY2(5_Ponderada!C513:Q513,5_Ponderada!$C$6:$Q$6))</f>
        <v>0.0197332195410739</v>
      </c>
      <c r="D510" s="21" t="n">
        <f aca="false">SQRT(SUMXMY2(5_Ponderada!C513:Q513,5_Ponderada!$C$7:$Q$7))</f>
        <v>0.0052760393202443</v>
      </c>
      <c r="E510" s="21" t="n">
        <f aca="false">D510/(C510+D510)</f>
        <v>0.210963441559828</v>
      </c>
      <c r="F510" s="15" t="n">
        <f aca="false">MIN(5,INT(E510/0.2)+1)</f>
        <v>2</v>
      </c>
      <c r="G510" s="21" t="n">
        <v>0.210963441559828</v>
      </c>
      <c r="H510" s="28" t="n">
        <f aca="false">ABS(E510-G510)</f>
        <v>0</v>
      </c>
      <c r="I510" s="15" t="n">
        <v>2</v>
      </c>
      <c r="J510" s="21" t="n">
        <f aca="false">(SUMPRODUCT(2_Matriz_decision!C510:Q510,5_Ponderada!$C$5:$Q$5)-1)/4</f>
        <v>0.247876587815368</v>
      </c>
      <c r="K510" s="15" t="n">
        <f aca="false">MIN(5,INT(J510/0.2)+1)</f>
        <v>2</v>
      </c>
      <c r="L510" s="21" t="n">
        <v>0.247876587815368</v>
      </c>
    </row>
    <row r="511" customFormat="false" ht="15" hidden="false" customHeight="false" outlineLevel="0" collapsed="false">
      <c r="A511" s="15" t="n">
        <f aca="false">2_Matriz_decision!A511</f>
        <v>507</v>
      </c>
      <c r="B511" s="16" t="n">
        <f aca="false">2_Matriz_decision!B511</f>
        <v>50.869</v>
      </c>
      <c r="C511" s="21" t="n">
        <f aca="false">SQRT(SUMXMY2(5_Ponderada!C514:Q514,5_Ponderada!$C$6:$Q$6))</f>
        <v>0.0197495295127677</v>
      </c>
      <c r="D511" s="21" t="n">
        <f aca="false">SQRT(SUMXMY2(5_Ponderada!C514:Q514,5_Ponderada!$C$7:$Q$7))</f>
        <v>0.00517305173862013</v>
      </c>
      <c r="E511" s="21" t="n">
        <f aca="false">D511/(C511+D511)</f>
        <v>0.207564845970041</v>
      </c>
      <c r="F511" s="15" t="n">
        <f aca="false">MIN(5,INT(E511/0.2)+1)</f>
        <v>2</v>
      </c>
      <c r="G511" s="21" t="n">
        <v>0.207564845970041</v>
      </c>
      <c r="H511" s="28" t="n">
        <f aca="false">ABS(E511-G511)</f>
        <v>0</v>
      </c>
      <c r="I511" s="15" t="n">
        <v>2</v>
      </c>
      <c r="J511" s="21" t="n">
        <f aca="false">(SUMPRODUCT(2_Matriz_decision!C511:Q511,5_Ponderada!$C$5:$Q$5)-1)/4</f>
        <v>0.236310376551288</v>
      </c>
      <c r="K511" s="15" t="n">
        <f aca="false">MIN(5,INT(J511/0.2)+1)</f>
        <v>2</v>
      </c>
      <c r="L511" s="21" t="n">
        <v>0.236310376551288</v>
      </c>
    </row>
    <row r="512" customFormat="false" ht="15" hidden="false" customHeight="false" outlineLevel="0" collapsed="false">
      <c r="A512" s="15" t="n">
        <f aca="false">2_Matriz_decision!A512</f>
        <v>508</v>
      </c>
      <c r="B512" s="16" t="n">
        <f aca="false">2_Matriz_decision!B512</f>
        <v>50.969</v>
      </c>
      <c r="C512" s="21" t="n">
        <f aca="false">SQRT(SUMXMY2(5_Ponderada!C515:Q515,5_Ponderada!$C$6:$Q$6))</f>
        <v>0.0197407261664348</v>
      </c>
      <c r="D512" s="21" t="n">
        <f aca="false">SQRT(SUMXMY2(5_Ponderada!C515:Q515,5_Ponderada!$C$7:$Q$7))</f>
        <v>0.00524406228598638</v>
      </c>
      <c r="E512" s="21" t="n">
        <f aca="false">D512/(C512+D512)</f>
        <v>0.209890201630993</v>
      </c>
      <c r="F512" s="15" t="n">
        <f aca="false">MIN(5,INT(E512/0.2)+1)</f>
        <v>2</v>
      </c>
      <c r="G512" s="21" t="n">
        <v>0.209890201630993</v>
      </c>
      <c r="H512" s="28" t="n">
        <f aca="false">ABS(E512-G512)</f>
        <v>0</v>
      </c>
      <c r="I512" s="15" t="n">
        <v>2</v>
      </c>
      <c r="J512" s="21" t="n">
        <f aca="false">(SUMPRODUCT(2_Matriz_decision!C512:Q512,5_Ponderada!$C$5:$Q$5)-1)/4</f>
        <v>0.245516401625205</v>
      </c>
      <c r="K512" s="15" t="n">
        <f aca="false">MIN(5,INT(J512/0.2)+1)</f>
        <v>2</v>
      </c>
      <c r="L512" s="21" t="n">
        <v>0.245516401625206</v>
      </c>
    </row>
    <row r="513" customFormat="false" ht="15" hidden="false" customHeight="false" outlineLevel="0" collapsed="false">
      <c r="A513" s="15" t="n">
        <f aca="false">2_Matriz_decision!A513</f>
        <v>509</v>
      </c>
      <c r="B513" s="16" t="n">
        <f aca="false">2_Matriz_decision!B513</f>
        <v>51.068</v>
      </c>
      <c r="C513" s="21" t="n">
        <f aca="false">SQRT(SUMXMY2(5_Ponderada!C516:Q516,5_Ponderada!$C$6:$Q$6))</f>
        <v>0.0197693969712928</v>
      </c>
      <c r="D513" s="21" t="n">
        <f aca="false">SQRT(SUMXMY2(5_Ponderada!C516:Q516,5_Ponderada!$C$7:$Q$7))</f>
        <v>0.0052915310127661</v>
      </c>
      <c r="E513" s="21" t="n">
        <f aca="false">D513/(C513+D513)</f>
        <v>0.211146650919392</v>
      </c>
      <c r="F513" s="15" t="n">
        <f aca="false">MIN(5,INT(E513/0.2)+1)</f>
        <v>2</v>
      </c>
      <c r="G513" s="21" t="n">
        <v>0.211146650919392</v>
      </c>
      <c r="H513" s="28" t="n">
        <f aca="false">ABS(E513-G513)</f>
        <v>0</v>
      </c>
      <c r="I513" s="15" t="n">
        <v>2</v>
      </c>
      <c r="J513" s="21" t="n">
        <f aca="false">(SUMPRODUCT(2_Matriz_decision!C513:Q513,5_Ponderada!$C$5:$Q$5)-1)/4</f>
        <v>0.244372003178296</v>
      </c>
      <c r="K513" s="15" t="n">
        <f aca="false">MIN(5,INT(J513/0.2)+1)</f>
        <v>2</v>
      </c>
      <c r="L513" s="21" t="n">
        <v>0.244372003178296</v>
      </c>
    </row>
    <row r="514" customFormat="false" ht="15" hidden="false" customHeight="false" outlineLevel="0" collapsed="false">
      <c r="A514" s="15" t="n">
        <f aca="false">2_Matriz_decision!A514</f>
        <v>510</v>
      </c>
      <c r="B514" s="16" t="n">
        <f aca="false">2_Matriz_decision!B514</f>
        <v>51.168</v>
      </c>
      <c r="C514" s="21" t="n">
        <f aca="false">SQRT(SUMXMY2(5_Ponderada!C517:Q517,5_Ponderada!$C$6:$Q$6))</f>
        <v>0.0198044620202969</v>
      </c>
      <c r="D514" s="21" t="n">
        <f aca="false">SQRT(SUMXMY2(5_Ponderada!C517:Q517,5_Ponderada!$C$7:$Q$7))</f>
        <v>0.00527605936921071</v>
      </c>
      <c r="E514" s="21" t="n">
        <f aca="false">D514/(C514+D514)</f>
        <v>0.210364820063827</v>
      </c>
      <c r="F514" s="15" t="n">
        <f aca="false">MIN(5,INT(E514/0.2)+1)</f>
        <v>2</v>
      </c>
      <c r="G514" s="21" t="n">
        <v>0.210364820063827</v>
      </c>
      <c r="H514" s="28" t="n">
        <f aca="false">ABS(E514-G514)</f>
        <v>0</v>
      </c>
      <c r="I514" s="15" t="n">
        <v>2</v>
      </c>
      <c r="J514" s="21" t="n">
        <f aca="false">(SUMPRODUCT(2_Matriz_decision!C514:Q514,5_Ponderada!$C$5:$Q$5)-1)/4</f>
        <v>0.233593225614742</v>
      </c>
      <c r="K514" s="15" t="n">
        <f aca="false">MIN(5,INT(J514/0.2)+1)</f>
        <v>2</v>
      </c>
      <c r="L514" s="21" t="n">
        <v>0.233593225614743</v>
      </c>
    </row>
    <row r="515" customFormat="false" ht="15" hidden="false" customHeight="false" outlineLevel="0" collapsed="false">
      <c r="A515" s="15" t="n">
        <f aca="false">2_Matriz_decision!A515</f>
        <v>511</v>
      </c>
      <c r="B515" s="16" t="n">
        <f aca="false">2_Matriz_decision!B515</f>
        <v>51.269</v>
      </c>
      <c r="C515" s="21" t="n">
        <f aca="false">SQRT(SUMXMY2(5_Ponderada!C518:Q518,5_Ponderada!$C$6:$Q$6))</f>
        <v>0.0198023189223368</v>
      </c>
      <c r="D515" s="21" t="n">
        <f aca="false">SQRT(SUMXMY2(5_Ponderada!C518:Q518,5_Ponderada!$C$7:$Q$7))</f>
        <v>0.00527983039913632</v>
      </c>
      <c r="E515" s="21" t="n">
        <f aca="false">D515/(C515+D515)</f>
        <v>0.210501513704657</v>
      </c>
      <c r="F515" s="15" t="n">
        <f aca="false">MIN(5,INT(E515/0.2)+1)</f>
        <v>2</v>
      </c>
      <c r="G515" s="21" t="n">
        <v>0.210501513704657</v>
      </c>
      <c r="H515" s="28" t="n">
        <f aca="false">ABS(E515-G515)</f>
        <v>0</v>
      </c>
      <c r="I515" s="15" t="n">
        <v>2</v>
      </c>
      <c r="J515" s="21" t="n">
        <f aca="false">(SUMPRODUCT(2_Matriz_decision!C515:Q515,5_Ponderada!$C$5:$Q$5)-1)/4</f>
        <v>0.234174426679417</v>
      </c>
      <c r="K515" s="15" t="n">
        <f aca="false">MIN(5,INT(J515/0.2)+1)</f>
        <v>2</v>
      </c>
      <c r="L515" s="21" t="n">
        <v>0.234174426679417</v>
      </c>
    </row>
    <row r="516" customFormat="false" ht="15" hidden="false" customHeight="false" outlineLevel="0" collapsed="false">
      <c r="A516" s="15" t="n">
        <f aca="false">2_Matriz_decision!A516</f>
        <v>512</v>
      </c>
      <c r="B516" s="16" t="n">
        <f aca="false">2_Matriz_decision!B516</f>
        <v>51.369</v>
      </c>
      <c r="C516" s="21" t="n">
        <f aca="false">SQRT(SUMXMY2(5_Ponderada!C519:Q519,5_Ponderada!$C$6:$Q$6))</f>
        <v>0.019814819396067</v>
      </c>
      <c r="D516" s="21" t="n">
        <f aca="false">SQRT(SUMXMY2(5_Ponderada!C519:Q519,5_Ponderada!$C$7:$Q$7))</f>
        <v>0.00520184853864148</v>
      </c>
      <c r="E516" s="21" t="n">
        <f aca="false">D516/(C516+D516)</f>
        <v>0.207935307460525</v>
      </c>
      <c r="F516" s="15" t="n">
        <f aca="false">MIN(5,INT(E516/0.2)+1)</f>
        <v>2</v>
      </c>
      <c r="G516" s="21" t="n">
        <v>0.207935307460525</v>
      </c>
      <c r="H516" s="28" t="n">
        <f aca="false">ABS(E516-G516)</f>
        <v>0</v>
      </c>
      <c r="I516" s="15" t="n">
        <v>2</v>
      </c>
      <c r="J516" s="21" t="n">
        <f aca="false">(SUMPRODUCT(2_Matriz_decision!C516:Q516,5_Ponderada!$C$5:$Q$5)-1)/4</f>
        <v>0.223918490004797</v>
      </c>
      <c r="K516" s="15" t="n">
        <f aca="false">MIN(5,INT(J516/0.2)+1)</f>
        <v>2</v>
      </c>
      <c r="L516" s="21" t="n">
        <v>0.223918490004798</v>
      </c>
    </row>
    <row r="517" customFormat="false" ht="15" hidden="false" customHeight="false" outlineLevel="0" collapsed="false">
      <c r="A517" s="15" t="n">
        <f aca="false">2_Matriz_decision!A517</f>
        <v>513</v>
      </c>
      <c r="B517" s="16" t="n">
        <f aca="false">2_Matriz_decision!B517</f>
        <v>51.47</v>
      </c>
      <c r="C517" s="21" t="n">
        <f aca="false">SQRT(SUMXMY2(5_Ponderada!C520:Q520,5_Ponderada!$C$6:$Q$6))</f>
        <v>0.0198022505987535</v>
      </c>
      <c r="D517" s="21" t="n">
        <f aca="false">SQRT(SUMXMY2(5_Ponderada!C520:Q520,5_Ponderada!$C$7:$Q$7))</f>
        <v>0.00527995504755875</v>
      </c>
      <c r="E517" s="21" t="n">
        <f aca="false">D517/(C517+D517)</f>
        <v>0.210506010596203</v>
      </c>
      <c r="F517" s="15" t="n">
        <f aca="false">MIN(5,INT(E517/0.2)+1)</f>
        <v>2</v>
      </c>
      <c r="G517" s="21" t="n">
        <v>0.210506010596203</v>
      </c>
      <c r="H517" s="28" t="n">
        <f aca="false">ABS(E517-G517)</f>
        <v>0</v>
      </c>
      <c r="I517" s="15" t="n">
        <v>2</v>
      </c>
      <c r="J517" s="21" t="n">
        <f aca="false">(SUMPRODUCT(2_Matriz_decision!C517:Q517,5_Ponderada!$C$5:$Q$5)-1)/4</f>
        <v>0.234193175100858</v>
      </c>
      <c r="K517" s="15" t="n">
        <f aca="false">MIN(5,INT(J517/0.2)+1)</f>
        <v>2</v>
      </c>
      <c r="L517" s="21" t="n">
        <v>0.234193175100858</v>
      </c>
    </row>
    <row r="518" customFormat="false" ht="15" hidden="false" customHeight="false" outlineLevel="0" collapsed="false">
      <c r="A518" s="15" t="n">
        <f aca="false">2_Matriz_decision!A518</f>
        <v>514</v>
      </c>
      <c r="B518" s="16" t="n">
        <f aca="false">2_Matriz_decision!B518</f>
        <v>51.571</v>
      </c>
      <c r="C518" s="21" t="n">
        <f aca="false">SQRT(SUMXMY2(5_Ponderada!C521:Q521,5_Ponderada!$C$6:$Q$6))</f>
        <v>0.0198066536745997</v>
      </c>
      <c r="D518" s="21" t="n">
        <f aca="false">SQRT(SUMXMY2(5_Ponderada!C521:Q521,5_Ponderada!$C$7:$Q$7))</f>
        <v>0.0052724689237526</v>
      </c>
      <c r="E518" s="21" t="n">
        <f aca="false">D518/(C518+D518)</f>
        <v>0.210233388471852</v>
      </c>
      <c r="F518" s="15" t="n">
        <f aca="false">MIN(5,INT(E518/0.2)+1)</f>
        <v>2</v>
      </c>
      <c r="G518" s="21" t="n">
        <v>0.210233388471852</v>
      </c>
      <c r="H518" s="28" t="n">
        <f aca="false">ABS(E518-G518)</f>
        <v>0</v>
      </c>
      <c r="I518" s="15" t="n">
        <v>2</v>
      </c>
      <c r="J518" s="21" t="n">
        <f aca="false">(SUMPRODUCT(2_Matriz_decision!C518:Q518,5_Ponderada!$C$5:$Q$5)-1)/4</f>
        <v>0.233012024550068</v>
      </c>
      <c r="K518" s="15" t="n">
        <f aca="false">MIN(5,INT(J518/0.2)+1)</f>
        <v>2</v>
      </c>
      <c r="L518" s="21" t="n">
        <v>0.233012024550069</v>
      </c>
    </row>
    <row r="519" customFormat="false" ht="15" hidden="false" customHeight="false" outlineLevel="0" collapsed="false">
      <c r="A519" s="15" t="n">
        <f aca="false">2_Matriz_decision!A519</f>
        <v>515</v>
      </c>
      <c r="B519" s="16" t="n">
        <f aca="false">2_Matriz_decision!B519</f>
        <v>51.672</v>
      </c>
      <c r="C519" s="21" t="n">
        <f aca="false">SQRT(SUMXMY2(5_Ponderada!C522:Q522,5_Ponderada!$C$6:$Q$6))</f>
        <v>0.0198041130746706</v>
      </c>
      <c r="D519" s="21" t="n">
        <f aca="false">SQRT(SUMXMY2(5_Ponderada!C522:Q522,5_Ponderada!$C$7:$Q$7))</f>
        <v>0.00527665539540776</v>
      </c>
      <c r="E519" s="21" t="n">
        <f aca="false">D519/(C519+D519)</f>
        <v>0.210386511948503</v>
      </c>
      <c r="F519" s="15" t="n">
        <f aca="false">MIN(5,INT(E519/0.2)+1)</f>
        <v>2</v>
      </c>
      <c r="G519" s="21" t="n">
        <v>0.210386511948503</v>
      </c>
      <c r="H519" s="28" t="n">
        <f aca="false">ABS(E519-G519)</f>
        <v>0</v>
      </c>
      <c r="I519" s="15" t="n">
        <v>2</v>
      </c>
      <c r="J519" s="21" t="n">
        <f aca="false">(SUMPRODUCT(2_Matriz_decision!C519:Q519,5_Ponderada!$C$5:$Q$5)-1)/4</f>
        <v>0.233686967721948</v>
      </c>
      <c r="K519" s="15" t="n">
        <f aca="false">MIN(5,INT(J519/0.2)+1)</f>
        <v>2</v>
      </c>
      <c r="L519" s="21" t="n">
        <v>0.233686967721949</v>
      </c>
    </row>
    <row r="520" customFormat="false" ht="15" hidden="false" customHeight="false" outlineLevel="0" collapsed="false">
      <c r="A520" s="15" t="n">
        <f aca="false">2_Matriz_decision!A520</f>
        <v>516</v>
      </c>
      <c r="B520" s="16" t="n">
        <f aca="false">2_Matriz_decision!B520</f>
        <v>51.773</v>
      </c>
      <c r="C520" s="21" t="n">
        <f aca="false">SQRT(SUMXMY2(5_Ponderada!C523:Q523,5_Ponderada!$C$6:$Q$6))</f>
        <v>0.0198140018417507</v>
      </c>
      <c r="D520" s="21" t="n">
        <f aca="false">SQRT(SUMXMY2(5_Ponderada!C523:Q523,5_Ponderada!$C$7:$Q$7))</f>
        <v>0.0052033734966358</v>
      </c>
      <c r="E520" s="21" t="n">
        <f aca="false">D520/(C520+D520)</f>
        <v>0.207990383733492</v>
      </c>
      <c r="F520" s="15" t="n">
        <f aca="false">MIN(5,INT(E520/0.2)+1)</f>
        <v>2</v>
      </c>
      <c r="G520" s="21" t="n">
        <v>0.207990383733492</v>
      </c>
      <c r="H520" s="28" t="n">
        <f aca="false">ABS(E520-G520)</f>
        <v>0</v>
      </c>
      <c r="I520" s="15" t="n">
        <v>2</v>
      </c>
      <c r="J520" s="21" t="n">
        <f aca="false">(SUMPRODUCT(2_Matriz_decision!C520:Q520,5_Ponderada!$C$5:$Q$5)-1)/4</f>
        <v>0.224143471062091</v>
      </c>
      <c r="K520" s="15" t="n">
        <f aca="false">MIN(5,INT(J520/0.2)+1)</f>
        <v>2</v>
      </c>
      <c r="L520" s="21" t="n">
        <v>0.224143471062091</v>
      </c>
    </row>
    <row r="521" customFormat="false" ht="15" hidden="false" customHeight="false" outlineLevel="0" collapsed="false">
      <c r="A521" s="15" t="n">
        <f aca="false">2_Matriz_decision!A521</f>
        <v>517</v>
      </c>
      <c r="B521" s="16" t="n">
        <f aca="false">2_Matriz_decision!B521</f>
        <v>51.873</v>
      </c>
      <c r="C521" s="21" t="n">
        <f aca="false">SQRT(SUMXMY2(5_Ponderada!C524:Q524,5_Ponderada!$C$6:$Q$6))</f>
        <v>0.0198225415332767</v>
      </c>
      <c r="D521" s="21" t="n">
        <f aca="false">SQRT(SUMXMY2(5_Ponderada!C524:Q524,5_Ponderada!$C$7:$Q$7))</f>
        <v>0.005189306899954</v>
      </c>
      <c r="E521" s="21" t="n">
        <f aca="false">D521/(C521+D521)</f>
        <v>0.207473946350142</v>
      </c>
      <c r="F521" s="15" t="n">
        <f aca="false">MIN(5,INT(E521/0.2)+1)</f>
        <v>2</v>
      </c>
      <c r="G521" s="21" t="n">
        <v>0.207473946350143</v>
      </c>
      <c r="H521" s="28" t="n">
        <f aca="false">ABS(E521-G521)</f>
        <v>0</v>
      </c>
      <c r="I521" s="15" t="n">
        <v>2</v>
      </c>
      <c r="J521" s="21" t="n">
        <f aca="false">(SUMPRODUCT(2_Matriz_decision!C521:Q521,5_Ponderada!$C$5:$Q$5)-1)/4</f>
        <v>0.221884286278437</v>
      </c>
      <c r="K521" s="15" t="n">
        <f aca="false">MIN(5,INT(J521/0.2)+1)</f>
        <v>2</v>
      </c>
      <c r="L521" s="21" t="n">
        <v>0.221884286278437</v>
      </c>
    </row>
    <row r="522" customFormat="false" ht="15" hidden="false" customHeight="false" outlineLevel="0" collapsed="false">
      <c r="A522" s="15" t="n">
        <f aca="false">2_Matriz_decision!A522</f>
        <v>518</v>
      </c>
      <c r="B522" s="16" t="n">
        <f aca="false">2_Matriz_decision!B522</f>
        <v>51.974</v>
      </c>
      <c r="C522" s="21" t="n">
        <f aca="false">SQRT(SUMXMY2(5_Ponderada!C525:Q525,5_Ponderada!$C$6:$Q$6))</f>
        <v>0.0182734408483143</v>
      </c>
      <c r="D522" s="21" t="n">
        <f aca="false">SQRT(SUMXMY2(5_Ponderada!C525:Q525,5_Ponderada!$C$7:$Q$7))</f>
        <v>0.00594794659230614</v>
      </c>
      <c r="E522" s="21" t="n">
        <f aca="false">D522/(C522+D522)</f>
        <v>0.245565891173152</v>
      </c>
      <c r="F522" s="15" t="n">
        <f aca="false">MIN(5,INT(E522/0.2)+1)</f>
        <v>2</v>
      </c>
      <c r="G522" s="21" t="n">
        <v>0.245565891173152</v>
      </c>
      <c r="H522" s="28" t="n">
        <f aca="false">ABS(E522-G522)</f>
        <v>0</v>
      </c>
      <c r="I522" s="15" t="n">
        <v>2</v>
      </c>
      <c r="J522" s="21" t="n">
        <f aca="false">(SUMPRODUCT(2_Matriz_decision!C522:Q522,5_Ponderada!$C$5:$Q$5)-1)/4</f>
        <v>0.28750191572742</v>
      </c>
      <c r="K522" s="15" t="n">
        <f aca="false">MIN(5,INT(J522/0.2)+1)</f>
        <v>2</v>
      </c>
      <c r="L522" s="21" t="n">
        <v>0.287501915727421</v>
      </c>
    </row>
    <row r="523" customFormat="false" ht="15" hidden="false" customHeight="false" outlineLevel="0" collapsed="false">
      <c r="A523" s="15" t="n">
        <f aca="false">2_Matriz_decision!A523</f>
        <v>519</v>
      </c>
      <c r="B523" s="16" t="n">
        <f aca="false">2_Matriz_decision!B523</f>
        <v>52.075</v>
      </c>
      <c r="C523" s="21" t="n">
        <f aca="false">SQRT(SUMXMY2(5_Ponderada!C526:Q526,5_Ponderada!$C$6:$Q$6))</f>
        <v>0.0197424585276319</v>
      </c>
      <c r="D523" s="21" t="n">
        <f aca="false">SQRT(SUMXMY2(5_Ponderada!C526:Q526,5_Ponderada!$C$7:$Q$7))</f>
        <v>0.00529009384425348</v>
      </c>
      <c r="E523" s="21" t="n">
        <f aca="false">D523/(C523+D523)</f>
        <v>0.211328583904009</v>
      </c>
      <c r="F523" s="15" t="n">
        <f aca="false">MIN(5,INT(E523/0.2)+1)</f>
        <v>2</v>
      </c>
      <c r="G523" s="21" t="n">
        <v>0.211328583904009</v>
      </c>
      <c r="H523" s="28" t="n">
        <f aca="false">ABS(E523-G523)</f>
        <v>0</v>
      </c>
      <c r="I523" s="15" t="n">
        <v>2</v>
      </c>
      <c r="J523" s="21" t="n">
        <f aca="false">(SUMPRODUCT(2_Matriz_decision!C523:Q523,5_Ponderada!$C$5:$Q$5)-1)/4</f>
        <v>0.247076157188694</v>
      </c>
      <c r="K523" s="15" t="n">
        <f aca="false">MIN(5,INT(J523/0.2)+1)</f>
        <v>2</v>
      </c>
      <c r="L523" s="21" t="n">
        <v>0.247076157188695</v>
      </c>
    </row>
    <row r="524" customFormat="false" ht="15" hidden="false" customHeight="false" outlineLevel="0" collapsed="false">
      <c r="A524" s="15" t="n">
        <f aca="false">2_Matriz_decision!A524</f>
        <v>520</v>
      </c>
      <c r="B524" s="16" t="n">
        <f aca="false">2_Matriz_decision!B524</f>
        <v>52.176</v>
      </c>
      <c r="C524" s="21" t="n">
        <f aca="false">SQRT(SUMXMY2(5_Ponderada!C527:Q527,5_Ponderada!$C$6:$Q$6))</f>
        <v>0.0197760321281486</v>
      </c>
      <c r="D524" s="21" t="n">
        <f aca="false">SQRT(SUMXMY2(5_Ponderada!C527:Q527,5_Ponderada!$C$7:$Q$7))</f>
        <v>0.00522315817670269</v>
      </c>
      <c r="E524" s="21" t="n">
        <f aca="false">D524/(C524+D524)</f>
        <v>0.208933093952611</v>
      </c>
      <c r="F524" s="15" t="n">
        <f aca="false">MIN(5,INT(E524/0.2)+1)</f>
        <v>2</v>
      </c>
      <c r="G524" s="21" t="n">
        <v>0.208933093952611</v>
      </c>
      <c r="H524" s="28" t="n">
        <f aca="false">ABS(E524-G524)</f>
        <v>0</v>
      </c>
      <c r="I524" s="15" t="n">
        <v>2</v>
      </c>
      <c r="J524" s="21" t="n">
        <f aca="false">(SUMPRODUCT(2_Matriz_decision!C524:Q524,5_Ponderada!$C$5:$Q$5)-1)/4</f>
        <v>0.23556477083078</v>
      </c>
      <c r="K524" s="15" t="n">
        <f aca="false">MIN(5,INT(J524/0.2)+1)</f>
        <v>2</v>
      </c>
      <c r="L524" s="21" t="n">
        <v>0.235564770830781</v>
      </c>
    </row>
    <row r="525" customFormat="false" ht="15" hidden="false" customHeight="false" outlineLevel="0" collapsed="false">
      <c r="A525" s="15" t="n">
        <f aca="false">2_Matriz_decision!A525</f>
        <v>521</v>
      </c>
      <c r="B525" s="16" t="n">
        <f aca="false">2_Matriz_decision!B525</f>
        <v>52.276</v>
      </c>
      <c r="C525" s="21" t="n">
        <f aca="false">SQRT(SUMXMY2(5_Ponderada!C528:Q528,5_Ponderada!$C$6:$Q$6))</f>
        <v>0.0198199855935319</v>
      </c>
      <c r="D525" s="21" t="n">
        <f aca="false">SQRT(SUMXMY2(5_Ponderada!C528:Q528,5_Ponderada!$C$7:$Q$7))</f>
        <v>0.00519310684712808</v>
      </c>
      <c r="E525" s="21" t="n">
        <f aca="false">D525/(C525+D525)</f>
        <v>0.207615546116418</v>
      </c>
      <c r="F525" s="15" t="n">
        <f aca="false">MIN(5,INT(E525/0.2)+1)</f>
        <v>2</v>
      </c>
      <c r="G525" s="21" t="n">
        <v>0.207615546116419</v>
      </c>
      <c r="H525" s="28" t="n">
        <f aca="false">ABS(E525-G525)</f>
        <v>0</v>
      </c>
      <c r="I525" s="15" t="n">
        <v>2</v>
      </c>
      <c r="J525" s="21" t="n">
        <f aca="false">(SUMPRODUCT(2_Matriz_decision!C525:Q525,5_Ponderada!$C$5:$Q$5)-1)/4</f>
        <v>0.222540481028876</v>
      </c>
      <c r="K525" s="15" t="n">
        <f aca="false">MIN(5,INT(J525/0.2)+1)</f>
        <v>2</v>
      </c>
      <c r="L525" s="21" t="n">
        <v>0.222540481028876</v>
      </c>
    </row>
    <row r="526" customFormat="false" ht="15" hidden="false" customHeight="false" outlineLevel="0" collapsed="false">
      <c r="A526" s="15" t="n">
        <f aca="false">2_Matriz_decision!A526</f>
        <v>522</v>
      </c>
      <c r="B526" s="16" t="n">
        <f aca="false">2_Matriz_decision!B526</f>
        <v>52.377</v>
      </c>
      <c r="C526" s="21" t="n">
        <f aca="false">SQRT(SUMXMY2(5_Ponderada!C529:Q529,5_Ponderada!$C$6:$Q$6))</f>
        <v>0.0198207095541483</v>
      </c>
      <c r="D526" s="21" t="n">
        <f aca="false">SQRT(SUMXMY2(5_Ponderada!C529:Q529,5_Ponderada!$C$7:$Q$7))</f>
        <v>0.00519199722272629</v>
      </c>
      <c r="E526" s="21" t="n">
        <f aca="false">D526/(C526+D526)</f>
        <v>0.207574384853323</v>
      </c>
      <c r="F526" s="15" t="n">
        <f aca="false">MIN(5,INT(E526/0.2)+1)</f>
        <v>2</v>
      </c>
      <c r="G526" s="21" t="n">
        <v>0.207574384853323</v>
      </c>
      <c r="H526" s="28" t="n">
        <f aca="false">ABS(E526-G526)</f>
        <v>0</v>
      </c>
      <c r="I526" s="15" t="n">
        <v>2</v>
      </c>
      <c r="J526" s="21" t="n">
        <f aca="false">(SUMPRODUCT(2_Matriz_decision!C526:Q526,5_Ponderada!$C$5:$Q$5)-1)/4</f>
        <v>0.222352996814465</v>
      </c>
      <c r="K526" s="15" t="n">
        <f aca="false">MIN(5,INT(J526/0.2)+1)</f>
        <v>2</v>
      </c>
      <c r="L526" s="21" t="n">
        <v>0.222352996814465</v>
      </c>
    </row>
    <row r="527" customFormat="false" ht="15" hidden="false" customHeight="false" outlineLevel="0" collapsed="false">
      <c r="A527" s="15" t="n">
        <f aca="false">2_Matriz_decision!A527</f>
        <v>523</v>
      </c>
      <c r="B527" s="16" t="n">
        <f aca="false">2_Matriz_decision!B527</f>
        <v>52.478</v>
      </c>
      <c r="C527" s="21" t="n">
        <f aca="false">SQRT(SUMXMY2(5_Ponderada!C530:Q530,5_Ponderada!$C$6:$Q$6))</f>
        <v>0.0198204193642806</v>
      </c>
      <c r="D527" s="21" t="n">
        <f aca="false">SQRT(SUMXMY2(5_Ponderada!C530:Q530,5_Ponderada!$C$7:$Q$7))</f>
        <v>0.0051924387770713</v>
      </c>
      <c r="E527" s="21" t="n">
        <f aca="false">D527/(C527+D527)</f>
        <v>0.207590781818214</v>
      </c>
      <c r="F527" s="15" t="n">
        <f aca="false">MIN(5,INT(E527/0.2)+1)</f>
        <v>2</v>
      </c>
      <c r="G527" s="21" t="n">
        <v>0.207590781818214</v>
      </c>
      <c r="H527" s="28" t="n">
        <f aca="false">ABS(E527-G527)</f>
        <v>0</v>
      </c>
      <c r="I527" s="15" t="n">
        <v>2</v>
      </c>
      <c r="J527" s="21" t="n">
        <f aca="false">(SUMPRODUCT(2_Matriz_decision!C527:Q527,5_Ponderada!$C$5:$Q$5)-1)/4</f>
        <v>0.222427990500229</v>
      </c>
      <c r="K527" s="15" t="n">
        <f aca="false">MIN(5,INT(J527/0.2)+1)</f>
        <v>2</v>
      </c>
      <c r="L527" s="21" t="n">
        <v>0.22242799050023</v>
      </c>
    </row>
    <row r="528" customFormat="false" ht="15" hidden="false" customHeight="false" outlineLevel="0" collapsed="false">
      <c r="A528" s="15" t="n">
        <f aca="false">2_Matriz_decision!A528</f>
        <v>524</v>
      </c>
      <c r="B528" s="16" t="n">
        <f aca="false">2_Matriz_decision!B528</f>
        <v>52.578</v>
      </c>
      <c r="C528" s="21" t="n">
        <f aca="false">SQRT(SUMXMY2(5_Ponderada!C531:Q531,5_Ponderada!$C$6:$Q$6))</f>
        <v>0.019787101958429</v>
      </c>
      <c r="D528" s="21" t="n">
        <f aca="false">SQRT(SUMXMY2(5_Ponderada!C531:Q531,5_Ponderada!$C$7:$Q$7))</f>
        <v>0.00509122028516988</v>
      </c>
      <c r="E528" s="21" t="n">
        <f aca="false">D528/(C528+D528)</f>
        <v>0.204644840408393</v>
      </c>
      <c r="F528" s="15" t="n">
        <f aca="false">MIN(5,INT(E528/0.2)+1)</f>
        <v>2</v>
      </c>
      <c r="G528" s="21" t="n">
        <v>0.204644840408393</v>
      </c>
      <c r="H528" s="28" t="n">
        <f aca="false">ABS(E528-G528)</f>
        <v>0</v>
      </c>
      <c r="I528" s="15" t="n">
        <v>2</v>
      </c>
      <c r="J528" s="21" t="n">
        <f aca="false">(SUMPRODUCT(2_Matriz_decision!C528:Q528,5_Ponderada!$C$5:$Q$5)-1)/4</f>
        <v>0.221922527860321</v>
      </c>
      <c r="K528" s="15" t="n">
        <f aca="false">MIN(5,INT(J528/0.2)+1)</f>
        <v>2</v>
      </c>
      <c r="L528" s="21" t="n">
        <v>0.221922527860321</v>
      </c>
    </row>
    <row r="529" customFormat="false" ht="15" hidden="false" customHeight="false" outlineLevel="0" collapsed="false">
      <c r="A529" s="15" t="n">
        <f aca="false">2_Matriz_decision!A529</f>
        <v>525</v>
      </c>
      <c r="B529" s="16" t="n">
        <f aca="false">2_Matriz_decision!B529</f>
        <v>52.679</v>
      </c>
      <c r="C529" s="21" t="n">
        <f aca="false">SQRT(SUMXMY2(5_Ponderada!C532:Q532,5_Ponderada!$C$6:$Q$6))</f>
        <v>0.0197577985364529</v>
      </c>
      <c r="D529" s="21" t="n">
        <f aca="false">SQRT(SUMXMY2(5_Ponderada!C532:Q532,5_Ponderada!$C$7:$Q$7))</f>
        <v>0.0051575640307523</v>
      </c>
      <c r="E529" s="21" t="n">
        <f aca="false">D529/(C529+D529)</f>
        <v>0.207003370584738</v>
      </c>
      <c r="F529" s="15" t="n">
        <f aca="false">MIN(5,INT(E529/0.2)+1)</f>
        <v>2</v>
      </c>
      <c r="G529" s="21" t="n">
        <v>0.207003370584738</v>
      </c>
      <c r="H529" s="28" t="n">
        <f aca="false">ABS(E529-G529)</f>
        <v>0</v>
      </c>
      <c r="I529" s="15" t="n">
        <v>2</v>
      </c>
      <c r="J529" s="21" t="n">
        <f aca="false">(SUMPRODUCT(2_Matriz_decision!C529:Q529,5_Ponderada!$C$5:$Q$5)-1)/4</f>
        <v>0.234041817556914</v>
      </c>
      <c r="K529" s="15" t="n">
        <f aca="false">MIN(5,INT(J529/0.2)+1)</f>
        <v>2</v>
      </c>
      <c r="L529" s="21" t="n">
        <v>0.234041817556914</v>
      </c>
    </row>
    <row r="530" customFormat="false" ht="15" hidden="false" customHeight="false" outlineLevel="0" collapsed="false">
      <c r="A530" s="15" t="n">
        <f aca="false">2_Matriz_decision!A530</f>
        <v>526</v>
      </c>
      <c r="B530" s="16" t="n">
        <f aca="false">2_Matriz_decision!B530</f>
        <v>52.779</v>
      </c>
      <c r="C530" s="21" t="n">
        <f aca="false">SQRT(SUMXMY2(5_Ponderada!C533:Q533,5_Ponderada!$C$6:$Q$6))</f>
        <v>0.0197776028457164</v>
      </c>
      <c r="D530" s="21" t="n">
        <f aca="false">SQRT(SUMXMY2(5_Ponderada!C533:Q533,5_Ponderada!$C$7:$Q$7))</f>
        <v>0.00510823206934642</v>
      </c>
      <c r="E530" s="21" t="n">
        <f aca="false">D530/(C530+D530)</f>
        <v>0.205266654174199</v>
      </c>
      <c r="F530" s="15" t="n">
        <f aca="false">MIN(5,INT(E530/0.2)+1)</f>
        <v>2</v>
      </c>
      <c r="G530" s="21" t="n">
        <v>0.205266654174199</v>
      </c>
      <c r="H530" s="28" t="n">
        <f aca="false">ABS(E530-G530)</f>
        <v>0</v>
      </c>
      <c r="I530" s="15" t="n">
        <v>2</v>
      </c>
      <c r="J530" s="21" t="n">
        <f aca="false">(SUMPRODUCT(2_Matriz_decision!C530:Q530,5_Ponderada!$C$5:$Q$5)-1)/4</f>
        <v>0.22343154202384</v>
      </c>
      <c r="K530" s="15" t="n">
        <f aca="false">MIN(5,INT(J530/0.2)+1)</f>
        <v>2</v>
      </c>
      <c r="L530" s="21" t="n">
        <v>0.223431542023841</v>
      </c>
    </row>
    <row r="531" customFormat="false" ht="15" hidden="false" customHeight="false" outlineLevel="0" collapsed="false">
      <c r="A531" s="15" t="n">
        <f aca="false">2_Matriz_decision!A531</f>
        <v>527</v>
      </c>
      <c r="B531" s="16" t="n">
        <f aca="false">2_Matriz_decision!B531</f>
        <v>52.88</v>
      </c>
      <c r="C531" s="21" t="n">
        <f aca="false">SQRT(SUMXMY2(5_Ponderada!C534:Q534,5_Ponderada!$C$6:$Q$6))</f>
        <v>0.0197705732752641</v>
      </c>
      <c r="D531" s="21" t="n">
        <f aca="false">SQRT(SUMXMY2(5_Ponderada!C534:Q534,5_Ponderada!$C$7:$Q$7))</f>
        <v>0.00517340231915981</v>
      </c>
      <c r="E531" s="21" t="n">
        <f aca="false">D531/(C531+D531)</f>
        <v>0.207400873191854</v>
      </c>
      <c r="F531" s="15" t="n">
        <f aca="false">MIN(5,INT(E531/0.2)+1)</f>
        <v>2</v>
      </c>
      <c r="G531" s="21" t="n">
        <v>0.207400873191854</v>
      </c>
      <c r="H531" s="28" t="n">
        <f aca="false">ABS(E531-G531)</f>
        <v>0</v>
      </c>
      <c r="I531" s="15" t="n">
        <v>2</v>
      </c>
      <c r="J531" s="21" t="n">
        <f aca="false">(SUMPRODUCT(2_Matriz_decision!C531:Q531,5_Ponderada!$C$5:$Q$5)-1)/4</f>
        <v>0.232420027647877</v>
      </c>
      <c r="K531" s="15" t="n">
        <f aca="false">MIN(5,INT(J531/0.2)+1)</f>
        <v>2</v>
      </c>
      <c r="L531" s="21" t="n">
        <v>0.232420027647878</v>
      </c>
    </row>
    <row r="532" customFormat="false" ht="15" hidden="false" customHeight="false" outlineLevel="0" collapsed="false">
      <c r="A532" s="15" t="n">
        <f aca="false">2_Matriz_decision!A532</f>
        <v>528</v>
      </c>
      <c r="B532" s="16" t="n">
        <f aca="false">2_Matriz_decision!B532</f>
        <v>52.981</v>
      </c>
      <c r="C532" s="21" t="n">
        <f aca="false">SQRT(SUMXMY2(5_Ponderada!C535:Q535,5_Ponderada!$C$6:$Q$6))</f>
        <v>0.0197413534537595</v>
      </c>
      <c r="D532" s="21" t="n">
        <f aca="false">SQRT(SUMXMY2(5_Ponderada!C535:Q535,5_Ponderada!$C$7:$Q$7))</f>
        <v>0.00524215118901752</v>
      </c>
      <c r="E532" s="21" t="n">
        <f aca="false">D532/(C532+D532)</f>
        <v>0.209824492759189</v>
      </c>
      <c r="F532" s="15" t="n">
        <f aca="false">MIN(5,INT(E532/0.2)+1)</f>
        <v>2</v>
      </c>
      <c r="G532" s="21" t="n">
        <v>0.209824492759189</v>
      </c>
      <c r="H532" s="28" t="n">
        <f aca="false">ABS(E532-G532)</f>
        <v>0</v>
      </c>
      <c r="I532" s="15" t="n">
        <v>2</v>
      </c>
      <c r="J532" s="21" t="n">
        <f aca="false">(SUMPRODUCT(2_Matriz_decision!C532:Q532,5_Ponderada!$C$5:$Q$5)-1)/4</f>
        <v>0.245193455372082</v>
      </c>
      <c r="K532" s="15" t="n">
        <f aca="false">MIN(5,INT(J532/0.2)+1)</f>
        <v>2</v>
      </c>
      <c r="L532" s="21" t="n">
        <v>0.245193455372082</v>
      </c>
    </row>
    <row r="533" customFormat="false" ht="15" hidden="false" customHeight="false" outlineLevel="0" collapsed="false">
      <c r="A533" s="15" t="n">
        <f aca="false">2_Matriz_decision!A533</f>
        <v>529</v>
      </c>
      <c r="B533" s="16" t="n">
        <f aca="false">2_Matriz_decision!B533</f>
        <v>53.081</v>
      </c>
      <c r="C533" s="21" t="n">
        <f aca="false">SQRT(SUMXMY2(5_Ponderada!C536:Q536,5_Ponderada!$C$6:$Q$6))</f>
        <v>0.0197622426903346</v>
      </c>
      <c r="D533" s="21" t="n">
        <f aca="false">SQRT(SUMXMY2(5_Ponderada!C536:Q536,5_Ponderada!$C$7:$Q$7))</f>
        <v>0.00521425313763397</v>
      </c>
      <c r="E533" s="21" t="n">
        <f aca="false">D533/(C533+D533)</f>
        <v>0.208766400761274</v>
      </c>
      <c r="F533" s="15" t="n">
        <f aca="false">MIN(5,INT(E533/0.2)+1)</f>
        <v>2</v>
      </c>
      <c r="G533" s="21" t="n">
        <v>0.208766400761274</v>
      </c>
      <c r="H533" s="28" t="n">
        <f aca="false">ABS(E533-G533)</f>
        <v>0</v>
      </c>
      <c r="I533" s="15" t="n">
        <v>2</v>
      </c>
      <c r="J533" s="21" t="n">
        <f aca="false">(SUMPRODUCT(2_Matriz_decision!C533:Q533,5_Ponderada!$C$5:$Q$5)-1)/4</f>
        <v>0.239944072942471</v>
      </c>
      <c r="K533" s="15" t="n">
        <f aca="false">MIN(5,INT(J533/0.2)+1)</f>
        <v>2</v>
      </c>
      <c r="L533" s="21" t="n">
        <v>0.239944072942472</v>
      </c>
    </row>
    <row r="534" customFormat="false" ht="15" hidden="false" customHeight="false" outlineLevel="0" collapsed="false">
      <c r="A534" s="15" t="n">
        <f aca="false">2_Matriz_decision!A534</f>
        <v>530</v>
      </c>
      <c r="B534" s="16" t="n">
        <f aca="false">2_Matriz_decision!B534</f>
        <v>53.181</v>
      </c>
      <c r="C534" s="21" t="n">
        <f aca="false">SQRT(SUMXMY2(5_Ponderada!C537:Q537,5_Ponderada!$C$6:$Q$6))</f>
        <v>0.0197644995415486</v>
      </c>
      <c r="D534" s="21" t="n">
        <f aca="false">SQRT(SUMXMY2(5_Ponderada!C537:Q537,5_Ponderada!$C$7:$Q$7))</f>
        <v>0.00521348418741294</v>
      </c>
      <c r="E534" s="21" t="n">
        <f aca="false">D534/(C534+D534)</f>
        <v>0.208723179740404</v>
      </c>
      <c r="F534" s="15" t="n">
        <f aca="false">MIN(5,INT(E534/0.2)+1)</f>
        <v>2</v>
      </c>
      <c r="G534" s="21" t="n">
        <v>0.208723179740404</v>
      </c>
      <c r="H534" s="28" t="n">
        <f aca="false">ABS(E534-G534)</f>
        <v>0</v>
      </c>
      <c r="I534" s="15" t="n">
        <v>2</v>
      </c>
      <c r="J534" s="21" t="n">
        <f aca="false">(SUMPRODUCT(2_Matriz_decision!C534:Q534,5_Ponderada!$C$5:$Q$5)-1)/4</f>
        <v>0.239648145714138</v>
      </c>
      <c r="K534" s="15" t="n">
        <f aca="false">MIN(5,INT(J534/0.2)+1)</f>
        <v>2</v>
      </c>
      <c r="L534" s="21" t="n">
        <v>0.239648145714139</v>
      </c>
    </row>
    <row r="535" customFormat="false" ht="15" hidden="false" customHeight="false" outlineLevel="0" collapsed="false">
      <c r="A535" s="15" t="n">
        <f aca="false">2_Matriz_decision!A535</f>
        <v>531</v>
      </c>
      <c r="B535" s="16" t="n">
        <f aca="false">2_Matriz_decision!B535</f>
        <v>53.281</v>
      </c>
      <c r="C535" s="21" t="n">
        <f aca="false">SQRT(SUMXMY2(5_Ponderada!C538:Q538,5_Ponderada!$C$6:$Q$6))</f>
        <v>0.0183038245371862</v>
      </c>
      <c r="D535" s="21" t="n">
        <f aca="false">SQRT(SUMXMY2(5_Ponderada!C538:Q538,5_Ponderada!$C$7:$Q$7))</f>
        <v>0.00602095909661799</v>
      </c>
      <c r="E535" s="21" t="n">
        <f aca="false">D535/(C535+D535)</f>
        <v>0.247523644496088</v>
      </c>
      <c r="F535" s="15" t="n">
        <f aca="false">MIN(5,INT(E535/0.2)+1)</f>
        <v>2</v>
      </c>
      <c r="G535" s="21" t="n">
        <v>0.247523644496088</v>
      </c>
      <c r="H535" s="28" t="n">
        <f aca="false">ABS(E535-G535)</f>
        <v>0</v>
      </c>
      <c r="I535" s="15" t="n">
        <v>2</v>
      </c>
      <c r="J535" s="21" t="n">
        <f aca="false">(SUMPRODUCT(2_Matriz_decision!C535:Q535,5_Ponderada!$C$5:$Q$5)-1)/4</f>
        <v>0.298052284652907</v>
      </c>
      <c r="K535" s="15" t="n">
        <f aca="false">MIN(5,INT(J535/0.2)+1)</f>
        <v>2</v>
      </c>
      <c r="L535" s="21" t="n">
        <v>0.298052284652908</v>
      </c>
    </row>
    <row r="536" customFormat="false" ht="15" hidden="false" customHeight="false" outlineLevel="0" collapsed="false">
      <c r="A536" s="15" t="n">
        <f aca="false">2_Matriz_decision!A536</f>
        <v>532</v>
      </c>
      <c r="B536" s="16" t="n">
        <f aca="false">2_Matriz_decision!B536</f>
        <v>53.38</v>
      </c>
      <c r="C536" s="21" t="n">
        <f aca="false">SQRT(SUMXMY2(5_Ponderada!C539:Q539,5_Ponderada!$C$6:$Q$6))</f>
        <v>0.01974803911415</v>
      </c>
      <c r="D536" s="21" t="n">
        <f aca="false">SQRT(SUMXMY2(5_Ponderada!C539:Q539,5_Ponderada!$C$7:$Q$7))</f>
        <v>0.00522733344144851</v>
      </c>
      <c r="E536" s="21" t="n">
        <f aca="false">D536/(C536+D536)</f>
        <v>0.209299518147798</v>
      </c>
      <c r="F536" s="15" t="n">
        <f aca="false">MIN(5,INT(E536/0.2)+1)</f>
        <v>2</v>
      </c>
      <c r="G536" s="21" t="n">
        <v>0.209299518147798</v>
      </c>
      <c r="H536" s="28" t="n">
        <f aca="false">ABS(E536-G536)</f>
        <v>0</v>
      </c>
      <c r="I536" s="15" t="n">
        <v>2</v>
      </c>
      <c r="J536" s="21" t="n">
        <f aca="false">(SUMPRODUCT(2_Matriz_decision!C536:Q536,5_Ponderada!$C$5:$Q$5)-1)/4</f>
        <v>0.242650752491085</v>
      </c>
      <c r="K536" s="15" t="n">
        <f aca="false">MIN(5,INT(J536/0.2)+1)</f>
        <v>2</v>
      </c>
      <c r="L536" s="21" t="n">
        <v>0.242650752491086</v>
      </c>
    </row>
    <row r="537" customFormat="false" ht="15" hidden="false" customHeight="false" outlineLevel="0" collapsed="false">
      <c r="A537" s="15" t="n">
        <f aca="false">2_Matriz_decision!A537</f>
        <v>533</v>
      </c>
      <c r="B537" s="16" t="n">
        <f aca="false">2_Matriz_decision!B537</f>
        <v>53.48</v>
      </c>
      <c r="C537" s="21" t="n">
        <f aca="false">SQRT(SUMXMY2(5_Ponderada!C540:Q540,5_Ponderada!$C$6:$Q$6))</f>
        <v>0.0197376442713938</v>
      </c>
      <c r="D537" s="21" t="n">
        <f aca="false">SQRT(SUMXMY2(5_Ponderada!C540:Q540,5_Ponderada!$C$7:$Q$7))</f>
        <v>0.00524275447464553</v>
      </c>
      <c r="E537" s="21" t="n">
        <f aca="false">D537/(C537+D537)</f>
        <v>0.209874731302148</v>
      </c>
      <c r="F537" s="15" t="n">
        <f aca="false">MIN(5,INT(E537/0.2)+1)</f>
        <v>2</v>
      </c>
      <c r="G537" s="21" t="n">
        <v>0.209874731302148</v>
      </c>
      <c r="H537" s="28" t="n">
        <f aca="false">ABS(E537-G537)</f>
        <v>0</v>
      </c>
      <c r="I537" s="15" t="n">
        <v>2</v>
      </c>
      <c r="J537" s="21" t="n">
        <f aca="false">(SUMPRODUCT(2_Matriz_decision!C537:Q537,5_Ponderada!$C$5:$Q$5)-1)/4</f>
        <v>0.244687514579987</v>
      </c>
      <c r="K537" s="15" t="n">
        <f aca="false">MIN(5,INT(J537/0.2)+1)</f>
        <v>2</v>
      </c>
      <c r="L537" s="21" t="n">
        <v>0.244687514579987</v>
      </c>
    </row>
    <row r="538" customFormat="false" ht="15" hidden="false" customHeight="false" outlineLevel="0" collapsed="false">
      <c r="A538" s="15" t="n">
        <f aca="false">2_Matriz_decision!A538</f>
        <v>534</v>
      </c>
      <c r="B538" s="16" t="n">
        <f aca="false">2_Matriz_decision!B538</f>
        <v>53.579</v>
      </c>
      <c r="C538" s="21" t="n">
        <f aca="false">SQRT(SUMXMY2(5_Ponderada!C541:Q541,5_Ponderada!$C$6:$Q$6))</f>
        <v>0.0197534840754486</v>
      </c>
      <c r="D538" s="21" t="n">
        <f aca="false">SQRT(SUMXMY2(5_Ponderada!C541:Q541,5_Ponderada!$C$7:$Q$7))</f>
        <v>0.00515735233040288</v>
      </c>
      <c r="E538" s="21" t="n">
        <f aca="false">D538/(C538+D538)</f>
        <v>0.207032483629953</v>
      </c>
      <c r="F538" s="15" t="n">
        <f aca="false">MIN(5,INT(E538/0.2)+1)</f>
        <v>2</v>
      </c>
      <c r="G538" s="21" t="n">
        <v>0.207032483629953</v>
      </c>
      <c r="H538" s="28" t="n">
        <f aca="false">ABS(E538-G538)</f>
        <v>0</v>
      </c>
      <c r="I538" s="15" t="n">
        <v>2</v>
      </c>
      <c r="J538" s="21" t="n">
        <f aca="false">(SUMPRODUCT(2_Matriz_decision!C538:Q538,5_Ponderada!$C$5:$Q$5)-1)/4</f>
        <v>0.233494156833312</v>
      </c>
      <c r="K538" s="15" t="n">
        <f aca="false">MIN(5,INT(J538/0.2)+1)</f>
        <v>2</v>
      </c>
      <c r="L538" s="21" t="n">
        <v>0.233494156833312</v>
      </c>
    </row>
    <row r="539" customFormat="false" ht="15" hidden="false" customHeight="false" outlineLevel="0" collapsed="false">
      <c r="A539" s="15" t="n">
        <f aca="false">2_Matriz_decision!A539</f>
        <v>535</v>
      </c>
      <c r="B539" s="16" t="n">
        <f aca="false">2_Matriz_decision!B539</f>
        <v>53.678</v>
      </c>
      <c r="C539" s="21" t="n">
        <f aca="false">SQRT(SUMXMY2(5_Ponderada!C542:Q542,5_Ponderada!$C$6:$Q$6))</f>
        <v>0.0197595845277911</v>
      </c>
      <c r="D539" s="21" t="n">
        <f aca="false">SQRT(SUMXMY2(5_Ponderada!C542:Q542,5_Ponderada!$C$7:$Q$7))</f>
        <v>0.00514709821091768</v>
      </c>
      <c r="E539" s="21" t="n">
        <f aca="false">D539/(C539+D539)</f>
        <v>0.206655308734402</v>
      </c>
      <c r="F539" s="15" t="n">
        <f aca="false">MIN(5,INT(E539/0.2)+1)</f>
        <v>2</v>
      </c>
      <c r="G539" s="21" t="n">
        <v>0.206655308734402</v>
      </c>
      <c r="H539" s="28" t="n">
        <f aca="false">ABS(E539-G539)</f>
        <v>0</v>
      </c>
      <c r="I539" s="15" t="n">
        <v>2</v>
      </c>
      <c r="J539" s="21" t="n">
        <f aca="false">(SUMPRODUCT(2_Matriz_decision!C539:Q539,5_Ponderada!$C$5:$Q$5)-1)/4</f>
        <v>0.231979807949178</v>
      </c>
      <c r="K539" s="15" t="n">
        <f aca="false">MIN(5,INT(J539/0.2)+1)</f>
        <v>2</v>
      </c>
      <c r="L539" s="21" t="n">
        <v>0.231979807949179</v>
      </c>
    </row>
    <row r="540" customFormat="false" ht="15" hidden="false" customHeight="false" outlineLevel="0" collapsed="false">
      <c r="A540" s="15" t="n">
        <f aca="false">2_Matriz_decision!A540</f>
        <v>536</v>
      </c>
      <c r="B540" s="16" t="n">
        <f aca="false">2_Matriz_decision!B540</f>
        <v>53.777</v>
      </c>
      <c r="C540" s="21" t="n">
        <f aca="false">SQRT(SUMXMY2(5_Ponderada!C543:Q543,5_Ponderada!$C$6:$Q$6))</f>
        <v>0.0198482776481532</v>
      </c>
      <c r="D540" s="21" t="n">
        <f aca="false">SQRT(SUMXMY2(5_Ponderada!C543:Q543,5_Ponderada!$C$7:$Q$7))</f>
        <v>0.00501106468463536</v>
      </c>
      <c r="E540" s="21" t="n">
        <f aca="false">D540/(C540+D540)</f>
        <v>0.201576719832445</v>
      </c>
      <c r="F540" s="15" t="n">
        <f aca="false">MIN(5,INT(E540/0.2)+1)</f>
        <v>2</v>
      </c>
      <c r="G540" s="21" t="n">
        <v>0.201576719832445</v>
      </c>
      <c r="H540" s="28" t="n">
        <f aca="false">ABS(E540-G540)</f>
        <v>0</v>
      </c>
      <c r="I540" s="15" t="n">
        <v>2</v>
      </c>
      <c r="J540" s="21" t="n">
        <f aca="false">(SUMPRODUCT(2_Matriz_decision!C540:Q540,5_Ponderada!$C$5:$Q$5)-1)/4</f>
        <v>0.198154632455415</v>
      </c>
      <c r="K540" s="15" t="n">
        <f aca="false">MIN(5,INT(J540/0.2)+1)</f>
        <v>1</v>
      </c>
      <c r="L540" s="21" t="n">
        <v>0.198154632455415</v>
      </c>
    </row>
    <row r="541" customFormat="false" ht="15" hidden="false" customHeight="false" outlineLevel="0" collapsed="false">
      <c r="A541" s="15" t="n">
        <f aca="false">2_Matriz_decision!A541</f>
        <v>537</v>
      </c>
      <c r="B541" s="16" t="n">
        <f aca="false">2_Matriz_decision!B541</f>
        <v>53.876</v>
      </c>
      <c r="C541" s="21" t="n">
        <f aca="false">SQRT(SUMXMY2(5_Ponderada!C544:Q544,5_Ponderada!$C$6:$Q$6))</f>
        <v>0.0198551998623023</v>
      </c>
      <c r="D541" s="21" t="n">
        <f aca="false">SQRT(SUMXMY2(5_Ponderada!C544:Q544,5_Ponderada!$C$7:$Q$7))</f>
        <v>0.00500854456441832</v>
      </c>
      <c r="E541" s="21" t="n">
        <f aca="false">D541/(C541+D541)</f>
        <v>0.201439673705612</v>
      </c>
      <c r="F541" s="15" t="n">
        <f aca="false">MIN(5,INT(E541/0.2)+1)</f>
        <v>2</v>
      </c>
      <c r="G541" s="21" t="n">
        <v>0.201439673705612</v>
      </c>
      <c r="H541" s="28" t="n">
        <f aca="false">ABS(E541-G541)</f>
        <v>0</v>
      </c>
      <c r="I541" s="15" t="n">
        <v>2</v>
      </c>
      <c r="J541" s="21" t="n">
        <f aca="false">(SUMPRODUCT(2_Matriz_decision!C541:Q541,5_Ponderada!$C$5:$Q$5)-1)/4</f>
        <v>0.197714831408133</v>
      </c>
      <c r="K541" s="15" t="n">
        <f aca="false">MIN(5,INT(J541/0.2)+1)</f>
        <v>1</v>
      </c>
      <c r="L541" s="21" t="n">
        <v>0.197714831408133</v>
      </c>
    </row>
    <row r="542" customFormat="false" ht="15" hidden="false" customHeight="false" outlineLevel="0" collapsed="false">
      <c r="A542" s="15" t="n">
        <f aca="false">2_Matriz_decision!A542</f>
        <v>538</v>
      </c>
      <c r="B542" s="16" t="n">
        <f aca="false">2_Matriz_decision!B542</f>
        <v>53.975</v>
      </c>
      <c r="C542" s="21" t="n">
        <f aca="false">SQRT(SUMXMY2(5_Ponderada!C545:Q545,5_Ponderada!$C$6:$Q$6))</f>
        <v>0.0198522852261079</v>
      </c>
      <c r="D542" s="21" t="n">
        <f aca="false">SQRT(SUMXMY2(5_Ponderada!C545:Q545,5_Ponderada!$C$7:$Q$7))</f>
        <v>0.00501235739636623</v>
      </c>
      <c r="E542" s="21" t="n">
        <f aca="false">D542/(C542+D542)</f>
        <v>0.201585740542105</v>
      </c>
      <c r="F542" s="15" t="n">
        <f aca="false">MIN(5,INT(E542/0.2)+1)</f>
        <v>2</v>
      </c>
      <c r="G542" s="21" t="n">
        <v>0.201585740542105</v>
      </c>
      <c r="H542" s="28" t="n">
        <f aca="false">ABS(E542-G542)</f>
        <v>0</v>
      </c>
      <c r="I542" s="15" t="n">
        <v>2</v>
      </c>
      <c r="J542" s="21" t="n">
        <f aca="false">(SUMPRODUCT(2_Matriz_decision!C542:Q542,5_Ponderada!$C$5:$Q$5)-1)/4</f>
        <v>0.198478641466965</v>
      </c>
      <c r="K542" s="15" t="n">
        <f aca="false">MIN(5,INT(J542/0.2)+1)</f>
        <v>1</v>
      </c>
      <c r="L542" s="21" t="n">
        <v>0.198478641466966</v>
      </c>
    </row>
    <row r="543" customFormat="false" ht="15" hidden="false" customHeight="false" outlineLevel="0" collapsed="false">
      <c r="A543" s="15" t="n">
        <f aca="false">2_Matriz_decision!A543</f>
        <v>539</v>
      </c>
      <c r="B543" s="16" t="n">
        <f aca="false">2_Matriz_decision!B543</f>
        <v>54.074</v>
      </c>
      <c r="C543" s="21" t="n">
        <f aca="false">SQRT(SUMXMY2(5_Ponderada!C546:Q546,5_Ponderada!$C$6:$Q$6))</f>
        <v>0.0198502255307333</v>
      </c>
      <c r="D543" s="21" t="n">
        <f aca="false">SQRT(SUMXMY2(5_Ponderada!C546:Q546,5_Ponderada!$C$7:$Q$7))</f>
        <v>0.00501503246569743</v>
      </c>
      <c r="E543" s="21" t="n">
        <f aca="false">D543/(C543+D543)</f>
        <v>0.201688334237968</v>
      </c>
      <c r="F543" s="15" t="n">
        <f aca="false">MIN(5,INT(E543/0.2)+1)</f>
        <v>2</v>
      </c>
      <c r="G543" s="21" t="n">
        <v>0.201688334237968</v>
      </c>
      <c r="H543" s="28" t="n">
        <f aca="false">ABS(E543-G543)</f>
        <v>0</v>
      </c>
      <c r="I543" s="15" t="n">
        <v>2</v>
      </c>
      <c r="J543" s="21" t="n">
        <f aca="false">(SUMPRODUCT(2_Matriz_decision!C543:Q543,5_Ponderada!$C$5:$Q$5)-1)/4</f>
        <v>0.198984848845875</v>
      </c>
      <c r="K543" s="15" t="n">
        <f aca="false">MIN(5,INT(J543/0.2)+1)</f>
        <v>1</v>
      </c>
      <c r="L543" s="21" t="n">
        <v>0.198984848845876</v>
      </c>
    </row>
    <row r="544" customFormat="false" ht="15" hidden="false" customHeight="false" outlineLevel="0" collapsed="false">
      <c r="A544" s="15" t="n">
        <f aca="false">2_Matriz_decision!A544</f>
        <v>540</v>
      </c>
      <c r="B544" s="16" t="n">
        <f aca="false">2_Matriz_decision!B544</f>
        <v>54.174</v>
      </c>
      <c r="C544" s="21" t="n">
        <f aca="false">SQRT(SUMXMY2(5_Ponderada!C547:Q547,5_Ponderada!$C$6:$Q$6))</f>
        <v>0.0198459615209822</v>
      </c>
      <c r="D544" s="21" t="n">
        <f aca="false">SQRT(SUMXMY2(5_Ponderada!C547:Q547,5_Ponderada!$C$7:$Q$7))</f>
        <v>0.00502121115254967</v>
      </c>
      <c r="E544" s="21" t="n">
        <f aca="false">D544/(C544+D544)</f>
        <v>0.201921272613921</v>
      </c>
      <c r="F544" s="15" t="n">
        <f aca="false">MIN(5,INT(E544/0.2)+1)</f>
        <v>2</v>
      </c>
      <c r="G544" s="21" t="n">
        <v>0.201921272613921</v>
      </c>
      <c r="H544" s="28" t="n">
        <f aca="false">ABS(E544-G544)</f>
        <v>0</v>
      </c>
      <c r="I544" s="15" t="n">
        <v>2</v>
      </c>
      <c r="J544" s="21" t="n">
        <f aca="false">(SUMPRODUCT(2_Matriz_decision!C544:Q544,5_Ponderada!$C$5:$Q$5)-1)/4</f>
        <v>0.200062883078739</v>
      </c>
      <c r="K544" s="15" t="n">
        <f aca="false">MIN(5,INT(J544/0.2)+1)</f>
        <v>2</v>
      </c>
      <c r="L544" s="21" t="n">
        <v>0.200062883078739</v>
      </c>
    </row>
    <row r="545" customFormat="false" ht="15" hidden="false" customHeight="false" outlineLevel="0" collapsed="false">
      <c r="A545" s="15" t="n">
        <f aca="false">2_Matriz_decision!A545</f>
        <v>541</v>
      </c>
      <c r="B545" s="16" t="n">
        <f aca="false">2_Matriz_decision!B545</f>
        <v>54.274</v>
      </c>
      <c r="C545" s="21" t="n">
        <f aca="false">SQRT(SUMXMY2(5_Ponderada!C548:Q548,5_Ponderada!$C$6:$Q$6))</f>
        <v>0.0198580006870252</v>
      </c>
      <c r="D545" s="21" t="n">
        <f aca="false">SQRT(SUMXMY2(5_Ponderada!C548:Q548,5_Ponderada!$C$7:$Q$7))</f>
        <v>0.00493373171033165</v>
      </c>
      <c r="E545" s="21" t="n">
        <f aca="false">D545/(C545+D545)</f>
        <v>0.199007137994828</v>
      </c>
      <c r="F545" s="15" t="n">
        <f aca="false">MIN(5,INT(E545/0.2)+1)</f>
        <v>1</v>
      </c>
      <c r="G545" s="21" t="n">
        <v>0.199007137994828</v>
      </c>
      <c r="H545" s="28" t="n">
        <f aca="false">ABS(E545-G545)</f>
        <v>0</v>
      </c>
      <c r="I545" s="15" t="n">
        <v>1</v>
      </c>
      <c r="J545" s="21" t="n">
        <f aca="false">(SUMPRODUCT(2_Matriz_decision!C545:Q545,5_Ponderada!$C$5:$Q$5)-1)/4</f>
        <v>0.188422422867896</v>
      </c>
      <c r="K545" s="15" t="n">
        <f aca="false">MIN(5,INT(J545/0.2)+1)</f>
        <v>1</v>
      </c>
      <c r="L545" s="21" t="n">
        <v>0.188422422867897</v>
      </c>
    </row>
    <row r="546" customFormat="false" ht="15" hidden="false" customHeight="false" outlineLevel="0" collapsed="false">
      <c r="A546" s="15" t="n">
        <f aca="false">2_Matriz_decision!A546</f>
        <v>542</v>
      </c>
      <c r="B546" s="16" t="n">
        <f aca="false">2_Matriz_decision!B546</f>
        <v>54.374</v>
      </c>
      <c r="C546" s="21" t="n">
        <f aca="false">SQRT(SUMXMY2(5_Ponderada!C549:Q549,5_Ponderada!$C$6:$Q$6))</f>
        <v>0.0198529402495895</v>
      </c>
      <c r="D546" s="21" t="n">
        <f aca="false">SQRT(SUMXMY2(5_Ponderada!C549:Q549,5_Ponderada!$C$7:$Q$7))</f>
        <v>0.0049429103161041</v>
      </c>
      <c r="E546" s="21" t="n">
        <f aca="false">D546/(C546+D546)</f>
        <v>0.199344253305949</v>
      </c>
      <c r="F546" s="15" t="n">
        <f aca="false">MIN(5,INT(E546/0.2)+1)</f>
        <v>1</v>
      </c>
      <c r="G546" s="21" t="n">
        <v>0.199344253305949</v>
      </c>
      <c r="H546" s="28" t="n">
        <f aca="false">ABS(E546-G546)</f>
        <v>0</v>
      </c>
      <c r="I546" s="15" t="n">
        <v>1</v>
      </c>
      <c r="J546" s="21" t="n">
        <f aca="false">(SUMPRODUCT(2_Matriz_decision!C546:Q546,5_Ponderada!$C$5:$Q$5)-1)/4</f>
        <v>0.189781683422377</v>
      </c>
      <c r="K546" s="15" t="n">
        <f aca="false">MIN(5,INT(J546/0.2)+1)</f>
        <v>1</v>
      </c>
      <c r="L546" s="21" t="n">
        <v>0.189781683422377</v>
      </c>
    </row>
    <row r="547" customFormat="false" ht="15" hidden="false" customHeight="false" outlineLevel="0" collapsed="false">
      <c r="A547" s="15" t="n">
        <f aca="false">2_Matriz_decision!A547</f>
        <v>543</v>
      </c>
      <c r="B547" s="16" t="n">
        <f aca="false">2_Matriz_decision!B547</f>
        <v>54.475</v>
      </c>
      <c r="C547" s="21" t="n">
        <f aca="false">SQRT(SUMXMY2(5_Ponderada!C550:Q550,5_Ponderada!$C$6:$Q$6))</f>
        <v>0.0198593343853156</v>
      </c>
      <c r="D547" s="21" t="n">
        <f aca="false">SQRT(SUMXMY2(5_Ponderada!C550:Q550,5_Ponderada!$C$7:$Q$7))</f>
        <v>0.00493155848363334</v>
      </c>
      <c r="E547" s="21" t="n">
        <f aca="false">D547/(C547+D547)</f>
        <v>0.198926214949289</v>
      </c>
      <c r="F547" s="15" t="n">
        <f aca="false">MIN(5,INT(E547/0.2)+1)</f>
        <v>1</v>
      </c>
      <c r="G547" s="21" t="n">
        <v>0.198926214949289</v>
      </c>
      <c r="H547" s="28" t="n">
        <f aca="false">ABS(E547-G547)</f>
        <v>0</v>
      </c>
      <c r="I547" s="15" t="n">
        <v>1</v>
      </c>
      <c r="J547" s="21" t="n">
        <f aca="false">(SUMPRODUCT(2_Matriz_decision!C547:Q547,5_Ponderada!$C$5:$Q$5)-1)/4</f>
        <v>0.188075577071236</v>
      </c>
      <c r="K547" s="15" t="n">
        <f aca="false">MIN(5,INT(J547/0.2)+1)</f>
        <v>1</v>
      </c>
      <c r="L547" s="21" t="n">
        <v>0.188075577071236</v>
      </c>
    </row>
    <row r="548" customFormat="false" ht="15" hidden="false" customHeight="false" outlineLevel="0" collapsed="false">
      <c r="A548" s="15" t="n">
        <f aca="false">2_Matriz_decision!A548</f>
        <v>544</v>
      </c>
      <c r="B548" s="16" t="n">
        <f aca="false">2_Matriz_decision!B548</f>
        <v>54.576</v>
      </c>
      <c r="C548" s="21" t="n">
        <f aca="false">SQRT(SUMXMY2(5_Ponderada!C551:Q551,5_Ponderada!$C$6:$Q$6))</f>
        <v>0.0200121674446376</v>
      </c>
      <c r="D548" s="21" t="n">
        <f aca="false">SQRT(SUMXMY2(5_Ponderada!C551:Q551,5_Ponderada!$C$7:$Q$7))</f>
        <v>0.00364258655314063</v>
      </c>
      <c r="E548" s="21" t="n">
        <f aca="false">D548/(C548+D548)</f>
        <v>0.153989618893638</v>
      </c>
      <c r="F548" s="15" t="n">
        <f aca="false">MIN(5,INT(E548/0.2)+1)</f>
        <v>1</v>
      </c>
      <c r="G548" s="21" t="n">
        <v>0.153989618893638</v>
      </c>
      <c r="H548" s="28" t="n">
        <f aca="false">ABS(E548-G548)</f>
        <v>0</v>
      </c>
      <c r="I548" s="15" t="n">
        <v>1</v>
      </c>
      <c r="J548" s="21" t="n">
        <f aca="false">(SUMPRODUCT(2_Matriz_decision!C548:Q548,5_Ponderada!$C$5:$Q$5)-1)/4</f>
        <v>0.164530907249238</v>
      </c>
      <c r="K548" s="15" t="n">
        <f aca="false">MIN(5,INT(J548/0.2)+1)</f>
        <v>1</v>
      </c>
      <c r="L548" s="21" t="n">
        <v>0.164530907249239</v>
      </c>
    </row>
    <row r="549" customFormat="false" ht="15" hidden="false" customHeight="false" outlineLevel="0" collapsed="false">
      <c r="A549" s="15" t="n">
        <f aca="false">2_Matriz_decision!A549</f>
        <v>545</v>
      </c>
      <c r="B549" s="16" t="n">
        <f aca="false">2_Matriz_decision!B549</f>
        <v>54.676</v>
      </c>
      <c r="C549" s="21" t="n">
        <f aca="false">SQRT(SUMXMY2(5_Ponderada!C552:Q552,5_Ponderada!$C$6:$Q$6))</f>
        <v>0.020011560423106</v>
      </c>
      <c r="D549" s="21" t="n">
        <f aca="false">SQRT(SUMXMY2(5_Ponderada!C552:Q552,5_Ponderada!$C$7:$Q$7))</f>
        <v>0.00364394430795337</v>
      </c>
      <c r="E549" s="21" t="n">
        <f aca="false">D549/(C549+D549)</f>
        <v>0.154042128856753</v>
      </c>
      <c r="F549" s="15" t="n">
        <f aca="false">MIN(5,INT(E549/0.2)+1)</f>
        <v>1</v>
      </c>
      <c r="G549" s="21" t="n">
        <v>0.154042128856753</v>
      </c>
      <c r="H549" s="28" t="n">
        <f aca="false">ABS(E549-G549)</f>
        <v>0</v>
      </c>
      <c r="I549" s="15" t="n">
        <v>1</v>
      </c>
      <c r="J549" s="21" t="n">
        <f aca="false">(SUMPRODUCT(2_Matriz_decision!C549:Q549,5_Ponderada!$C$5:$Q$5)-1)/4</f>
        <v>0.164690268831487</v>
      </c>
      <c r="K549" s="15" t="n">
        <f aca="false">MIN(5,INT(J549/0.2)+1)</f>
        <v>1</v>
      </c>
      <c r="L549" s="21" t="n">
        <v>0.164690268831488</v>
      </c>
    </row>
    <row r="550" customFormat="false" ht="15" hidden="false" customHeight="false" outlineLevel="0" collapsed="false">
      <c r="A550" s="15" t="n">
        <f aca="false">2_Matriz_decision!A550</f>
        <v>546</v>
      </c>
      <c r="B550" s="16" t="n">
        <f aca="false">2_Matriz_decision!B550</f>
        <v>54.777</v>
      </c>
      <c r="C550" s="21" t="n">
        <f aca="false">SQRT(SUMXMY2(5_Ponderada!C553:Q553,5_Ponderada!$C$6:$Q$6))</f>
        <v>0.0200136826287231</v>
      </c>
      <c r="D550" s="21" t="n">
        <f aca="false">SQRT(SUMXMY2(5_Ponderada!C553:Q553,5_Ponderada!$C$7:$Q$7))</f>
        <v>0.00363931551359493</v>
      </c>
      <c r="E550" s="21" t="n">
        <f aca="false">D550/(C550+D550)</f>
        <v>0.153862757342536</v>
      </c>
      <c r="F550" s="15" t="n">
        <f aca="false">MIN(5,INT(E550/0.2)+1)</f>
        <v>1</v>
      </c>
      <c r="G550" s="21" t="n">
        <v>0.153862757342536</v>
      </c>
      <c r="H550" s="28" t="n">
        <f aca="false">ABS(E550-G550)</f>
        <v>0</v>
      </c>
      <c r="I550" s="15" t="n">
        <v>1</v>
      </c>
      <c r="J550" s="21" t="n">
        <f aca="false">(SUMPRODUCT(2_Matriz_decision!C550:Q550,5_Ponderada!$C$5:$Q$5)-1)/4</f>
        <v>0.164137190398975</v>
      </c>
      <c r="K550" s="15" t="n">
        <f aca="false">MIN(5,INT(J550/0.2)+1)</f>
        <v>1</v>
      </c>
      <c r="L550" s="21" t="n">
        <v>0.164137190398975</v>
      </c>
    </row>
    <row r="551" customFormat="false" ht="15" hidden="false" customHeight="false" outlineLevel="0" collapsed="false">
      <c r="A551" s="15" t="n">
        <f aca="false">2_Matriz_decision!A551</f>
        <v>547</v>
      </c>
      <c r="B551" s="16" t="n">
        <f aca="false">2_Matriz_decision!B551</f>
        <v>54.877</v>
      </c>
      <c r="C551" s="21" t="n">
        <f aca="false">SQRT(SUMXMY2(5_Ponderada!C554:Q554,5_Ponderada!$C$6:$Q$6))</f>
        <v>0.0200121316375047</v>
      </c>
      <c r="D551" s="21" t="n">
        <f aca="false">SQRT(SUMXMY2(5_Ponderada!C554:Q554,5_Ponderada!$C$7:$Q$7))</f>
        <v>0.00364266588298628</v>
      </c>
      <c r="E551" s="21" t="n">
        <f aca="false">D551/(C551+D551)</f>
        <v>0.153992689213713</v>
      </c>
      <c r="F551" s="15" t="n">
        <f aca="false">MIN(5,INT(E551/0.2)+1)</f>
        <v>1</v>
      </c>
      <c r="G551" s="21" t="n">
        <v>0.153992689213713</v>
      </c>
      <c r="H551" s="28" t="n">
        <f aca="false">ABS(E551-G551)</f>
        <v>0</v>
      </c>
      <c r="I551" s="15" t="n">
        <v>1</v>
      </c>
      <c r="J551" s="21" t="n">
        <f aca="false">(SUMPRODUCT(2_Matriz_decision!C551:Q551,5_Ponderada!$C$5:$Q$5)-1)/4</f>
        <v>0.164540281459959</v>
      </c>
      <c r="K551" s="15" t="n">
        <f aca="false">MIN(5,INT(J551/0.2)+1)</f>
        <v>1</v>
      </c>
      <c r="L551" s="21" t="n">
        <v>0.164540281459959</v>
      </c>
    </row>
    <row r="552" customFormat="false" ht="15" hidden="false" customHeight="false" outlineLevel="0" collapsed="false">
      <c r="A552" s="15" t="n">
        <f aca="false">2_Matriz_decision!A552</f>
        <v>548</v>
      </c>
      <c r="B552" s="16" t="n">
        <f aca="false">2_Matriz_decision!B552</f>
        <v>54.977</v>
      </c>
      <c r="C552" s="21" t="n">
        <f aca="false">SQRT(SUMXMY2(5_Ponderada!C555:Q555,5_Ponderada!$C$6:$Q$6))</f>
        <v>0.020033757061272</v>
      </c>
      <c r="D552" s="21" t="n">
        <f aca="false">SQRT(SUMXMY2(5_Ponderada!C555:Q555,5_Ponderada!$C$7:$Q$7))</f>
        <v>0.00357212350472368</v>
      </c>
      <c r="E552" s="21" t="n">
        <f aca="false">D552/(C552+D552)</f>
        <v>0.151323459200642</v>
      </c>
      <c r="F552" s="15" t="n">
        <f aca="false">MIN(5,INT(E552/0.2)+1)</f>
        <v>1</v>
      </c>
      <c r="G552" s="21" t="n">
        <v>0.151323459200642</v>
      </c>
      <c r="H552" s="28" t="n">
        <f aca="false">ABS(E552-G552)</f>
        <v>0</v>
      </c>
      <c r="I552" s="15" t="n">
        <v>1</v>
      </c>
      <c r="J552" s="21" t="n">
        <f aca="false">(SUMPRODUCT(2_Matriz_decision!C552:Q552,5_Ponderada!$C$5:$Q$5)-1)/4</f>
        <v>0.153993744253002</v>
      </c>
      <c r="K552" s="15" t="n">
        <f aca="false">MIN(5,INT(J552/0.2)+1)</f>
        <v>1</v>
      </c>
      <c r="L552" s="21" t="n">
        <v>0.153993744253002</v>
      </c>
    </row>
    <row r="553" customFormat="false" ht="15" hidden="false" customHeight="false" outlineLevel="0" collapsed="false">
      <c r="A553" s="15" t="n">
        <f aca="false">2_Matriz_decision!A553</f>
        <v>549</v>
      </c>
      <c r="B553" s="16" t="n">
        <f aca="false">2_Matriz_decision!B553</f>
        <v>55.076</v>
      </c>
      <c r="C553" s="21" t="n">
        <f aca="false">SQRT(SUMXMY2(5_Ponderada!C556:Q556,5_Ponderada!$C$6:$Q$6))</f>
        <v>0.0200141560813851</v>
      </c>
      <c r="D553" s="21" t="n">
        <f aca="false">SQRT(SUMXMY2(5_Ponderada!C556:Q556,5_Ponderada!$C$7:$Q$7))</f>
        <v>0.00363832715416613</v>
      </c>
      <c r="E553" s="21" t="n">
        <f aca="false">D553/(C553+D553)</f>
        <v>0.153824320175291</v>
      </c>
      <c r="F553" s="15" t="n">
        <f aca="false">MIN(5,INT(E553/0.2)+1)</f>
        <v>1</v>
      </c>
      <c r="G553" s="21" t="n">
        <v>0.153824320175291</v>
      </c>
      <c r="H553" s="28" t="n">
        <f aca="false">ABS(E553-G553)</f>
        <v>0</v>
      </c>
      <c r="I553" s="15" t="n">
        <v>1</v>
      </c>
      <c r="J553" s="21" t="n">
        <f aca="false">(SUMPRODUCT(2_Matriz_decision!C553:Q553,5_Ponderada!$C$5:$Q$5)-1)/4</f>
        <v>0.164015325659608</v>
      </c>
      <c r="K553" s="15" t="n">
        <f aca="false">MIN(5,INT(J553/0.2)+1)</f>
        <v>1</v>
      </c>
      <c r="L553" s="21" t="n">
        <v>0.164015325659608</v>
      </c>
    </row>
    <row r="554" customFormat="false" ht="15" hidden="false" customHeight="false" outlineLevel="0" collapsed="false">
      <c r="A554" s="15" t="n">
        <f aca="false">2_Matriz_decision!A554</f>
        <v>550</v>
      </c>
      <c r="B554" s="16" t="n">
        <f aca="false">2_Matriz_decision!B554</f>
        <v>55.176</v>
      </c>
      <c r="C554" s="21" t="n">
        <f aca="false">SQRT(SUMXMY2(5_Ponderada!C557:Q557,5_Ponderada!$C$6:$Q$6))</f>
        <v>0.0200348856920135</v>
      </c>
      <c r="D554" s="21" t="n">
        <f aca="false">SQRT(SUMXMY2(5_Ponderada!C557:Q557,5_Ponderada!$C$7:$Q$7))</f>
        <v>0.00356972619974662</v>
      </c>
      <c r="E554" s="21" t="n">
        <f aca="false">D554/(C554+D554)</f>
        <v>0.15123003149197</v>
      </c>
      <c r="F554" s="15" t="n">
        <f aca="false">MIN(5,INT(E554/0.2)+1)</f>
        <v>1</v>
      </c>
      <c r="G554" s="21" t="n">
        <v>0.15123003149197</v>
      </c>
      <c r="H554" s="28" t="n">
        <f aca="false">ABS(E554-G554)</f>
        <v>0</v>
      </c>
      <c r="I554" s="15" t="n">
        <v>1</v>
      </c>
      <c r="J554" s="21" t="n">
        <f aca="false">(SUMPRODUCT(2_Matriz_decision!C554:Q554,5_Ponderada!$C$5:$Q$5)-1)/4</f>
        <v>0.153703143720665</v>
      </c>
      <c r="K554" s="15" t="n">
        <f aca="false">MIN(5,INT(J554/0.2)+1)</f>
        <v>1</v>
      </c>
      <c r="L554" s="21" t="n">
        <v>0.153703143720665</v>
      </c>
    </row>
    <row r="555" customFormat="false" ht="15" hidden="false" customHeight="false" outlineLevel="0" collapsed="false">
      <c r="A555" s="15" t="n">
        <f aca="false">2_Matriz_decision!A555</f>
        <v>551</v>
      </c>
      <c r="B555" s="16" t="n">
        <f aca="false">2_Matriz_decision!B555</f>
        <v>55.275</v>
      </c>
      <c r="C555" s="21" t="n">
        <f aca="false">SQRT(SUMXMY2(5_Ponderada!C558:Q558,5_Ponderada!$C$6:$Q$6))</f>
        <v>0.0200358784653482</v>
      </c>
      <c r="D555" s="21" t="n">
        <f aca="false">SQRT(SUMXMY2(5_Ponderada!C558:Q558,5_Ponderada!$C$7:$Q$7))</f>
        <v>0.0035676920840906</v>
      </c>
      <c r="E555" s="21" t="n">
        <f aca="false">D555/(C555+D555)</f>
        <v>0.151150525155417</v>
      </c>
      <c r="F555" s="15" t="n">
        <f aca="false">MIN(5,INT(E555/0.2)+1)</f>
        <v>1</v>
      </c>
      <c r="G555" s="21" t="n">
        <v>0.151150525155417</v>
      </c>
      <c r="H555" s="28" t="n">
        <f aca="false">ABS(E555-G555)</f>
        <v>0</v>
      </c>
      <c r="I555" s="15" t="n">
        <v>1</v>
      </c>
      <c r="J555" s="21" t="n">
        <f aca="false">(SUMPRODUCT(2_Matriz_decision!C555:Q555,5_Ponderada!$C$5:$Q$5)-1)/4</f>
        <v>0.15345004003121</v>
      </c>
      <c r="K555" s="15" t="n">
        <f aca="false">MIN(5,INT(J555/0.2)+1)</f>
        <v>1</v>
      </c>
      <c r="L555" s="21" t="n">
        <v>0.15345004003121</v>
      </c>
    </row>
    <row r="556" customFormat="false" ht="15" hidden="false" customHeight="false" outlineLevel="0" collapsed="false">
      <c r="A556" s="15" t="n">
        <f aca="false">2_Matriz_decision!A556</f>
        <v>552</v>
      </c>
      <c r="B556" s="16" t="n">
        <f aca="false">2_Matriz_decision!B556</f>
        <v>55.374</v>
      </c>
      <c r="C556" s="21" t="n">
        <f aca="false">SQRT(SUMXMY2(5_Ponderada!C559:Q559,5_Ponderada!$C$6:$Q$6))</f>
        <v>0.019996761847982</v>
      </c>
      <c r="D556" s="21" t="n">
        <f aca="false">SQRT(SUMXMY2(5_Ponderada!C559:Q559,5_Ponderada!$C$7:$Q$7))</f>
        <v>0.00360069844595317</v>
      </c>
      <c r="E556" s="21" t="n">
        <f aca="false">D556/(C556+D556)</f>
        <v>0.152588388797018</v>
      </c>
      <c r="F556" s="15" t="n">
        <f aca="false">MIN(5,INT(E556/0.2)+1)</f>
        <v>1</v>
      </c>
      <c r="G556" s="21" t="n">
        <v>0.152588388797018</v>
      </c>
      <c r="H556" s="28" t="n">
        <f aca="false">ABS(E556-G556)</f>
        <v>0</v>
      </c>
      <c r="I556" s="15" t="n">
        <v>1</v>
      </c>
      <c r="J556" s="21" t="n">
        <f aca="false">(SUMPRODUCT(2_Matriz_decision!C556:Q556,5_Ponderada!$C$5:$Q$5)-1)/4</f>
        <v>0.165400593934832</v>
      </c>
      <c r="K556" s="15" t="n">
        <f aca="false">MIN(5,INT(J556/0.2)+1)</f>
        <v>1</v>
      </c>
      <c r="L556" s="21" t="n">
        <v>0.165400593934833</v>
      </c>
    </row>
    <row r="557" customFormat="false" ht="15" hidden="false" customHeight="false" outlineLevel="0" collapsed="false">
      <c r="A557" s="15" t="n">
        <f aca="false">2_Matriz_decision!A557</f>
        <v>553</v>
      </c>
      <c r="B557" s="16" t="n">
        <f aca="false">2_Matriz_decision!B557</f>
        <v>55.474</v>
      </c>
      <c r="C557" s="21" t="n">
        <f aca="false">SQRT(SUMXMY2(5_Ponderada!C560:Q560,5_Ponderada!$C$6:$Q$6))</f>
        <v>0.0199641708119334</v>
      </c>
      <c r="D557" s="21" t="n">
        <f aca="false">SQRT(SUMXMY2(5_Ponderada!C560:Q560,5_Ponderada!$C$7:$Q$7))</f>
        <v>0.00378552026093161</v>
      </c>
      <c r="E557" s="21" t="n">
        <f aca="false">D557/(C557+D557)</f>
        <v>0.159392400066067</v>
      </c>
      <c r="F557" s="15" t="n">
        <f aca="false">MIN(5,INT(E557/0.2)+1)</f>
        <v>1</v>
      </c>
      <c r="G557" s="21" t="n">
        <v>0.159392400066067</v>
      </c>
      <c r="H557" s="28" t="n">
        <f aca="false">ABS(E557-G557)</f>
        <v>0</v>
      </c>
      <c r="I557" s="15" t="n">
        <v>1</v>
      </c>
      <c r="J557" s="21" t="n">
        <f aca="false">(SUMPRODUCT(2_Matriz_decision!C557:Q557,5_Ponderada!$C$5:$Q$5)-1)/4</f>
        <v>0.187325113452457</v>
      </c>
      <c r="K557" s="15" t="n">
        <f aca="false">MIN(5,INT(J557/0.2)+1)</f>
        <v>1</v>
      </c>
      <c r="L557" s="21" t="n">
        <v>0.187325113452457</v>
      </c>
    </row>
    <row r="558" customFormat="false" ht="15" hidden="false" customHeight="false" outlineLevel="0" collapsed="false">
      <c r="A558" s="15" t="n">
        <f aca="false">2_Matriz_decision!A558</f>
        <v>554</v>
      </c>
      <c r="B558" s="16" t="n">
        <f aca="false">2_Matriz_decision!B558</f>
        <v>55.573</v>
      </c>
      <c r="C558" s="21" t="n">
        <f aca="false">SQRT(SUMXMY2(5_Ponderada!C561:Q561,5_Ponderada!$C$6:$Q$6))</f>
        <v>0.0197900522483676</v>
      </c>
      <c r="D558" s="21" t="n">
        <f aca="false">SQRT(SUMXMY2(5_Ponderada!C561:Q561,5_Ponderada!$C$7:$Q$7))</f>
        <v>0.0050868851573476</v>
      </c>
      <c r="E558" s="21" t="n">
        <f aca="false">D558/(C558+D558)</f>
        <v>0.204481969560246</v>
      </c>
      <c r="F558" s="15" t="n">
        <f aca="false">MIN(5,INT(E558/0.2)+1)</f>
        <v>2</v>
      </c>
      <c r="G558" s="21" t="n">
        <v>0.204481969560246</v>
      </c>
      <c r="H558" s="28" t="n">
        <f aca="false">ABS(E558-G558)</f>
        <v>0</v>
      </c>
      <c r="I558" s="15" t="n">
        <v>2</v>
      </c>
      <c r="J558" s="21" t="n">
        <f aca="false">(SUMPRODUCT(2_Matriz_decision!C558:Q558,5_Ponderada!$C$5:$Q$5)-1)/4</f>
        <v>0.221172591002677</v>
      </c>
      <c r="K558" s="15" t="n">
        <f aca="false">MIN(5,INT(J558/0.2)+1)</f>
        <v>2</v>
      </c>
      <c r="L558" s="21" t="n">
        <v>0.221172591002677</v>
      </c>
    </row>
    <row r="559" customFormat="false" ht="15" hidden="false" customHeight="false" outlineLevel="0" collapsed="false">
      <c r="A559" s="15" t="n">
        <f aca="false">2_Matriz_decision!A559</f>
        <v>555</v>
      </c>
      <c r="B559" s="16" t="n">
        <f aca="false">2_Matriz_decision!B559</f>
        <v>55.672</v>
      </c>
      <c r="C559" s="21" t="n">
        <f aca="false">SQRT(SUMXMY2(5_Ponderada!C562:Q562,5_Ponderada!$C$6:$Q$6))</f>
        <v>0.0197845158499544</v>
      </c>
      <c r="D559" s="21" t="n">
        <f aca="false">SQRT(SUMXMY2(5_Ponderada!C562:Q562,5_Ponderada!$C$7:$Q$7))</f>
        <v>0.00509538872090253</v>
      </c>
      <c r="E559" s="21" t="n">
        <f aca="false">D559/(C559+D559)</f>
        <v>0.204799367553484</v>
      </c>
      <c r="F559" s="15" t="n">
        <f aca="false">MIN(5,INT(E559/0.2)+1)</f>
        <v>2</v>
      </c>
      <c r="G559" s="21" t="n">
        <v>0.204799367553484</v>
      </c>
      <c r="H559" s="28" t="n">
        <f aca="false">ABS(E559-G559)</f>
        <v>0</v>
      </c>
      <c r="I559" s="15" t="n">
        <v>2</v>
      </c>
      <c r="J559" s="21" t="n">
        <f aca="false">(SUMPRODUCT(2_Matriz_decision!C559:Q559,5_Ponderada!$C$5:$Q$5)-1)/4</f>
        <v>0.222597471032201</v>
      </c>
      <c r="K559" s="15" t="n">
        <f aca="false">MIN(5,INT(J559/0.2)+1)</f>
        <v>2</v>
      </c>
      <c r="L559" s="21" t="n">
        <v>0.222597471032201</v>
      </c>
    </row>
    <row r="560" customFormat="false" ht="15" hidden="false" customHeight="false" outlineLevel="0" collapsed="false">
      <c r="A560" s="15" t="n">
        <f aca="false">2_Matriz_decision!A560</f>
        <v>556</v>
      </c>
      <c r="B560" s="16" t="n">
        <f aca="false">2_Matriz_decision!B560</f>
        <v>55.771</v>
      </c>
      <c r="C560" s="21" t="n">
        <f aca="false">SQRT(SUMXMY2(5_Ponderada!C563:Q563,5_Ponderada!$C$6:$Q$6))</f>
        <v>0.0197793722255093</v>
      </c>
      <c r="D560" s="21" t="n">
        <f aca="false">SQRT(SUMXMY2(5_Ponderada!C563:Q563,5_Ponderada!$C$7:$Q$7))</f>
        <v>0.0051048151136243</v>
      </c>
      <c r="E560" s="21" t="n">
        <f aca="false">D560/(C560+D560)</f>
        <v>0.205142930490494</v>
      </c>
      <c r="F560" s="15" t="n">
        <f aca="false">MIN(5,INT(E560/0.2)+1)</f>
        <v>2</v>
      </c>
      <c r="G560" s="21" t="n">
        <v>0.205142930490494</v>
      </c>
      <c r="H560" s="28" t="n">
        <f aca="false">ABS(E560-G560)</f>
        <v>0</v>
      </c>
      <c r="I560" s="15" t="n">
        <v>2</v>
      </c>
      <c r="J560" s="21" t="n">
        <f aca="false">(SUMPRODUCT(2_Matriz_decision!C560:Q560,5_Ponderada!$C$5:$Q$5)-1)/4</f>
        <v>0.223994228429563</v>
      </c>
      <c r="K560" s="15" t="n">
        <f aca="false">MIN(5,INT(J560/0.2)+1)</f>
        <v>2</v>
      </c>
      <c r="L560" s="21" t="n">
        <v>0.223994228429564</v>
      </c>
    </row>
    <row r="561" customFormat="false" ht="15" hidden="false" customHeight="false" outlineLevel="0" collapsed="false">
      <c r="A561" s="15" t="n">
        <f aca="false">2_Matriz_decision!A561</f>
        <v>557</v>
      </c>
      <c r="B561" s="16" t="n">
        <f aca="false">2_Matriz_decision!B561</f>
        <v>55.869</v>
      </c>
      <c r="C561" s="21" t="n">
        <f aca="false">SQRT(SUMXMY2(5_Ponderada!C564:Q564,5_Ponderada!$C$6:$Q$6))</f>
        <v>0.0197462945179692</v>
      </c>
      <c r="D561" s="21" t="n">
        <f aca="false">SQRT(SUMXMY2(5_Ponderada!C564:Q564,5_Ponderada!$C$7:$Q$7))</f>
        <v>0.00523452987659785</v>
      </c>
      <c r="E561" s="21" t="n">
        <f aca="false">D561/(C561+D561)</f>
        <v>0.209541918790169</v>
      </c>
      <c r="F561" s="15" t="n">
        <f aca="false">MIN(5,INT(E561/0.2)+1)</f>
        <v>2</v>
      </c>
      <c r="G561" s="21" t="n">
        <v>0.209541918790169</v>
      </c>
      <c r="H561" s="28" t="n">
        <f aca="false">ABS(E561-G561)</f>
        <v>0</v>
      </c>
      <c r="I561" s="15" t="n">
        <v>2</v>
      </c>
      <c r="J561" s="21" t="n">
        <f aca="false">(SUMPRODUCT(2_Matriz_decision!C561:Q561,5_Ponderada!$C$5:$Q$5)-1)/4</f>
        <v>0.244025902120637</v>
      </c>
      <c r="K561" s="15" t="n">
        <f aca="false">MIN(5,INT(J561/0.2)+1)</f>
        <v>2</v>
      </c>
      <c r="L561" s="21" t="n">
        <v>0.244025902120638</v>
      </c>
    </row>
    <row r="562" customFormat="false" ht="15" hidden="false" customHeight="false" outlineLevel="0" collapsed="false">
      <c r="A562" s="15" t="n">
        <f aca="false">2_Matriz_decision!A562</f>
        <v>558</v>
      </c>
      <c r="B562" s="16" t="n">
        <f aca="false">2_Matriz_decision!B562</f>
        <v>55.968</v>
      </c>
      <c r="C562" s="21" t="n">
        <f aca="false">SQRT(SUMXMY2(5_Ponderada!C565:Q565,5_Ponderada!$C$6:$Q$6))</f>
        <v>0.0197601093806149</v>
      </c>
      <c r="D562" s="21" t="n">
        <f aca="false">SQRT(SUMXMY2(5_Ponderada!C565:Q565,5_Ponderada!$C$7:$Q$7))</f>
        <v>0.00515393795885837</v>
      </c>
      <c r="E562" s="21" t="n">
        <f aca="false">D562/(C562+D562)</f>
        <v>0.206868755149734</v>
      </c>
      <c r="F562" s="15" t="n">
        <f aca="false">MIN(5,INT(E562/0.2)+1)</f>
        <v>2</v>
      </c>
      <c r="G562" s="21" t="n">
        <v>0.206868755149734</v>
      </c>
      <c r="H562" s="28" t="n">
        <f aca="false">ABS(E562-G562)</f>
        <v>0</v>
      </c>
      <c r="I562" s="15" t="n">
        <v>2</v>
      </c>
      <c r="J562" s="21" t="n">
        <f aca="false">(SUMPRODUCT(2_Matriz_decision!C562:Q562,5_Ponderada!$C$5:$Q$5)-1)/4</f>
        <v>0.233441868070798</v>
      </c>
      <c r="K562" s="15" t="n">
        <f aca="false">MIN(5,INT(J562/0.2)+1)</f>
        <v>2</v>
      </c>
      <c r="L562" s="21" t="n">
        <v>0.233441868070799</v>
      </c>
    </row>
    <row r="563" customFormat="false" ht="15" hidden="false" customHeight="false" outlineLevel="0" collapsed="false">
      <c r="A563" s="15" t="n">
        <f aca="false">2_Matriz_decision!A563</f>
        <v>559</v>
      </c>
      <c r="B563" s="16" t="n">
        <f aca="false">2_Matriz_decision!B563</f>
        <v>56.066</v>
      </c>
      <c r="C563" s="21" t="n">
        <f aca="false">SQRT(SUMXMY2(5_Ponderada!C566:Q566,5_Ponderada!$C$6:$Q$6))</f>
        <v>0.019739975728962</v>
      </c>
      <c r="D563" s="21" t="n">
        <f aca="false">SQRT(SUMXMY2(5_Ponderada!C566:Q566,5_Ponderada!$C$7:$Q$7))</f>
        <v>0.0052633707503895</v>
      </c>
      <c r="E563" s="21" t="n">
        <f aca="false">D563/(C563+D563)</f>
        <v>0.21050665176904</v>
      </c>
      <c r="F563" s="15" t="n">
        <f aca="false">MIN(5,INT(E563/0.2)+1)</f>
        <v>2</v>
      </c>
      <c r="G563" s="21" t="n">
        <v>0.21050665176904</v>
      </c>
      <c r="H563" s="28" t="n">
        <f aca="false">ABS(E563-G563)</f>
        <v>0</v>
      </c>
      <c r="I563" s="15" t="n">
        <v>2</v>
      </c>
      <c r="J563" s="21" t="n">
        <f aca="false">(SUMPRODUCT(2_Matriz_decision!C563:Q563,5_Ponderada!$C$5:$Q$5)-1)/4</f>
        <v>0.246011119881978</v>
      </c>
      <c r="K563" s="15" t="n">
        <f aca="false">MIN(5,INT(J563/0.2)+1)</f>
        <v>2</v>
      </c>
      <c r="L563" s="21" t="n">
        <v>0.246011119881978</v>
      </c>
    </row>
    <row r="564" customFormat="false" ht="15" hidden="false" customHeight="false" outlineLevel="0" collapsed="false">
      <c r="A564" s="15" t="n">
        <f aca="false">2_Matriz_decision!A564</f>
        <v>560</v>
      </c>
      <c r="B564" s="16" t="n">
        <f aca="false">2_Matriz_decision!B564</f>
        <v>56.165</v>
      </c>
      <c r="C564" s="21" t="n">
        <f aca="false">SQRT(SUMXMY2(5_Ponderada!C567:Q567,5_Ponderada!$C$6:$Q$6))</f>
        <v>0.0197247529495852</v>
      </c>
      <c r="D564" s="21" t="n">
        <f aca="false">SQRT(SUMXMY2(5_Ponderada!C567:Q567,5_Ponderada!$C$7:$Q$7))</f>
        <v>0.00534507032765734</v>
      </c>
      <c r="E564" s="21" t="n">
        <f aca="false">D564/(C564+D564)</f>
        <v>0.213207339698697</v>
      </c>
      <c r="F564" s="15" t="n">
        <f aca="false">MIN(5,INT(E564/0.2)+1)</f>
        <v>2</v>
      </c>
      <c r="G564" s="21" t="n">
        <v>0.213207339698697</v>
      </c>
      <c r="H564" s="28" t="n">
        <f aca="false">ABS(E564-G564)</f>
        <v>0</v>
      </c>
      <c r="I564" s="15" t="n">
        <v>2</v>
      </c>
      <c r="J564" s="21" t="n">
        <f aca="false">(SUMPRODUCT(2_Matriz_decision!C564:Q564,5_Ponderada!$C$5:$Q$5)-1)/4</f>
        <v>0.25698887078208</v>
      </c>
      <c r="K564" s="15" t="n">
        <f aca="false">MIN(5,INT(J564/0.2)+1)</f>
        <v>2</v>
      </c>
      <c r="L564" s="21" t="n">
        <v>0.25698887078208</v>
      </c>
    </row>
    <row r="565" customFormat="false" ht="15" hidden="false" customHeight="false" outlineLevel="0" collapsed="false">
      <c r="A565" s="15" t="n">
        <f aca="false">2_Matriz_decision!A565</f>
        <v>561</v>
      </c>
      <c r="B565" s="16" t="n">
        <f aca="false">2_Matriz_decision!B565</f>
        <v>56.264</v>
      </c>
      <c r="C565" s="21" t="n">
        <f aca="false">SQRT(SUMXMY2(5_Ponderada!C568:Q568,5_Ponderada!$C$6:$Q$6))</f>
        <v>0.019736450036483</v>
      </c>
      <c r="D565" s="21" t="n">
        <f aca="false">SQRT(SUMXMY2(5_Ponderada!C568:Q568,5_Ponderada!$C$7:$Q$7))</f>
        <v>0.00526963200235621</v>
      </c>
      <c r="E565" s="21" t="n">
        <f aca="false">D565/(C565+D565)</f>
        <v>0.210734012396323</v>
      </c>
      <c r="F565" s="15" t="n">
        <f aca="false">MIN(5,INT(E565/0.2)+1)</f>
        <v>2</v>
      </c>
      <c r="G565" s="21" t="n">
        <v>0.210734012396324</v>
      </c>
      <c r="H565" s="28" t="n">
        <f aca="false">ABS(E565-G565)</f>
        <v>0</v>
      </c>
      <c r="I565" s="15" t="n">
        <v>2</v>
      </c>
      <c r="J565" s="21" t="n">
        <f aca="false">(SUMPRODUCT(2_Matriz_decision!C565:Q565,5_Ponderada!$C$5:$Q$5)-1)/4</f>
        <v>0.246967289375474</v>
      </c>
      <c r="K565" s="15" t="n">
        <f aca="false">MIN(5,INT(J565/0.2)+1)</f>
        <v>2</v>
      </c>
      <c r="L565" s="21" t="n">
        <v>0.246967289375475</v>
      </c>
    </row>
    <row r="566" customFormat="false" ht="15" hidden="false" customHeight="false" outlineLevel="0" collapsed="false">
      <c r="A566" s="15" t="n">
        <f aca="false">2_Matriz_decision!A566</f>
        <v>562</v>
      </c>
      <c r="B566" s="16" t="n">
        <f aca="false">2_Matriz_decision!B566</f>
        <v>56.363</v>
      </c>
      <c r="C566" s="21" t="n">
        <f aca="false">SQRT(SUMXMY2(5_Ponderada!C569:Q569,5_Ponderada!$C$6:$Q$6))</f>
        <v>0.0182800672006525</v>
      </c>
      <c r="D566" s="21" t="n">
        <f aca="false">SQRT(SUMXMY2(5_Ponderada!C569:Q569,5_Ponderada!$C$7:$Q$7))</f>
        <v>0.00597501131367777</v>
      </c>
      <c r="E566" s="21" t="n">
        <f aca="false">D566/(C566+D566)</f>
        <v>0.246340629660202</v>
      </c>
      <c r="F566" s="15" t="n">
        <f aca="false">MIN(5,INT(E566/0.2)+1)</f>
        <v>2</v>
      </c>
      <c r="G566" s="21" t="n">
        <v>0.246340629660202</v>
      </c>
      <c r="H566" s="28" t="n">
        <f aca="false">ABS(E566-G566)</f>
        <v>0</v>
      </c>
      <c r="I566" s="15" t="n">
        <v>2</v>
      </c>
      <c r="J566" s="21" t="n">
        <f aca="false">(SUMPRODUCT(2_Matriz_decision!C566:Q566,5_Ponderada!$C$5:$Q$5)-1)/4</f>
        <v>0.294810817250212</v>
      </c>
      <c r="K566" s="15" t="n">
        <f aca="false">MIN(5,INT(J566/0.2)+1)</f>
        <v>2</v>
      </c>
      <c r="L566" s="21" t="n">
        <v>0.294810817250213</v>
      </c>
    </row>
    <row r="567" customFormat="false" ht="15" hidden="false" customHeight="false" outlineLevel="0" collapsed="false">
      <c r="A567" s="15" t="n">
        <f aca="false">2_Matriz_decision!A567</f>
        <v>563</v>
      </c>
      <c r="B567" s="16" t="n">
        <f aca="false">2_Matriz_decision!B567</f>
        <v>56.462</v>
      </c>
      <c r="C567" s="21" t="n">
        <f aca="false">SQRT(SUMXMY2(5_Ponderada!C570:Q570,5_Ponderada!$C$6:$Q$6))</f>
        <v>0.0182789576936009</v>
      </c>
      <c r="D567" s="21" t="n">
        <f aca="false">SQRT(SUMXMY2(5_Ponderada!C570:Q570,5_Ponderada!$C$7:$Q$7))</f>
        <v>0.0059768337434199</v>
      </c>
      <c r="E567" s="21" t="n">
        <f aca="false">D567/(C567+D567)</f>
        <v>0.246408523050609</v>
      </c>
      <c r="F567" s="15" t="n">
        <f aca="false">MIN(5,INT(E567/0.2)+1)</f>
        <v>2</v>
      </c>
      <c r="G567" s="21" t="n">
        <v>0.246408523050609</v>
      </c>
      <c r="H567" s="28" t="n">
        <f aca="false">ABS(E567-G567)</f>
        <v>0</v>
      </c>
      <c r="I567" s="15" t="n">
        <v>2</v>
      </c>
      <c r="J567" s="21" t="n">
        <f aca="false">(SUMPRODUCT(2_Matriz_decision!C567:Q567,5_Ponderada!$C$5:$Q$5)-1)/4</f>
        <v>0.29510141778255</v>
      </c>
      <c r="K567" s="15" t="n">
        <f aca="false">MIN(5,INT(J567/0.2)+1)</f>
        <v>2</v>
      </c>
      <c r="L567" s="21" t="n">
        <v>0.29510141778255</v>
      </c>
    </row>
    <row r="568" customFormat="false" ht="15" hidden="false" customHeight="false" outlineLevel="0" collapsed="false">
      <c r="A568" s="15" t="n">
        <f aca="false">2_Matriz_decision!A568</f>
        <v>564</v>
      </c>
      <c r="B568" s="16" t="n">
        <f aca="false">2_Matriz_decision!B568</f>
        <v>56.561</v>
      </c>
      <c r="C568" s="21" t="n">
        <f aca="false">SQRT(SUMXMY2(5_Ponderada!C571:Q571,5_Ponderada!$C$6:$Q$6))</f>
        <v>0.0182640032216752</v>
      </c>
      <c r="D568" s="21" t="n">
        <f aca="false">SQRT(SUMXMY2(5_Ponderada!C571:Q571,5_Ponderada!$C$7:$Q$7))</f>
        <v>0.00604724056647804</v>
      </c>
      <c r="E568" s="21" t="n">
        <f aca="false">D568/(C568+D568)</f>
        <v>0.248742541483</v>
      </c>
      <c r="F568" s="15" t="n">
        <f aca="false">MIN(5,INT(E568/0.2)+1)</f>
        <v>2</v>
      </c>
      <c r="G568" s="21" t="n">
        <v>0.248742541483</v>
      </c>
      <c r="H568" s="28" t="n">
        <f aca="false">ABS(E568-G568)</f>
        <v>0</v>
      </c>
      <c r="I568" s="15" t="n">
        <v>2</v>
      </c>
      <c r="J568" s="21" t="n">
        <f aca="false">(SUMPRODUCT(2_Matriz_decision!C568:Q568,5_Ponderada!$C$5:$Q$5)-1)/4</f>
        <v>0.305732322885991</v>
      </c>
      <c r="K568" s="15" t="n">
        <f aca="false">MIN(5,INT(J568/0.2)+1)</f>
        <v>2</v>
      </c>
      <c r="L568" s="21" t="n">
        <v>0.305732322885992</v>
      </c>
    </row>
    <row r="569" customFormat="false" ht="15" hidden="false" customHeight="false" outlineLevel="0" collapsed="false">
      <c r="A569" s="15" t="n">
        <f aca="false">2_Matriz_decision!A569</f>
        <v>565</v>
      </c>
      <c r="B569" s="16" t="n">
        <f aca="false">2_Matriz_decision!B569</f>
        <v>56.66</v>
      </c>
      <c r="C569" s="21" t="n">
        <f aca="false">SQRT(SUMXMY2(5_Ponderada!C572:Q572,5_Ponderada!$C$6:$Q$6))</f>
        <v>0.0182781430082943</v>
      </c>
      <c r="D569" s="21" t="n">
        <f aca="false">SQRT(SUMXMY2(5_Ponderada!C572:Q572,5_Ponderada!$C$7:$Q$7))</f>
        <v>0.00597821162311268</v>
      </c>
      <c r="E569" s="21" t="n">
        <f aca="false">D569/(C569+D569)</f>
        <v>0.24645960672805</v>
      </c>
      <c r="F569" s="15" t="n">
        <f aca="false">MIN(5,INT(E569/0.2)+1)</f>
        <v>2</v>
      </c>
      <c r="G569" s="21" t="n">
        <v>0.24645960672805</v>
      </c>
      <c r="H569" s="28" t="n">
        <f aca="false">ABS(E569-G569)</f>
        <v>0</v>
      </c>
      <c r="I569" s="15" t="n">
        <v>2</v>
      </c>
      <c r="J569" s="21" t="n">
        <f aca="false">(SUMPRODUCT(2_Matriz_decision!C569:Q569,5_Ponderada!$C$5:$Q$5)-1)/4</f>
        <v>0.295317024629122</v>
      </c>
      <c r="K569" s="15" t="n">
        <f aca="false">MIN(5,INT(J569/0.2)+1)</f>
        <v>2</v>
      </c>
      <c r="L569" s="21" t="n">
        <v>0.295317024629123</v>
      </c>
    </row>
    <row r="570" customFormat="false" ht="15" hidden="false" customHeight="false" outlineLevel="0" collapsed="false">
      <c r="A570" s="15" t="n">
        <f aca="false">2_Matriz_decision!A570</f>
        <v>566</v>
      </c>
      <c r="B570" s="16" t="n">
        <f aca="false">2_Matriz_decision!B570</f>
        <v>56.759</v>
      </c>
      <c r="C570" s="21" t="n">
        <f aca="false">SQRT(SUMXMY2(5_Ponderada!C573:Q573,5_Ponderada!$C$6:$Q$6))</f>
        <v>0.0182772656920395</v>
      </c>
      <c r="D570" s="21" t="n">
        <f aca="false">SQRT(SUMXMY2(5_Ponderada!C573:Q573,5_Ponderada!$C$7:$Q$7))</f>
        <v>0.00597973418223559</v>
      </c>
      <c r="E570" s="21" t="n">
        <f aca="false">D570/(C570+D570)</f>
        <v>0.246515818659718</v>
      </c>
      <c r="F570" s="15" t="n">
        <f aca="false">MIN(5,INT(E570/0.2)+1)</f>
        <v>2</v>
      </c>
      <c r="G570" s="21" t="n">
        <v>0.246515818659718</v>
      </c>
      <c r="H570" s="28" t="n">
        <f aca="false">ABS(E570-G570)</f>
        <v>0</v>
      </c>
      <c r="I570" s="15" t="n">
        <v>2</v>
      </c>
      <c r="J570" s="21" t="n">
        <f aca="false">(SUMPRODUCT(2_Matriz_decision!C570:Q570,5_Ponderada!$C$5:$Q$5)-1)/4</f>
        <v>0.295551379897136</v>
      </c>
      <c r="K570" s="15" t="n">
        <f aca="false">MIN(5,INT(J570/0.2)+1)</f>
        <v>2</v>
      </c>
      <c r="L570" s="21" t="n">
        <v>0.295551379897137</v>
      </c>
    </row>
    <row r="571" customFormat="false" ht="15" hidden="false" customHeight="false" outlineLevel="0" collapsed="false">
      <c r="A571" s="15" t="n">
        <f aca="false">2_Matriz_decision!A571</f>
        <v>567</v>
      </c>
      <c r="B571" s="16" t="n">
        <f aca="false">2_Matriz_decision!B571</f>
        <v>56.858</v>
      </c>
      <c r="C571" s="21" t="n">
        <f aca="false">SQRT(SUMXMY2(5_Ponderada!C574:Q574,5_Ponderada!$C$6:$Q$6))</f>
        <v>0.0171462279808585</v>
      </c>
      <c r="D571" s="21" t="n">
        <f aca="false">SQRT(SUMXMY2(5_Ponderada!C574:Q574,5_Ponderada!$C$7:$Q$7))</f>
        <v>0.00776639859264543</v>
      </c>
      <c r="E571" s="21" t="n">
        <f aca="false">D571/(C571+D571)</f>
        <v>0.311745474517948</v>
      </c>
      <c r="F571" s="15" t="n">
        <f aca="false">MIN(5,INT(E571/0.2)+1)</f>
        <v>2</v>
      </c>
      <c r="G571" s="21" t="n">
        <v>0.311745474517948</v>
      </c>
      <c r="H571" s="28" t="n">
        <f aca="false">ABS(E571-G571)</f>
        <v>0</v>
      </c>
      <c r="I571" s="15" t="n">
        <v>2</v>
      </c>
      <c r="J571" s="21" t="n">
        <f aca="false">(SUMPRODUCT(2_Matriz_decision!C571:Q571,5_Ponderada!$C$5:$Q$5)-1)/4</f>
        <v>0.353716463921538</v>
      </c>
      <c r="K571" s="15" t="n">
        <f aca="false">MIN(5,INT(J571/0.2)+1)</f>
        <v>2</v>
      </c>
      <c r="L571" s="21" t="n">
        <v>0.353716463921539</v>
      </c>
    </row>
    <row r="572" customFormat="false" ht="15" hidden="false" customHeight="false" outlineLevel="0" collapsed="false">
      <c r="A572" s="15" t="n">
        <f aca="false">2_Matriz_decision!A572</f>
        <v>568</v>
      </c>
      <c r="B572" s="16" t="n">
        <f aca="false">2_Matriz_decision!B572</f>
        <v>56.957</v>
      </c>
      <c r="C572" s="21" t="n">
        <f aca="false">SQRT(SUMXMY2(5_Ponderada!C575:Q575,5_Ponderada!$C$6:$Q$6))</f>
        <v>0.0171785703126742</v>
      </c>
      <c r="D572" s="21" t="n">
        <f aca="false">SQRT(SUMXMY2(5_Ponderada!C575:Q575,5_Ponderada!$C$7:$Q$7))</f>
        <v>0.00764464801697982</v>
      </c>
      <c r="E572" s="21" t="n">
        <f aca="false">D572/(C572+D572)</f>
        <v>0.307963613559627</v>
      </c>
      <c r="F572" s="15" t="n">
        <f aca="false">MIN(5,INT(E572/0.2)+1)</f>
        <v>2</v>
      </c>
      <c r="G572" s="21" t="n">
        <v>0.307963613559627</v>
      </c>
      <c r="H572" s="28" t="n">
        <f aca="false">ABS(E572-G572)</f>
        <v>0</v>
      </c>
      <c r="I572" s="15" t="n">
        <v>2</v>
      </c>
      <c r="J572" s="21" t="n">
        <f aca="false">(SUMPRODUCT(2_Matriz_decision!C572:Q572,5_Ponderada!$C$5:$Q$5)-1)/4</f>
        <v>0.332109922829411</v>
      </c>
      <c r="K572" s="15" t="n">
        <f aca="false">MIN(5,INT(J572/0.2)+1)</f>
        <v>2</v>
      </c>
      <c r="L572" s="21" t="n">
        <v>0.332109922829412</v>
      </c>
    </row>
    <row r="573" customFormat="false" ht="15" hidden="false" customHeight="false" outlineLevel="0" collapsed="false">
      <c r="A573" s="15" t="n">
        <f aca="false">2_Matriz_decision!A573</f>
        <v>569</v>
      </c>
      <c r="B573" s="16" t="n">
        <f aca="false">2_Matriz_decision!B573</f>
        <v>57.055</v>
      </c>
      <c r="C573" s="21" t="n">
        <f aca="false">SQRT(SUMXMY2(5_Ponderada!C576:Q576,5_Ponderada!$C$6:$Q$6))</f>
        <v>0.0171683438077021</v>
      </c>
      <c r="D573" s="21" t="n">
        <f aca="false">SQRT(SUMXMY2(5_Ponderada!C576:Q576,5_Ponderada!$C$7:$Q$7))</f>
        <v>0.00770421809506617</v>
      </c>
      <c r="E573" s="21" t="n">
        <f aca="false">D573/(C573+D573)</f>
        <v>0.309747669949861</v>
      </c>
      <c r="F573" s="15" t="n">
        <f aca="false">MIN(5,INT(E573/0.2)+1)</f>
        <v>2</v>
      </c>
      <c r="G573" s="21" t="n">
        <v>0.309747669949861</v>
      </c>
      <c r="H573" s="28" t="n">
        <f aca="false">ABS(E573-G573)</f>
        <v>0</v>
      </c>
      <c r="I573" s="15" t="n">
        <v>2</v>
      </c>
      <c r="J573" s="21" t="n">
        <f aca="false">(SUMPRODUCT(2_Matriz_decision!C573:Q573,5_Ponderada!$C$5:$Q$5)-1)/4</f>
        <v>0.341557562470646</v>
      </c>
      <c r="K573" s="15" t="n">
        <f aca="false">MIN(5,INT(J573/0.2)+1)</f>
        <v>2</v>
      </c>
      <c r="L573" s="21" t="n">
        <v>0.341557562470646</v>
      </c>
    </row>
    <row r="574" customFormat="false" ht="15" hidden="false" customHeight="false" outlineLevel="0" collapsed="false">
      <c r="A574" s="15" t="n">
        <f aca="false">2_Matriz_decision!A574</f>
        <v>570</v>
      </c>
      <c r="B574" s="16" t="n">
        <f aca="false">2_Matriz_decision!B574</f>
        <v>57.154</v>
      </c>
      <c r="C574" s="21" t="n">
        <f aca="false">SQRT(SUMXMY2(5_Ponderada!C577:Q577,5_Ponderada!$C$6:$Q$6))</f>
        <v>0.0171999264269771</v>
      </c>
      <c r="D574" s="21" t="n">
        <f aca="false">SQRT(SUMXMY2(5_Ponderada!C577:Q577,5_Ponderada!$C$7:$Q$7))</f>
        <v>0.00762226340843803</v>
      </c>
      <c r="E574" s="21" t="n">
        <f aca="false">D574/(C574+D574)</f>
        <v>0.307074575570401</v>
      </c>
      <c r="F574" s="15" t="n">
        <f aca="false">MIN(5,INT(E574/0.2)+1)</f>
        <v>2</v>
      </c>
      <c r="G574" s="21" t="n">
        <v>0.307074575570401</v>
      </c>
      <c r="H574" s="28" t="n">
        <f aca="false">ABS(E574-G574)</f>
        <v>0</v>
      </c>
      <c r="I574" s="15" t="n">
        <v>2</v>
      </c>
      <c r="J574" s="21" t="n">
        <f aca="false">(SUMPRODUCT(2_Matriz_decision!C574:Q574,5_Ponderada!$C$5:$Q$5)-1)/4</f>
        <v>0.327094720093915</v>
      </c>
      <c r="K574" s="15" t="n">
        <f aca="false">MIN(5,INT(J574/0.2)+1)</f>
        <v>2</v>
      </c>
      <c r="L574" s="21" t="n">
        <v>0.327094720093915</v>
      </c>
    </row>
    <row r="575" customFormat="false" ht="15" hidden="false" customHeight="false" outlineLevel="0" collapsed="false">
      <c r="A575" s="15" t="n">
        <f aca="false">2_Matriz_decision!A575</f>
        <v>571</v>
      </c>
      <c r="B575" s="16" t="n">
        <f aca="false">2_Matriz_decision!B575</f>
        <v>57.253</v>
      </c>
      <c r="C575" s="21" t="n">
        <f aca="false">SQRT(SUMXMY2(5_Ponderada!C578:Q578,5_Ponderada!$C$6:$Q$6))</f>
        <v>0.0183225172536875</v>
      </c>
      <c r="D575" s="21" t="n">
        <f aca="false">SQRT(SUMXMY2(5_Ponderada!C578:Q578,5_Ponderada!$C$7:$Q$7))</f>
        <v>0.00585446505292938</v>
      </c>
      <c r="E575" s="21" t="n">
        <f aca="false">D575/(C575+D575)</f>
        <v>0.242150363460667</v>
      </c>
      <c r="F575" s="15" t="n">
        <f aca="false">MIN(5,INT(E575/0.2)+1)</f>
        <v>2</v>
      </c>
      <c r="G575" s="21" t="n">
        <v>0.242150363460667</v>
      </c>
      <c r="H575" s="28" t="n">
        <f aca="false">ABS(E575-G575)</f>
        <v>0</v>
      </c>
      <c r="I575" s="15" t="n">
        <v>2</v>
      </c>
      <c r="J575" s="21" t="n">
        <f aca="false">(SUMPRODUCT(2_Matriz_decision!C575:Q575,5_Ponderada!$C$5:$Q$5)-1)/4</f>
        <v>0.277166270580374</v>
      </c>
      <c r="K575" s="15" t="n">
        <f aca="false">MIN(5,INT(J575/0.2)+1)</f>
        <v>2</v>
      </c>
      <c r="L575" s="21" t="n">
        <v>0.277166270580374</v>
      </c>
    </row>
    <row r="576" customFormat="false" ht="15" hidden="false" customHeight="false" outlineLevel="0" collapsed="false">
      <c r="A576" s="15" t="n">
        <f aca="false">2_Matriz_decision!A576</f>
        <v>572</v>
      </c>
      <c r="B576" s="16" t="n">
        <f aca="false">2_Matriz_decision!B576</f>
        <v>57.352</v>
      </c>
      <c r="C576" s="21" t="n">
        <f aca="false">SQRT(SUMXMY2(5_Ponderada!C579:Q579,5_Ponderada!$C$6:$Q$6))</f>
        <v>0.0197766142001504</v>
      </c>
      <c r="D576" s="21" t="n">
        <f aca="false">SQRT(SUMXMY2(5_Ponderada!C579:Q579,5_Ponderada!$C$7:$Q$7))</f>
        <v>0.00519131585601867</v>
      </c>
      <c r="E576" s="21" t="n">
        <f aca="false">D576/(C576+D576)</f>
        <v>0.20791935271927</v>
      </c>
      <c r="F576" s="15" t="n">
        <f aca="false">MIN(5,INT(E576/0.2)+1)</f>
        <v>2</v>
      </c>
      <c r="G576" s="21" t="n">
        <v>0.20791935271927</v>
      </c>
      <c r="H576" s="28" t="n">
        <f aca="false">ABS(E576-G576)</f>
        <v>0</v>
      </c>
      <c r="I576" s="15" t="n">
        <v>2</v>
      </c>
      <c r="J576" s="21" t="n">
        <f aca="false">(SUMPRODUCT(2_Matriz_decision!C576:Q576,5_Ponderada!$C$5:$Q$5)-1)/4</f>
        <v>0.230962920573286</v>
      </c>
      <c r="K576" s="15" t="n">
        <f aca="false">MIN(5,INT(J576/0.2)+1)</f>
        <v>2</v>
      </c>
      <c r="L576" s="21" t="n">
        <v>0.230962920573286</v>
      </c>
    </row>
    <row r="577" customFormat="false" ht="15" hidden="false" customHeight="false" outlineLevel="0" collapsed="false">
      <c r="A577" s="15" t="n">
        <f aca="false">2_Matriz_decision!A577</f>
        <v>573</v>
      </c>
      <c r="B577" s="16" t="n">
        <f aca="false">2_Matriz_decision!B577</f>
        <v>57.451</v>
      </c>
      <c r="C577" s="21" t="n">
        <f aca="false">SQRT(SUMXMY2(5_Ponderada!C580:Q580,5_Ponderada!$C$6:$Q$6))</f>
        <v>0.0197820022814567</v>
      </c>
      <c r="D577" s="21" t="n">
        <f aca="false">SQRT(SUMXMY2(5_Ponderada!C580:Q580,5_Ponderada!$C$7:$Q$7))</f>
        <v>0.00511131748934665</v>
      </c>
      <c r="E577" s="21" t="n">
        <f aca="false">D577/(C577+D577)</f>
        <v>0.205328880856685</v>
      </c>
      <c r="F577" s="15" t="n">
        <f aca="false">MIN(5,INT(E577/0.2)+1)</f>
        <v>2</v>
      </c>
      <c r="G577" s="21" t="n">
        <v>0.205328880856685</v>
      </c>
      <c r="H577" s="28" t="n">
        <f aca="false">ABS(E577-G577)</f>
        <v>0</v>
      </c>
      <c r="I577" s="15" t="n">
        <v>2</v>
      </c>
      <c r="J577" s="21" t="n">
        <f aca="false">(SUMPRODUCT(2_Matriz_decision!C577:Q577,5_Ponderada!$C$5:$Q$5)-1)/4</f>
        <v>0.220336655941247</v>
      </c>
      <c r="K577" s="15" t="n">
        <f aca="false">MIN(5,INT(J577/0.2)+1)</f>
        <v>2</v>
      </c>
      <c r="L577" s="21" t="n">
        <v>0.220336655941248</v>
      </c>
    </row>
    <row r="578" customFormat="false" ht="15" hidden="false" customHeight="false" outlineLevel="0" collapsed="false">
      <c r="A578" s="15" t="n">
        <f aca="false">2_Matriz_decision!A578</f>
        <v>574</v>
      </c>
      <c r="B578" s="16" t="n">
        <f aca="false">2_Matriz_decision!B578</f>
        <v>57.55</v>
      </c>
      <c r="C578" s="21" t="n">
        <f aca="false">SQRT(SUMXMY2(5_Ponderada!C581:Q581,5_Ponderada!$C$6:$Q$6))</f>
        <v>0.0197415221585648</v>
      </c>
      <c r="D578" s="21" t="n">
        <f aca="false">SQRT(SUMXMY2(5_Ponderada!C581:Q581,5_Ponderada!$C$7:$Q$7))</f>
        <v>0.00641241588246165</v>
      </c>
      <c r="E578" s="21" t="n">
        <f aca="false">D578/(C578+D578)</f>
        <v>0.245179745872411</v>
      </c>
      <c r="F578" s="15" t="n">
        <f aca="false">MIN(5,INT(E578/0.2)+1)</f>
        <v>2</v>
      </c>
      <c r="G578" s="21" t="n">
        <v>0.245179745872411</v>
      </c>
      <c r="H578" s="28" t="n">
        <f aca="false">ABS(E578-G578)</f>
        <v>0</v>
      </c>
      <c r="I578" s="15" t="n">
        <v>2</v>
      </c>
      <c r="J578" s="21" t="n">
        <f aca="false">(SUMPRODUCT(2_Matriz_decision!C578:Q578,5_Ponderada!$C$5:$Q$5)-1)/4</f>
        <v>0.242190027380973</v>
      </c>
      <c r="K578" s="15" t="n">
        <f aca="false">MIN(5,INT(J578/0.2)+1)</f>
        <v>2</v>
      </c>
      <c r="L578" s="21" t="n">
        <v>0.242190027380973</v>
      </c>
    </row>
    <row r="579" customFormat="false" ht="15" hidden="false" customHeight="false" outlineLevel="0" collapsed="false">
      <c r="A579" s="15" t="n">
        <f aca="false">2_Matriz_decision!A579</f>
        <v>575</v>
      </c>
      <c r="B579" s="16" t="n">
        <f aca="false">2_Matriz_decision!B579</f>
        <v>57.648</v>
      </c>
      <c r="C579" s="21" t="n">
        <f aca="false">SQRT(SUMXMY2(5_Ponderada!C582:Q582,5_Ponderada!$C$6:$Q$6))</f>
        <v>0.0197614132021551</v>
      </c>
      <c r="D579" s="21" t="n">
        <f aca="false">SQRT(SUMXMY2(5_Ponderada!C582:Q582,5_Ponderada!$C$7:$Q$7))</f>
        <v>0.00637489998235651</v>
      </c>
      <c r="E579" s="21" t="n">
        <f aca="false">D579/(C579+D579)</f>
        <v>0.243909687542858</v>
      </c>
      <c r="F579" s="15" t="n">
        <f aca="false">MIN(5,INT(E579/0.2)+1)</f>
        <v>2</v>
      </c>
      <c r="G579" s="21" t="n">
        <v>0.243909687542858</v>
      </c>
      <c r="H579" s="28" t="n">
        <f aca="false">ABS(E579-G579)</f>
        <v>0</v>
      </c>
      <c r="I579" s="15" t="n">
        <v>2</v>
      </c>
      <c r="J579" s="21" t="n">
        <f aca="false">(SUMPRODUCT(2_Matriz_decision!C579:Q579,5_Ponderada!$C$5:$Q$5)-1)/4</f>
        <v>0.232089028544092</v>
      </c>
      <c r="K579" s="15" t="n">
        <f aca="false">MIN(5,INT(J579/0.2)+1)</f>
        <v>2</v>
      </c>
      <c r="L579" s="21" t="n">
        <v>0.232089028544092</v>
      </c>
    </row>
    <row r="580" customFormat="false" ht="15" hidden="false" customHeight="false" outlineLevel="0" collapsed="false">
      <c r="A580" s="15" t="n">
        <f aca="false">2_Matriz_decision!A580</f>
        <v>576</v>
      </c>
      <c r="B580" s="16" t="n">
        <f aca="false">2_Matriz_decision!B580</f>
        <v>57.746</v>
      </c>
      <c r="C580" s="21" t="n">
        <f aca="false">SQRT(SUMXMY2(5_Ponderada!C583:Q583,5_Ponderada!$C$6:$Q$6))</f>
        <v>0.01979754066769</v>
      </c>
      <c r="D580" s="21" t="n">
        <f aca="false">SQRT(SUMXMY2(5_Ponderada!C583:Q583,5_Ponderada!$C$7:$Q$7))</f>
        <v>0.00636016376023112</v>
      </c>
      <c r="E580" s="21" t="n">
        <f aca="false">D580/(C580+D580)</f>
        <v>0.243146862438058</v>
      </c>
      <c r="F580" s="15" t="n">
        <f aca="false">MIN(5,INT(E580/0.2)+1)</f>
        <v>2</v>
      </c>
      <c r="G580" s="21" t="n">
        <v>0.243146862438058</v>
      </c>
      <c r="H580" s="28" t="n">
        <f aca="false">ABS(E580-G580)</f>
        <v>0</v>
      </c>
      <c r="I580" s="15" t="n">
        <v>2</v>
      </c>
      <c r="J580" s="21" t="n">
        <f aca="false">(SUMPRODUCT(2_Matriz_decision!C580:Q580,5_Ponderada!$C$5:$Q$5)-1)/4</f>
        <v>0.220846867140506</v>
      </c>
      <c r="K580" s="15" t="n">
        <f aca="false">MIN(5,INT(J580/0.2)+1)</f>
        <v>2</v>
      </c>
      <c r="L580" s="21" t="n">
        <v>0.220846867140507</v>
      </c>
    </row>
    <row r="581" customFormat="false" ht="15" hidden="false" customHeight="false" outlineLevel="0" collapsed="false">
      <c r="A581" s="15" t="n">
        <f aca="false">2_Matriz_decision!A581</f>
        <v>577</v>
      </c>
      <c r="B581" s="16" t="n">
        <f aca="false">2_Matriz_decision!B581</f>
        <v>57.845</v>
      </c>
      <c r="C581" s="21" t="n">
        <f aca="false">SQRT(SUMXMY2(5_Ponderada!C584:Q584,5_Ponderada!$C$6:$Q$6))</f>
        <v>0.019771505892975</v>
      </c>
      <c r="D581" s="21" t="n">
        <f aca="false">SQRT(SUMXMY2(5_Ponderada!C584:Q584,5_Ponderada!$C$7:$Q$7))</f>
        <v>0.00640736907283841</v>
      </c>
      <c r="E581" s="21" t="n">
        <f aca="false">D581/(C581+D581)</f>
        <v>0.244753415920497</v>
      </c>
      <c r="F581" s="15" t="n">
        <f aca="false">MIN(5,INT(E581/0.2)+1)</f>
        <v>2</v>
      </c>
      <c r="G581" s="21" t="n">
        <v>0.244753415920497</v>
      </c>
      <c r="H581" s="28" t="n">
        <f aca="false">ABS(E581-G581)</f>
        <v>0</v>
      </c>
      <c r="I581" s="15" t="n">
        <v>2</v>
      </c>
      <c r="J581" s="21" t="n">
        <f aca="false">(SUMPRODUCT(2_Matriz_decision!C581:Q581,5_Ponderada!$C$5:$Q$5)-1)/4</f>
        <v>0.232672670585998</v>
      </c>
      <c r="K581" s="15" t="n">
        <f aca="false">MIN(5,INT(J581/0.2)+1)</f>
        <v>2</v>
      </c>
      <c r="L581" s="21" t="n">
        <v>0.232672670585998</v>
      </c>
    </row>
    <row r="582" customFormat="false" ht="15" hidden="false" customHeight="false" outlineLevel="0" collapsed="false">
      <c r="A582" s="15" t="n">
        <f aca="false">2_Matriz_decision!A582</f>
        <v>578</v>
      </c>
      <c r="B582" s="16" t="n">
        <f aca="false">2_Matriz_decision!B582</f>
        <v>57.943</v>
      </c>
      <c r="C582" s="21" t="n">
        <f aca="false">SQRT(SUMXMY2(5_Ponderada!C585:Q585,5_Ponderada!$C$6:$Q$6))</f>
        <v>0.0182700360211642</v>
      </c>
      <c r="D582" s="21" t="n">
        <f aca="false">SQRT(SUMXMY2(5_Ponderada!C585:Q585,5_Ponderada!$C$7:$Q$7))</f>
        <v>0.00701153546012248</v>
      </c>
      <c r="E582" s="21" t="n">
        <f aca="false">D582/(C582+D582)</f>
        <v>0.277337801778358</v>
      </c>
      <c r="F582" s="15" t="n">
        <f aca="false">MIN(5,INT(E582/0.2)+1)</f>
        <v>2</v>
      </c>
      <c r="G582" s="21" t="n">
        <v>0.277337801778358</v>
      </c>
      <c r="H582" s="28" t="n">
        <f aca="false">ABS(E582-G582)</f>
        <v>0</v>
      </c>
      <c r="I582" s="15" t="n">
        <v>2</v>
      </c>
      <c r="J582" s="21" t="n">
        <f aca="false">(SUMPRODUCT(2_Matriz_decision!C582:Q582,5_Ponderada!$C$5:$Q$5)-1)/4</f>
        <v>0.285024447120139</v>
      </c>
      <c r="K582" s="15" t="n">
        <f aca="false">MIN(5,INT(J582/0.2)+1)</f>
        <v>2</v>
      </c>
      <c r="L582" s="21" t="n">
        <v>0.28502444712014</v>
      </c>
    </row>
    <row r="583" customFormat="false" ht="15" hidden="false" customHeight="false" outlineLevel="0" collapsed="false">
      <c r="A583" s="15" t="n">
        <f aca="false">2_Matriz_decision!A583</f>
        <v>579</v>
      </c>
      <c r="B583" s="16" t="n">
        <f aca="false">2_Matriz_decision!B583</f>
        <v>58.042</v>
      </c>
      <c r="C583" s="21" t="n">
        <f aca="false">SQRT(SUMXMY2(5_Ponderada!C586:Q586,5_Ponderada!$C$6:$Q$6))</f>
        <v>0.0197900798736599</v>
      </c>
      <c r="D583" s="21" t="n">
        <f aca="false">SQRT(SUMXMY2(5_Ponderada!C586:Q586,5_Ponderada!$C$7:$Q$7))</f>
        <v>0.00637214845750581</v>
      </c>
      <c r="E583" s="21" t="n">
        <f aca="false">D583/(C583+D583)</f>
        <v>0.243562909735598</v>
      </c>
      <c r="F583" s="15" t="n">
        <f aca="false">MIN(5,INT(E583/0.2)+1)</f>
        <v>2</v>
      </c>
      <c r="G583" s="21" t="n">
        <v>0.243562909735598</v>
      </c>
      <c r="H583" s="28" t="n">
        <f aca="false">ABS(E583-G583)</f>
        <v>0</v>
      </c>
      <c r="I583" s="15" t="n">
        <v>2</v>
      </c>
      <c r="J583" s="21" t="n">
        <f aca="false">(SUMPRODUCT(2_Matriz_decision!C583:Q583,5_Ponderada!$C$5:$Q$5)-1)/4</f>
        <v>0.222839275689402</v>
      </c>
      <c r="K583" s="15" t="n">
        <f aca="false">MIN(5,INT(J583/0.2)+1)</f>
        <v>2</v>
      </c>
      <c r="L583" s="21" t="n">
        <v>0.222839275689403</v>
      </c>
    </row>
    <row r="584" customFormat="false" ht="15" hidden="false" customHeight="false" outlineLevel="0" collapsed="false">
      <c r="A584" s="15" t="n">
        <f aca="false">2_Matriz_decision!A584</f>
        <v>580</v>
      </c>
      <c r="B584" s="16" t="n">
        <f aca="false">2_Matriz_decision!B584</f>
        <v>58.141</v>
      </c>
      <c r="C584" s="21" t="n">
        <f aca="false">SQRT(SUMXMY2(5_Ponderada!C587:Q587,5_Ponderada!$C$6:$Q$6))</f>
        <v>0.0197850192709631</v>
      </c>
      <c r="D584" s="21" t="n">
        <f aca="false">SQRT(SUMXMY2(5_Ponderada!C587:Q587,5_Ponderada!$C$7:$Q$7))</f>
        <v>0.00638199094921736</v>
      </c>
      <c r="E584" s="21" t="n">
        <f aca="false">D584/(C584+D584)</f>
        <v>0.243894541084998</v>
      </c>
      <c r="F584" s="15" t="n">
        <f aca="false">MIN(5,INT(E584/0.2)+1)</f>
        <v>2</v>
      </c>
      <c r="G584" s="21" t="n">
        <v>0.243894541084998</v>
      </c>
      <c r="H584" s="28" t="n">
        <f aca="false">ABS(E584-G584)</f>
        <v>0</v>
      </c>
      <c r="I584" s="15" t="n">
        <v>2</v>
      </c>
      <c r="J584" s="21" t="n">
        <f aca="false">(SUMPRODUCT(2_Matriz_decision!C584:Q584,5_Ponderada!$C$5:$Q$5)-1)/4</f>
        <v>0.224194513811144</v>
      </c>
      <c r="K584" s="15" t="n">
        <f aca="false">MIN(5,INT(J584/0.2)+1)</f>
        <v>2</v>
      </c>
      <c r="L584" s="21" t="n">
        <v>0.224194513811144</v>
      </c>
    </row>
    <row r="585" customFormat="false" ht="15" hidden="false" customHeight="false" outlineLevel="0" collapsed="false">
      <c r="A585" s="15" t="n">
        <f aca="false">2_Matriz_decision!A585</f>
        <v>581</v>
      </c>
      <c r="B585" s="16" t="n">
        <f aca="false">2_Matriz_decision!B585</f>
        <v>58.24</v>
      </c>
      <c r="C585" s="21" t="n">
        <f aca="false">SQRT(SUMXMY2(5_Ponderada!C588:Q588,5_Ponderada!$C$6:$Q$6))</f>
        <v>0.0197714510067403</v>
      </c>
      <c r="D585" s="21" t="n">
        <f aca="false">SQRT(SUMXMY2(5_Ponderada!C588:Q588,5_Ponderada!$C$7:$Q$7))</f>
        <v>0.00640630983962165</v>
      </c>
      <c r="E585" s="21" t="n">
        <f aca="false">D585/(C585+D585)</f>
        <v>0.244723369474588</v>
      </c>
      <c r="F585" s="15" t="n">
        <f aca="false">MIN(5,INT(E585/0.2)+1)</f>
        <v>2</v>
      </c>
      <c r="G585" s="21" t="n">
        <v>0.244723369474588</v>
      </c>
      <c r="H585" s="28" t="n">
        <f aca="false">ABS(E585-G585)</f>
        <v>0</v>
      </c>
      <c r="I585" s="15" t="n">
        <v>2</v>
      </c>
      <c r="J585" s="21" t="n">
        <f aca="false">(SUMPRODUCT(2_Matriz_decision!C585:Q585,5_Ponderada!$C$5:$Q$5)-1)/4</f>
        <v>0.232280333244948</v>
      </c>
      <c r="K585" s="15" t="n">
        <f aca="false">MIN(5,INT(J585/0.2)+1)</f>
        <v>2</v>
      </c>
      <c r="L585" s="21" t="n">
        <v>0.232280333244948</v>
      </c>
    </row>
    <row r="586" customFormat="false" ht="15" hidden="false" customHeight="false" outlineLevel="0" collapsed="false">
      <c r="A586" s="15" t="n">
        <f aca="false">2_Matriz_decision!A586</f>
        <v>582</v>
      </c>
      <c r="B586" s="16" t="n">
        <f aca="false">2_Matriz_decision!B586</f>
        <v>58.339</v>
      </c>
      <c r="C586" s="21" t="n">
        <f aca="false">SQRT(SUMXMY2(5_Ponderada!C589:Q589,5_Ponderada!$C$6:$Q$6))</f>
        <v>0.0167070606224001</v>
      </c>
      <c r="D586" s="21" t="n">
        <f aca="false">SQRT(SUMXMY2(5_Ponderada!C589:Q589,5_Ponderada!$C$7:$Q$7))</f>
        <v>0.00752670189037637</v>
      </c>
      <c r="E586" s="21" t="n">
        <f aca="false">D586/(C586+D586)</f>
        <v>0.310587424730608</v>
      </c>
      <c r="F586" s="15" t="n">
        <f aca="false">MIN(5,INT(E586/0.2)+1)</f>
        <v>2</v>
      </c>
      <c r="G586" s="21" t="n">
        <v>0.310587424730608</v>
      </c>
      <c r="H586" s="28" t="n">
        <f aca="false">ABS(E586-G586)</f>
        <v>0</v>
      </c>
      <c r="I586" s="15" t="n">
        <v>2</v>
      </c>
      <c r="J586" s="21" t="n">
        <f aca="false">(SUMPRODUCT(2_Matriz_decision!C586:Q586,5_Ponderada!$C$5:$Q$5)-1)/4</f>
        <v>0.322881372917557</v>
      </c>
      <c r="K586" s="15" t="n">
        <f aca="false">MIN(5,INT(J586/0.2)+1)</f>
        <v>2</v>
      </c>
      <c r="L586" s="21" t="n">
        <v>0.322881372917557</v>
      </c>
    </row>
    <row r="587" customFormat="false" ht="15" hidden="false" customHeight="false" outlineLevel="0" collapsed="false">
      <c r="A587" s="15" t="n">
        <f aca="false">2_Matriz_decision!A587</f>
        <v>583</v>
      </c>
      <c r="B587" s="16" t="n">
        <f aca="false">2_Matriz_decision!B587</f>
        <v>58.439</v>
      </c>
      <c r="C587" s="21" t="n">
        <f aca="false">SQRT(SUMXMY2(5_Ponderada!C590:Q590,5_Ponderada!$C$6:$Q$6))</f>
        <v>0.0197662484350803</v>
      </c>
      <c r="D587" s="21" t="n">
        <f aca="false">SQRT(SUMXMY2(5_Ponderada!C590:Q590,5_Ponderada!$C$7:$Q$7))</f>
        <v>0.00641448399163729</v>
      </c>
      <c r="E587" s="21" t="n">
        <f aca="false">D587/(C587+D587)</f>
        <v>0.24500781288652</v>
      </c>
      <c r="F587" s="15" t="n">
        <f aca="false">MIN(5,INT(E587/0.2)+1)</f>
        <v>2</v>
      </c>
      <c r="G587" s="21" t="n">
        <v>0.24500781288652</v>
      </c>
      <c r="H587" s="28" t="n">
        <f aca="false">ABS(E587-G587)</f>
        <v>0</v>
      </c>
      <c r="I587" s="15" t="n">
        <v>2</v>
      </c>
      <c r="J587" s="21" t="n">
        <f aca="false">(SUMPRODUCT(2_Matriz_decision!C587:Q587,5_Ponderada!$C$5:$Q$5)-1)/4</f>
        <v>0.231968762116141</v>
      </c>
      <c r="K587" s="15" t="n">
        <f aca="false">MIN(5,INT(J587/0.2)+1)</f>
        <v>2</v>
      </c>
      <c r="L587" s="21" t="n">
        <v>0.231968762116142</v>
      </c>
    </row>
    <row r="588" customFormat="false" ht="15" hidden="false" customHeight="false" outlineLevel="0" collapsed="false">
      <c r="A588" s="15" t="n">
        <f aca="false">2_Matriz_decision!A588</f>
        <v>584</v>
      </c>
      <c r="B588" s="16" t="n">
        <f aca="false">2_Matriz_decision!B588</f>
        <v>58.538</v>
      </c>
      <c r="C588" s="21" t="n">
        <f aca="false">SQRT(SUMXMY2(5_Ponderada!C591:Q591,5_Ponderada!$C$6:$Q$6))</f>
        <v>0.0182842544953412</v>
      </c>
      <c r="D588" s="21" t="n">
        <f aca="false">SQRT(SUMXMY2(5_Ponderada!C591:Q591,5_Ponderada!$C$7:$Q$7))</f>
        <v>0.00698700086117107</v>
      </c>
      <c r="E588" s="21" t="n">
        <f aca="false">D588/(C588+D588)</f>
        <v>0.276480165413332</v>
      </c>
      <c r="F588" s="15" t="n">
        <f aca="false">MIN(5,INT(E588/0.2)+1)</f>
        <v>2</v>
      </c>
      <c r="G588" s="21" t="n">
        <v>0.276480165413332</v>
      </c>
      <c r="H588" s="28" t="n">
        <f aca="false">ABS(E588-G588)</f>
        <v>0</v>
      </c>
      <c r="I588" s="15" t="n">
        <v>2</v>
      </c>
      <c r="J588" s="21" t="n">
        <f aca="false">(SUMPRODUCT(2_Matriz_decision!C588:Q588,5_Ponderada!$C$5:$Q$5)-1)/4</f>
        <v>0.275015068543379</v>
      </c>
      <c r="K588" s="15" t="n">
        <f aca="false">MIN(5,INT(J588/0.2)+1)</f>
        <v>2</v>
      </c>
      <c r="L588" s="21" t="n">
        <v>0.275015068543379</v>
      </c>
    </row>
    <row r="589" customFormat="false" ht="15" hidden="false" customHeight="false" outlineLevel="0" collapsed="false">
      <c r="A589" s="15" t="n">
        <f aca="false">2_Matriz_decision!A589</f>
        <v>585</v>
      </c>
      <c r="B589" s="16" t="n">
        <f aca="false">2_Matriz_decision!B589</f>
        <v>58.637</v>
      </c>
      <c r="C589" s="21" t="n">
        <f aca="false">SQRT(SUMXMY2(5_Ponderada!C592:Q592,5_Ponderada!$C$6:$Q$6))</f>
        <v>0.0182617544872881</v>
      </c>
      <c r="D589" s="21" t="n">
        <f aca="false">SQRT(SUMXMY2(5_Ponderada!C592:Q592,5_Ponderada!$C$7:$Q$7))</f>
        <v>0.00702231512940552</v>
      </c>
      <c r="E589" s="21" t="n">
        <f aca="false">D589/(C589+D589)</f>
        <v>0.277736742378256</v>
      </c>
      <c r="F589" s="15" t="n">
        <f aca="false">MIN(5,INT(E589/0.2)+1)</f>
        <v>2</v>
      </c>
      <c r="G589" s="21" t="n">
        <v>0.277736742378256</v>
      </c>
      <c r="H589" s="28" t="n">
        <f aca="false">ABS(E589-G589)</f>
        <v>0</v>
      </c>
      <c r="I589" s="15" t="n">
        <v>2</v>
      </c>
      <c r="J589" s="21" t="n">
        <f aca="false">(SUMPRODUCT(2_Matriz_decision!C589:Q589,5_Ponderada!$C$5:$Q$5)-1)/4</f>
        <v>0.285313101379291</v>
      </c>
      <c r="K589" s="15" t="n">
        <f aca="false">MIN(5,INT(J589/0.2)+1)</f>
        <v>2</v>
      </c>
      <c r="L589" s="21" t="n">
        <v>0.285313101379292</v>
      </c>
    </row>
    <row r="590" customFormat="false" ht="15" hidden="false" customHeight="false" outlineLevel="0" collapsed="false">
      <c r="A590" s="15" t="n">
        <f aca="false">2_Matriz_decision!A590</f>
        <v>586</v>
      </c>
      <c r="B590" s="16" t="n">
        <f aca="false">2_Matriz_decision!B590</f>
        <v>58.737</v>
      </c>
      <c r="C590" s="21" t="n">
        <f aca="false">SQRT(SUMXMY2(5_Ponderada!C593:Q593,5_Ponderada!$C$6:$Q$6))</f>
        <v>0.0182788906754099</v>
      </c>
      <c r="D590" s="21" t="n">
        <f aca="false">SQRT(SUMXMY2(5_Ponderada!C593:Q593,5_Ponderada!$C$7:$Q$7))</f>
        <v>0.00699722404404433</v>
      </c>
      <c r="E590" s="21" t="n">
        <f aca="false">D590/(C590+D590)</f>
        <v>0.276831471992758</v>
      </c>
      <c r="F590" s="15" t="n">
        <f aca="false">MIN(5,INT(E590/0.2)+1)</f>
        <v>2</v>
      </c>
      <c r="G590" s="21" t="n">
        <v>0.276831471992758</v>
      </c>
      <c r="H590" s="28" t="n">
        <f aca="false">ABS(E590-G590)</f>
        <v>0</v>
      </c>
      <c r="I590" s="15" t="n">
        <v>2</v>
      </c>
      <c r="J590" s="21" t="n">
        <f aca="false">(SUMPRODUCT(2_Matriz_decision!C590:Q590,5_Ponderada!$C$5:$Q$5)-1)/4</f>
        <v>0.276533941499966</v>
      </c>
      <c r="K590" s="15" t="n">
        <f aca="false">MIN(5,INT(J590/0.2)+1)</f>
        <v>2</v>
      </c>
      <c r="L590" s="21" t="n">
        <v>0.276533941499966</v>
      </c>
    </row>
    <row r="591" customFormat="false" ht="15" hidden="false" customHeight="false" outlineLevel="0" collapsed="false">
      <c r="A591" s="15" t="n">
        <f aca="false">2_Matriz_decision!A591</f>
        <v>587</v>
      </c>
      <c r="B591" s="16" t="n">
        <f aca="false">2_Matriz_decision!B591</f>
        <v>58.836</v>
      </c>
      <c r="C591" s="21" t="n">
        <f aca="false">SQRT(SUMXMY2(5_Ponderada!C594:Q594,5_Ponderada!$C$6:$Q$6))</f>
        <v>0.0166586505048084</v>
      </c>
      <c r="D591" s="21" t="n">
        <f aca="false">SQRT(SUMXMY2(5_Ponderada!C594:Q594,5_Ponderada!$C$7:$Q$7))</f>
        <v>0.00754331714778229</v>
      </c>
      <c r="E591" s="21" t="n">
        <f aca="false">D591/(C591+D591)</f>
        <v>0.31168197793103</v>
      </c>
      <c r="F591" s="15" t="n">
        <f aca="false">MIN(5,INT(E591/0.2)+1)</f>
        <v>2</v>
      </c>
      <c r="G591" s="21" t="n">
        <v>0.31168197793103</v>
      </c>
      <c r="H591" s="28" t="n">
        <f aca="false">ABS(E591-G591)</f>
        <v>0</v>
      </c>
      <c r="I591" s="15" t="n">
        <v>2</v>
      </c>
      <c r="J591" s="21" t="n">
        <f aca="false">(SUMPRODUCT(2_Matriz_decision!C591:Q591,5_Ponderada!$C$5:$Q$5)-1)/4</f>
        <v>0.332839829377811</v>
      </c>
      <c r="K591" s="15" t="n">
        <f aca="false">MIN(5,INT(J591/0.2)+1)</f>
        <v>2</v>
      </c>
      <c r="L591" s="21" t="n">
        <v>0.332839829377812</v>
      </c>
    </row>
    <row r="592" customFormat="false" ht="15" hidden="false" customHeight="false" outlineLevel="0" collapsed="false">
      <c r="A592" s="15" t="n">
        <f aca="false">2_Matriz_decision!A592</f>
        <v>588</v>
      </c>
      <c r="B592" s="16" t="n">
        <f aca="false">2_Matriz_decision!B592</f>
        <v>58.935</v>
      </c>
      <c r="C592" s="21" t="n">
        <f aca="false">SQRT(SUMXMY2(5_Ponderada!C595:Q595,5_Ponderada!$C$6:$Q$6))</f>
        <v>0.0166805474668304</v>
      </c>
      <c r="D592" s="21" t="n">
        <f aca="false">SQRT(SUMXMY2(5_Ponderada!C595:Q595,5_Ponderada!$C$7:$Q$7))</f>
        <v>0.00755563598155775</v>
      </c>
      <c r="E592" s="21" t="n">
        <f aca="false">D592/(C592+D592)</f>
        <v>0.31175023896183</v>
      </c>
      <c r="F592" s="15" t="n">
        <f aca="false">MIN(5,INT(E592/0.2)+1)</f>
        <v>2</v>
      </c>
      <c r="G592" s="21" t="n">
        <v>0.31175023896183</v>
      </c>
      <c r="H592" s="28" t="n">
        <f aca="false">ABS(E592-G592)</f>
        <v>0</v>
      </c>
      <c r="I592" s="15" t="n">
        <v>2</v>
      </c>
      <c r="J592" s="21" t="n">
        <f aca="false">(SUMPRODUCT(2_Matriz_decision!C592:Q592,5_Ponderada!$C$5:$Q$5)-1)/4</f>
        <v>0.326678340983261</v>
      </c>
      <c r="K592" s="15" t="n">
        <f aca="false">MIN(5,INT(J592/0.2)+1)</f>
        <v>2</v>
      </c>
      <c r="L592" s="21" t="n">
        <v>0.326678340983261</v>
      </c>
    </row>
    <row r="593" customFormat="false" ht="15" hidden="false" customHeight="false" outlineLevel="0" collapsed="false">
      <c r="A593" s="15" t="n">
        <f aca="false">2_Matriz_decision!A593</f>
        <v>589</v>
      </c>
      <c r="B593" s="16" t="n">
        <f aca="false">2_Matriz_decision!B593</f>
        <v>59.034</v>
      </c>
      <c r="C593" s="21" t="n">
        <f aca="false">SQRT(SUMXMY2(5_Ponderada!C596:Q596,5_Ponderada!$C$6:$Q$6))</f>
        <v>0.0170613787604478</v>
      </c>
      <c r="D593" s="21" t="n">
        <f aca="false">SQRT(SUMXMY2(5_Ponderada!C596:Q596,5_Ponderada!$C$7:$Q$7))</f>
        <v>0.00862722793653578</v>
      </c>
      <c r="E593" s="21" t="n">
        <f aca="false">D593/(C593+D593)</f>
        <v>0.335838686710433</v>
      </c>
      <c r="F593" s="15" t="n">
        <f aca="false">MIN(5,INT(E593/0.2)+1)</f>
        <v>2</v>
      </c>
      <c r="G593" s="21" t="n">
        <v>0.335838686710433</v>
      </c>
      <c r="H593" s="28" t="n">
        <f aca="false">ABS(E593-G593)</f>
        <v>0</v>
      </c>
      <c r="I593" s="15" t="n">
        <v>2</v>
      </c>
      <c r="J593" s="21" t="n">
        <f aca="false">(SUMPRODUCT(2_Matriz_decision!C593:Q593,5_Ponderada!$C$5:$Q$5)-1)/4</f>
        <v>0.348010863276094</v>
      </c>
      <c r="K593" s="15" t="n">
        <f aca="false">MIN(5,INT(J593/0.2)+1)</f>
        <v>2</v>
      </c>
      <c r="L593" s="21" t="n">
        <v>0.348010863276094</v>
      </c>
    </row>
    <row r="594" customFormat="false" ht="15" hidden="false" customHeight="false" outlineLevel="0" collapsed="false">
      <c r="A594" s="15" t="n">
        <f aca="false">2_Matriz_decision!A594</f>
        <v>590</v>
      </c>
      <c r="B594" s="16" t="n">
        <f aca="false">2_Matriz_decision!B594</f>
        <v>59.134</v>
      </c>
      <c r="C594" s="21" t="n">
        <f aca="false">SQRT(SUMXMY2(5_Ponderada!C597:Q597,5_Ponderada!$C$6:$Q$6))</f>
        <v>0.0162878414917403</v>
      </c>
      <c r="D594" s="21" t="n">
        <f aca="false">SQRT(SUMXMY2(5_Ponderada!C597:Q597,5_Ponderada!$C$7:$Q$7))</f>
        <v>0.0107875384582195</v>
      </c>
      <c r="E594" s="21" t="n">
        <f aca="false">D594/(C594+D594)</f>
        <v>0.398426115465667</v>
      </c>
      <c r="F594" s="15" t="n">
        <f aca="false">MIN(5,INT(E594/0.2)+1)</f>
        <v>2</v>
      </c>
      <c r="G594" s="21" t="n">
        <v>0.398426115465667</v>
      </c>
      <c r="H594" s="28" t="n">
        <f aca="false">ABS(E594-G594)</f>
        <v>0</v>
      </c>
      <c r="I594" s="15" t="n">
        <v>2</v>
      </c>
      <c r="J594" s="21" t="n">
        <f aca="false">(SUMPRODUCT(2_Matriz_decision!C594:Q594,5_Ponderada!$C$5:$Q$5)-1)/4</f>
        <v>0.414707354663469</v>
      </c>
      <c r="K594" s="15" t="n">
        <f aca="false">MIN(5,INT(J594/0.2)+1)</f>
        <v>3</v>
      </c>
      <c r="L594" s="21" t="n">
        <v>0.414707354663469</v>
      </c>
    </row>
    <row r="595" customFormat="false" ht="15" hidden="false" customHeight="false" outlineLevel="0" collapsed="false">
      <c r="A595" s="15" t="n">
        <f aca="false">2_Matriz_decision!A595</f>
        <v>591</v>
      </c>
      <c r="B595" s="16" t="n">
        <f aca="false">2_Matriz_decision!B595</f>
        <v>59.233</v>
      </c>
      <c r="C595" s="21" t="n">
        <f aca="false">SQRT(SUMXMY2(5_Ponderada!C598:Q598,5_Ponderada!$C$6:$Q$6))</f>
        <v>0.0160685937184386</v>
      </c>
      <c r="D595" s="21" t="n">
        <f aca="false">SQRT(SUMXMY2(5_Ponderada!C598:Q598,5_Ponderada!$C$7:$Q$7))</f>
        <v>0.0131768332073984</v>
      </c>
      <c r="E595" s="21" t="n">
        <f aca="false">D595/(C595+D595)</f>
        <v>0.450560466797539</v>
      </c>
      <c r="F595" s="15" t="n">
        <f aca="false">MIN(5,INT(E595/0.2)+1)</f>
        <v>3</v>
      </c>
      <c r="G595" s="21" t="n">
        <v>0.450560466797539</v>
      </c>
      <c r="H595" s="28" t="n">
        <f aca="false">ABS(E595-G595)</f>
        <v>0</v>
      </c>
      <c r="I595" s="15" t="n">
        <v>3</v>
      </c>
      <c r="J595" s="21" t="n">
        <f aca="false">(SUMPRODUCT(2_Matriz_decision!C595:Q595,5_Ponderada!$C$5:$Q$5)-1)/4</f>
        <v>0.457433563602513</v>
      </c>
      <c r="K595" s="15" t="n">
        <f aca="false">MIN(5,INT(J595/0.2)+1)</f>
        <v>3</v>
      </c>
      <c r="L595" s="21" t="n">
        <v>0.457433563602514</v>
      </c>
    </row>
    <row r="596" customFormat="false" ht="15" hidden="false" customHeight="false" outlineLevel="0" collapsed="false">
      <c r="A596" s="15" t="n">
        <f aca="false">2_Matriz_decision!A596</f>
        <v>592</v>
      </c>
      <c r="B596" s="16" t="n">
        <f aca="false">2_Matriz_decision!B596</f>
        <v>59.333</v>
      </c>
      <c r="C596" s="21" t="n">
        <f aca="false">SQRT(SUMXMY2(5_Ponderada!C599:Q599,5_Ponderada!$C$6:$Q$6))</f>
        <v>0.0152007833015602</v>
      </c>
      <c r="D596" s="21" t="n">
        <f aca="false">SQRT(SUMXMY2(5_Ponderada!C599:Q599,5_Ponderada!$C$7:$Q$7))</f>
        <v>0.0133088337861503</v>
      </c>
      <c r="E596" s="21" t="n">
        <f aca="false">D596/(C596+D596)</f>
        <v>0.466819099856913</v>
      </c>
      <c r="F596" s="15" t="n">
        <f aca="false">MIN(5,INT(E596/0.2)+1)</f>
        <v>3</v>
      </c>
      <c r="G596" s="21" t="n">
        <v>0.466819099856913</v>
      </c>
      <c r="H596" s="28" t="n">
        <f aca="false">ABS(E596-G596)</f>
        <v>0</v>
      </c>
      <c r="I596" s="15" t="n">
        <v>3</v>
      </c>
      <c r="J596" s="21" t="n">
        <f aca="false">(SUMPRODUCT(2_Matriz_decision!C596:Q596,5_Ponderada!$C$5:$Q$5)-1)/4</f>
        <v>0.464554212339605</v>
      </c>
      <c r="K596" s="15" t="n">
        <f aca="false">MIN(5,INT(J596/0.2)+1)</f>
        <v>3</v>
      </c>
      <c r="L596" s="21" t="n">
        <v>0.464554212339606</v>
      </c>
    </row>
    <row r="597" customFormat="false" ht="15" hidden="false" customHeight="false" outlineLevel="0" collapsed="false">
      <c r="A597" s="15" t="n">
        <f aca="false">2_Matriz_decision!A597</f>
        <v>593</v>
      </c>
      <c r="B597" s="16" t="n">
        <f aca="false">2_Matriz_decision!B597</f>
        <v>59.435</v>
      </c>
      <c r="C597" s="21" t="n">
        <f aca="false">SQRT(SUMXMY2(5_Ponderada!C600:Q600,5_Ponderada!$C$6:$Q$6))</f>
        <v>0.0156148945995201</v>
      </c>
      <c r="D597" s="21" t="n">
        <f aca="false">SQRT(SUMXMY2(5_Ponderada!C600:Q600,5_Ponderada!$C$7:$Q$7))</f>
        <v>0.00957003371743095</v>
      </c>
      <c r="E597" s="21" t="n">
        <f aca="false">D597/(C597+D597)</f>
        <v>0.379990508489544</v>
      </c>
      <c r="F597" s="15" t="n">
        <f aca="false">MIN(5,INT(E597/0.2)+1)</f>
        <v>2</v>
      </c>
      <c r="G597" s="21" t="n">
        <v>0.379990508489544</v>
      </c>
      <c r="H597" s="28" t="n">
        <f aca="false">ABS(E597-G597)</f>
        <v>0</v>
      </c>
      <c r="I597" s="15" t="n">
        <v>2</v>
      </c>
      <c r="J597" s="21" t="n">
        <f aca="false">(SUMPRODUCT(2_Matriz_decision!C597:Q597,5_Ponderada!$C$5:$Q$5)-1)/4</f>
        <v>0.37900623289696</v>
      </c>
      <c r="K597" s="15" t="n">
        <f aca="false">MIN(5,INT(J597/0.2)+1)</f>
        <v>2</v>
      </c>
      <c r="L597" s="21" t="n">
        <v>0.37900623289696</v>
      </c>
    </row>
    <row r="598" customFormat="false" ht="15" hidden="false" customHeight="false" outlineLevel="0" collapsed="false">
      <c r="A598" s="15" t="n">
        <f aca="false">2_Matriz_decision!A598</f>
        <v>594</v>
      </c>
      <c r="B598" s="16" t="n">
        <f aca="false">2_Matriz_decision!B598</f>
        <v>59.536</v>
      </c>
      <c r="C598" s="21" t="n">
        <f aca="false">SQRT(SUMXMY2(5_Ponderada!C601:Q601,5_Ponderada!$C$6:$Q$6))</f>
        <v>0.0156126220753546</v>
      </c>
      <c r="D598" s="21" t="n">
        <f aca="false">SQRT(SUMXMY2(5_Ponderada!C601:Q601,5_Ponderada!$C$7:$Q$7))</f>
        <v>0.00958490843572911</v>
      </c>
      <c r="E598" s="21" t="n">
        <f aca="false">D598/(C598+D598)</f>
        <v>0.380390785974562</v>
      </c>
      <c r="F598" s="15" t="n">
        <f aca="false">MIN(5,INT(E598/0.2)+1)</f>
        <v>2</v>
      </c>
      <c r="G598" s="21" t="n">
        <v>0.380390785974562</v>
      </c>
      <c r="H598" s="28" t="n">
        <f aca="false">ABS(E598-G598)</f>
        <v>0</v>
      </c>
      <c r="I598" s="15" t="n">
        <v>2</v>
      </c>
      <c r="J598" s="21" t="n">
        <f aca="false">(SUMPRODUCT(2_Matriz_decision!C598:Q598,5_Ponderada!$C$5:$Q$5)-1)/4</f>
        <v>0.381300331078969</v>
      </c>
      <c r="K598" s="15" t="n">
        <f aca="false">MIN(5,INT(J598/0.2)+1)</f>
        <v>2</v>
      </c>
      <c r="L598" s="21" t="n">
        <v>0.381300331078969</v>
      </c>
    </row>
    <row r="599" customFormat="false" ht="15" hidden="false" customHeight="false" outlineLevel="0" collapsed="false">
      <c r="A599" s="15" t="n">
        <f aca="false">2_Matriz_decision!A599</f>
        <v>595</v>
      </c>
      <c r="B599" s="16" t="n">
        <f aca="false">2_Matriz_decision!B599</f>
        <v>59.636</v>
      </c>
      <c r="C599" s="21" t="n">
        <f aca="false">SQRT(SUMXMY2(5_Ponderada!C602:Q602,5_Ponderada!$C$6:$Q$6))</f>
        <v>0.0168455450401618</v>
      </c>
      <c r="D599" s="21" t="n">
        <f aca="false">SQRT(SUMXMY2(5_Ponderada!C602:Q602,5_Ponderada!$C$7:$Q$7))</f>
        <v>0.00824481940169832</v>
      </c>
      <c r="E599" s="21" t="n">
        <f aca="false">D599/(C599+D599)</f>
        <v>0.328605007743246</v>
      </c>
      <c r="F599" s="15" t="n">
        <f aca="false">MIN(5,INT(E599/0.2)+1)</f>
        <v>2</v>
      </c>
      <c r="G599" s="21" t="n">
        <v>0.328605007743246</v>
      </c>
      <c r="H599" s="28" t="n">
        <f aca="false">ABS(E599-G599)</f>
        <v>0</v>
      </c>
      <c r="I599" s="15" t="n">
        <v>2</v>
      </c>
      <c r="J599" s="21" t="n">
        <f aca="false">(SUMPRODUCT(2_Matriz_decision!C599:Q599,5_Ponderada!$C$5:$Q$5)-1)/4</f>
        <v>0.339890724147988</v>
      </c>
      <c r="K599" s="15" t="n">
        <f aca="false">MIN(5,INT(J599/0.2)+1)</f>
        <v>2</v>
      </c>
      <c r="L599" s="21" t="n">
        <v>0.339890724147988</v>
      </c>
    </row>
    <row r="600" customFormat="false" ht="15" hidden="false" customHeight="false" outlineLevel="0" collapsed="false">
      <c r="A600" s="15" t="n">
        <f aca="false">2_Matriz_decision!A600</f>
        <v>596</v>
      </c>
      <c r="B600" s="16" t="n">
        <f aca="false">2_Matriz_decision!B600</f>
        <v>59.738</v>
      </c>
      <c r="C600" s="21" t="n">
        <f aca="false">SQRT(SUMXMY2(5_Ponderada!C603:Q603,5_Ponderada!$C$6:$Q$6))</f>
        <v>0.0164676150774604</v>
      </c>
      <c r="D600" s="21" t="n">
        <f aca="false">SQRT(SUMXMY2(5_Ponderada!C603:Q603,5_Ponderada!$C$7:$Q$7))</f>
        <v>0.00943701488616138</v>
      </c>
      <c r="E600" s="21" t="n">
        <f aca="false">D600/(C600+D600)</f>
        <v>0.364298386018789</v>
      </c>
      <c r="F600" s="15" t="n">
        <f aca="false">MIN(5,INT(E600/0.2)+1)</f>
        <v>2</v>
      </c>
      <c r="G600" s="21" t="n">
        <v>0.364298386018789</v>
      </c>
      <c r="H600" s="28" t="n">
        <f aca="false">ABS(E600-G600)</f>
        <v>0</v>
      </c>
      <c r="I600" s="15" t="n">
        <v>2</v>
      </c>
      <c r="J600" s="21" t="n">
        <f aca="false">(SUMPRODUCT(2_Matriz_decision!C600:Q600,5_Ponderada!$C$5:$Q$5)-1)/4</f>
        <v>0.367994581087815</v>
      </c>
      <c r="K600" s="15" t="n">
        <f aca="false">MIN(5,INT(J600/0.2)+1)</f>
        <v>2</v>
      </c>
      <c r="L600" s="21" t="n">
        <v>0.367994581087815</v>
      </c>
    </row>
    <row r="601" customFormat="false" ht="15" hidden="false" customHeight="false" outlineLevel="0" collapsed="false">
      <c r="A601" s="15" t="n">
        <f aca="false">2_Matriz_decision!A601</f>
        <v>597</v>
      </c>
      <c r="B601" s="16" t="n">
        <f aca="false">2_Matriz_decision!B601</f>
        <v>59.839</v>
      </c>
      <c r="C601" s="21" t="n">
        <f aca="false">SQRT(SUMXMY2(5_Ponderada!C604:Q604,5_Ponderada!$C$6:$Q$6))</f>
        <v>0.01646648630567</v>
      </c>
      <c r="D601" s="21" t="n">
        <f aca="false">SQRT(SUMXMY2(5_Ponderada!C604:Q604,5_Ponderada!$C$7:$Q$7))</f>
        <v>0.00944901761682145</v>
      </c>
      <c r="E601" s="21" t="n">
        <f aca="false">D601/(C601+D601)</f>
        <v>0.364608677688913</v>
      </c>
      <c r="F601" s="15" t="n">
        <f aca="false">MIN(5,INT(E601/0.2)+1)</f>
        <v>2</v>
      </c>
      <c r="G601" s="21" t="n">
        <v>0.364608677688913</v>
      </c>
      <c r="H601" s="28" t="n">
        <f aca="false">ABS(E601-G601)</f>
        <v>0</v>
      </c>
      <c r="I601" s="15" t="n">
        <v>2</v>
      </c>
      <c r="J601" s="21" t="n">
        <f aca="false">(SUMPRODUCT(2_Matriz_decision!C601:Q601,5_Ponderada!$C$5:$Q$5)-1)/4</f>
        <v>0.37010021685797</v>
      </c>
      <c r="K601" s="15" t="n">
        <f aca="false">MIN(5,INT(J601/0.2)+1)</f>
        <v>2</v>
      </c>
      <c r="L601" s="21" t="n">
        <v>0.370100216857971</v>
      </c>
    </row>
    <row r="602" customFormat="false" ht="15" hidden="false" customHeight="false" outlineLevel="0" collapsed="false">
      <c r="A602" s="15" t="n">
        <f aca="false">2_Matriz_decision!A602</f>
        <v>598</v>
      </c>
      <c r="B602" s="16" t="n">
        <f aca="false">2_Matriz_decision!B602</f>
        <v>59.94</v>
      </c>
      <c r="C602" s="21" t="n">
        <f aca="false">SQRT(SUMXMY2(5_Ponderada!C605:Q605,5_Ponderada!$C$6:$Q$6))</f>
        <v>0.0181204566060213</v>
      </c>
      <c r="D602" s="21" t="n">
        <f aca="false">SQRT(SUMXMY2(5_Ponderada!C605:Q605,5_Ponderada!$C$7:$Q$7))</f>
        <v>0.0090162842524366</v>
      </c>
      <c r="E602" s="21" t="n">
        <f aca="false">D602/(C602+D602)</f>
        <v>0.332253762508346</v>
      </c>
      <c r="F602" s="15" t="n">
        <f aca="false">MIN(5,INT(E602/0.2)+1)</f>
        <v>2</v>
      </c>
      <c r="G602" s="21" t="n">
        <v>0.332253762508347</v>
      </c>
      <c r="H602" s="28" t="n">
        <f aca="false">ABS(E602-G602)</f>
        <v>0</v>
      </c>
      <c r="I602" s="15" t="n">
        <v>2</v>
      </c>
      <c r="J602" s="21" t="n">
        <f aca="false">(SUMPRODUCT(2_Matriz_decision!C602:Q602,5_Ponderada!$C$5:$Q$5)-1)/4</f>
        <v>0.318383855011984</v>
      </c>
      <c r="K602" s="15" t="n">
        <f aca="false">MIN(5,INT(J602/0.2)+1)</f>
        <v>2</v>
      </c>
      <c r="L602" s="21" t="n">
        <v>0.318383855011985</v>
      </c>
    </row>
    <row r="603" customFormat="false" ht="15" hidden="false" customHeight="false" outlineLevel="0" collapsed="false">
      <c r="A603" s="15" t="n">
        <f aca="false">2_Matriz_decision!A603</f>
        <v>599</v>
      </c>
      <c r="B603" s="16" t="n">
        <f aca="false">2_Matriz_decision!B603</f>
        <v>60.041</v>
      </c>
      <c r="C603" s="21" t="n">
        <f aca="false">SQRT(SUMXMY2(5_Ponderada!C606:Q606,5_Ponderada!$C$6:$Q$6))</f>
        <v>0.0180918648122732</v>
      </c>
      <c r="D603" s="21" t="n">
        <f aca="false">SQRT(SUMXMY2(5_Ponderada!C606:Q606,5_Ponderada!$C$7:$Q$7))</f>
        <v>0.00899358550413055</v>
      </c>
      <c r="E603" s="21" t="n">
        <f aca="false">D603/(C603+D603)</f>
        <v>0.3320448949185</v>
      </c>
      <c r="F603" s="15" t="n">
        <f aca="false">MIN(5,INT(E603/0.2)+1)</f>
        <v>2</v>
      </c>
      <c r="G603" s="21" t="n">
        <v>0.3320448949185</v>
      </c>
      <c r="H603" s="28" t="n">
        <f aca="false">ABS(E603-G603)</f>
        <v>0</v>
      </c>
      <c r="I603" s="15" t="n">
        <v>2</v>
      </c>
      <c r="J603" s="21" t="n">
        <f aca="false">(SUMPRODUCT(2_Matriz_decision!C603:Q603,5_Ponderada!$C$5:$Q$5)-1)/4</f>
        <v>0.321332108278972</v>
      </c>
      <c r="K603" s="15" t="n">
        <f aca="false">MIN(5,INT(J603/0.2)+1)</f>
        <v>2</v>
      </c>
      <c r="L603" s="21" t="n">
        <v>0.321332108278972</v>
      </c>
    </row>
    <row r="604" customFormat="false" ht="15" hidden="false" customHeight="false" outlineLevel="0" collapsed="false">
      <c r="A604" s="15" t="n">
        <f aca="false">2_Matriz_decision!A604</f>
        <v>600</v>
      </c>
      <c r="B604" s="16" t="n">
        <f aca="false">2_Matriz_decision!B604</f>
        <v>60.141</v>
      </c>
      <c r="C604" s="21" t="n">
        <f aca="false">SQRT(SUMXMY2(5_Ponderada!C607:Q607,5_Ponderada!$C$6:$Q$6))</f>
        <v>0.0180843468002918</v>
      </c>
      <c r="D604" s="21" t="n">
        <f aca="false">SQRT(SUMXMY2(5_Ponderada!C607:Q607,5_Ponderada!$C$7:$Q$7))</f>
        <v>0.00901162797301698</v>
      </c>
      <c r="E604" s="21" t="n">
        <f aca="false">D604/(C604+D604)</f>
        <v>0.332581796684207</v>
      </c>
      <c r="F604" s="15" t="n">
        <f aca="false">MIN(5,INT(E604/0.2)+1)</f>
        <v>2</v>
      </c>
      <c r="G604" s="21" t="n">
        <v>0.332581796684208</v>
      </c>
      <c r="H604" s="28" t="n">
        <f aca="false">ABS(E604-G604)</f>
        <v>0</v>
      </c>
      <c r="I604" s="15" t="n">
        <v>2</v>
      </c>
      <c r="J604" s="21" t="n">
        <f aca="false">(SUMPRODUCT(2_Matriz_decision!C604:Q604,5_Ponderada!$C$5:$Q$5)-1)/4</f>
        <v>0.324018385285498</v>
      </c>
      <c r="K604" s="15" t="n">
        <f aca="false">MIN(5,INT(J604/0.2)+1)</f>
        <v>2</v>
      </c>
      <c r="L604" s="21" t="n">
        <v>0.324018385285498</v>
      </c>
    </row>
    <row r="605" customFormat="false" ht="15" hidden="false" customHeight="false" outlineLevel="0" collapsed="false">
      <c r="A605" s="15" t="n">
        <f aca="false">2_Matriz_decision!A605</f>
        <v>601</v>
      </c>
      <c r="B605" s="16" t="n">
        <f aca="false">2_Matriz_decision!B605</f>
        <v>60.241</v>
      </c>
      <c r="C605" s="21" t="n">
        <f aca="false">SQRT(SUMXMY2(5_Ponderada!C608:Q608,5_Ponderada!$C$6:$Q$6))</f>
        <v>0.0180842775470786</v>
      </c>
      <c r="D605" s="21" t="n">
        <f aca="false">SQRT(SUMXMY2(5_Ponderada!C608:Q608,5_Ponderada!$C$7:$Q$7))</f>
        <v>0.00901555120614929</v>
      </c>
      <c r="E605" s="21" t="n">
        <f aca="false">D605/(C605+D605)</f>
        <v>0.332679268501851</v>
      </c>
      <c r="F605" s="15" t="n">
        <f aca="false">MIN(5,INT(E605/0.2)+1)</f>
        <v>2</v>
      </c>
      <c r="G605" s="21" t="n">
        <v>0.332679268501851</v>
      </c>
      <c r="H605" s="28" t="n">
        <f aca="false">ABS(E605-G605)</f>
        <v>0</v>
      </c>
      <c r="I605" s="15" t="n">
        <v>2</v>
      </c>
      <c r="J605" s="21" t="n">
        <f aca="false">(SUMPRODUCT(2_Matriz_decision!C605:Q605,5_Ponderada!$C$5:$Q$5)-1)/4</f>
        <v>0.324439898702109</v>
      </c>
      <c r="K605" s="15" t="n">
        <f aca="false">MIN(5,INT(J605/0.2)+1)</f>
        <v>2</v>
      </c>
      <c r="L605" s="21" t="n">
        <v>0.324439898702109</v>
      </c>
    </row>
    <row r="606" customFormat="false" ht="15" hidden="false" customHeight="false" outlineLevel="0" collapsed="false">
      <c r="A606" s="15" t="n">
        <f aca="false">2_Matriz_decision!A606</f>
        <v>602</v>
      </c>
      <c r="B606" s="16" t="n">
        <f aca="false">2_Matriz_decision!B606</f>
        <v>60.341</v>
      </c>
      <c r="C606" s="21" t="n">
        <f aca="false">SQRT(SUMXMY2(5_Ponderada!C609:Q609,5_Ponderada!$C$6:$Q$6))</f>
        <v>0.0180978825037964</v>
      </c>
      <c r="D606" s="21" t="n">
        <f aca="false">SQRT(SUMXMY2(5_Ponderada!C609:Q609,5_Ponderada!$C$7:$Q$7))</f>
        <v>0.00906836008049583</v>
      </c>
      <c r="E606" s="21" t="n">
        <f aca="false">D606/(C606+D606)</f>
        <v>0.333809876443466</v>
      </c>
      <c r="F606" s="15" t="n">
        <f aca="false">MIN(5,INT(E606/0.2)+1)</f>
        <v>2</v>
      </c>
      <c r="G606" s="21" t="n">
        <v>0.333809876443466</v>
      </c>
      <c r="H606" s="28" t="n">
        <f aca="false">ABS(E606-G606)</f>
        <v>0</v>
      </c>
      <c r="I606" s="15" t="n">
        <v>2</v>
      </c>
      <c r="J606" s="21" t="n">
        <f aca="false">(SUMPRODUCT(2_Matriz_decision!C606:Q606,5_Ponderada!$C$5:$Q$5)-1)/4</f>
        <v>0.32581657030817</v>
      </c>
      <c r="K606" s="15" t="n">
        <f aca="false">MIN(5,INT(J606/0.2)+1)</f>
        <v>2</v>
      </c>
      <c r="L606" s="21" t="n">
        <v>0.32581657030817</v>
      </c>
    </row>
    <row r="607" customFormat="false" ht="15" hidden="false" customHeight="false" outlineLevel="0" collapsed="false">
      <c r="A607" s="15" t="n">
        <f aca="false">2_Matriz_decision!A607</f>
        <v>603</v>
      </c>
      <c r="B607" s="16" t="n">
        <f aca="false">2_Matriz_decision!B607</f>
        <v>60.441</v>
      </c>
      <c r="C607" s="21" t="n">
        <f aca="false">SQRT(SUMXMY2(5_Ponderada!C610:Q610,5_Ponderada!$C$6:$Q$6))</f>
        <v>0.0156026345581113</v>
      </c>
      <c r="D607" s="21" t="n">
        <f aca="false">SQRT(SUMXMY2(5_Ponderada!C610:Q610,5_Ponderada!$C$7:$Q$7))</f>
        <v>0.00976219304278287</v>
      </c>
      <c r="E607" s="21" t="n">
        <f aca="false">D607/(C607+D607)</f>
        <v>0.384871255440298</v>
      </c>
      <c r="F607" s="15" t="n">
        <f aca="false">MIN(5,INT(E607/0.2)+1)</f>
        <v>2</v>
      </c>
      <c r="G607" s="21" t="n">
        <v>0.384871255440298</v>
      </c>
      <c r="H607" s="28" t="n">
        <f aca="false">ABS(E607-G607)</f>
        <v>0</v>
      </c>
      <c r="I607" s="15" t="n">
        <v>2</v>
      </c>
      <c r="J607" s="21" t="n">
        <f aca="false">(SUMPRODUCT(2_Matriz_decision!C607:Q607,5_Ponderada!$C$5:$Q$5)-1)/4</f>
        <v>0.424915501415848</v>
      </c>
      <c r="K607" s="15" t="n">
        <f aca="false">MIN(5,INT(J607/0.2)+1)</f>
        <v>3</v>
      </c>
      <c r="L607" s="21" t="n">
        <v>0.424915501415849</v>
      </c>
    </row>
    <row r="608" customFormat="false" ht="15" hidden="false" customHeight="false" outlineLevel="0" collapsed="false">
      <c r="A608" s="15" t="n">
        <f aca="false">2_Matriz_decision!A608</f>
        <v>604</v>
      </c>
      <c r="B608" s="16" t="n">
        <f aca="false">2_Matriz_decision!B608</f>
        <v>60.541</v>
      </c>
      <c r="C608" s="21" t="n">
        <f aca="false">SQRT(SUMXMY2(5_Ponderada!C611:Q611,5_Ponderada!$C$6:$Q$6))</f>
        <v>0.0156033798123981</v>
      </c>
      <c r="D608" s="21" t="n">
        <f aca="false">SQRT(SUMXMY2(5_Ponderada!C611:Q611,5_Ponderada!$C$7:$Q$7))</f>
        <v>0.00974298564342449</v>
      </c>
      <c r="E608" s="21" t="n">
        <f aca="false">D608/(C608+D608)</f>
        <v>0.384393796436258</v>
      </c>
      <c r="F608" s="15" t="n">
        <f aca="false">MIN(5,INT(E608/0.2)+1)</f>
        <v>2</v>
      </c>
      <c r="G608" s="21" t="n">
        <v>0.384393796436258</v>
      </c>
      <c r="H608" s="28" t="n">
        <f aca="false">ABS(E608-G608)</f>
        <v>0</v>
      </c>
      <c r="I608" s="15" t="n">
        <v>2</v>
      </c>
      <c r="J608" s="21" t="n">
        <f aca="false">(SUMPRODUCT(2_Matriz_decision!C608:Q608,5_Ponderada!$C$5:$Q$5)-1)/4</f>
        <v>0.421422120729812</v>
      </c>
      <c r="K608" s="15" t="n">
        <f aca="false">MIN(5,INT(J608/0.2)+1)</f>
        <v>3</v>
      </c>
      <c r="L608" s="21" t="n">
        <v>0.421422120729812</v>
      </c>
    </row>
    <row r="609" customFormat="false" ht="15" hidden="false" customHeight="false" outlineLevel="0" collapsed="false">
      <c r="A609" s="15" t="n">
        <f aca="false">2_Matriz_decision!A609</f>
        <v>605</v>
      </c>
      <c r="B609" s="16" t="n">
        <f aca="false">2_Matriz_decision!B609</f>
        <v>60.641</v>
      </c>
      <c r="C609" s="21" t="n">
        <f aca="false">SQRT(SUMXMY2(5_Ponderada!C612:Q612,5_Ponderada!$C$6:$Q$6))</f>
        <v>0.0115926189808378</v>
      </c>
      <c r="D609" s="21" t="n">
        <f aca="false">SQRT(SUMXMY2(5_Ponderada!C612:Q612,5_Ponderada!$C$7:$Q$7))</f>
        <v>0.0145137897368649</v>
      </c>
      <c r="E609" s="21" t="n">
        <f aca="false">D609/(C609+D609)</f>
        <v>0.555947388007572</v>
      </c>
      <c r="F609" s="15" t="n">
        <f aca="false">MIN(5,INT(E609/0.2)+1)</f>
        <v>3</v>
      </c>
      <c r="G609" s="21" t="n">
        <v>0.555947388007572</v>
      </c>
      <c r="H609" s="28" t="n">
        <f aca="false">ABS(E609-G609)</f>
        <v>0</v>
      </c>
      <c r="I609" s="15" t="n">
        <v>3</v>
      </c>
      <c r="J609" s="21" t="n">
        <f aca="false">(SUMPRODUCT(2_Matriz_decision!C609:Q609,5_Ponderada!$C$5:$Q$5)-1)/4</f>
        <v>0.58749527194392</v>
      </c>
      <c r="K609" s="15" t="n">
        <f aca="false">MIN(5,INT(J609/0.2)+1)</f>
        <v>3</v>
      </c>
      <c r="L609" s="21" t="n">
        <v>0.58749527194392</v>
      </c>
    </row>
    <row r="610" customFormat="false" ht="15" hidden="false" customHeight="false" outlineLevel="0" collapsed="false">
      <c r="A610" s="15" t="n">
        <f aca="false">2_Matriz_decision!A610</f>
        <v>606</v>
      </c>
      <c r="B610" s="16" t="n">
        <f aca="false">2_Matriz_decision!B610</f>
        <v>60.741</v>
      </c>
      <c r="C610" s="21" t="n">
        <f aca="false">SQRT(SUMXMY2(5_Ponderada!C613:Q613,5_Ponderada!$C$6:$Q$6))</f>
        <v>0.012756392184257</v>
      </c>
      <c r="D610" s="21" t="n">
        <f aca="false">SQRT(SUMXMY2(5_Ponderada!C613:Q613,5_Ponderada!$C$7:$Q$7))</f>
        <v>0.0143596618767331</v>
      </c>
      <c r="E610" s="21" t="n">
        <f aca="false">D610/(C610+D610)</f>
        <v>0.529563108424072</v>
      </c>
      <c r="F610" s="15" t="n">
        <f aca="false">MIN(5,INT(E610/0.2)+1)</f>
        <v>3</v>
      </c>
      <c r="G610" s="21" t="n">
        <v>0.529563108424072</v>
      </c>
      <c r="H610" s="28" t="n">
        <f aca="false">ABS(E610-G610)</f>
        <v>0</v>
      </c>
      <c r="I610" s="15" t="n">
        <v>3</v>
      </c>
      <c r="J610" s="21" t="n">
        <f aca="false">(SUMPRODUCT(2_Matriz_decision!C610:Q610,5_Ponderada!$C$5:$Q$5)-1)/4</f>
        <v>0.565526631188164</v>
      </c>
      <c r="K610" s="15" t="n">
        <f aca="false">MIN(5,INT(J610/0.2)+1)</f>
        <v>3</v>
      </c>
      <c r="L610" s="21" t="n">
        <v>0.565526631188165</v>
      </c>
    </row>
    <row r="611" customFormat="false" ht="15" hidden="false" customHeight="false" outlineLevel="0" collapsed="false">
      <c r="A611" s="15" t="n">
        <f aca="false">2_Matriz_decision!A611</f>
        <v>607</v>
      </c>
      <c r="B611" s="16" t="n">
        <f aca="false">2_Matriz_decision!B611</f>
        <v>60.841</v>
      </c>
      <c r="C611" s="21" t="n">
        <f aca="false">SQRT(SUMXMY2(5_Ponderada!C614:Q614,5_Ponderada!$C$6:$Q$6))</f>
        <v>0.0117386974323379</v>
      </c>
      <c r="D611" s="21" t="n">
        <f aca="false">SQRT(SUMXMY2(5_Ponderada!C614:Q614,5_Ponderada!$C$7:$Q$7))</f>
        <v>0.0157194659839481</v>
      </c>
      <c r="E611" s="21" t="n">
        <f aca="false">D611/(C611+D611)</f>
        <v>0.572487888050975</v>
      </c>
      <c r="F611" s="15" t="n">
        <f aca="false">MIN(5,INT(E611/0.2)+1)</f>
        <v>3</v>
      </c>
      <c r="G611" s="21" t="n">
        <v>0.572487888050975</v>
      </c>
      <c r="H611" s="28" t="n">
        <f aca="false">ABS(E611-G611)</f>
        <v>0</v>
      </c>
      <c r="I611" s="15" t="n">
        <v>3</v>
      </c>
      <c r="J611" s="21" t="n">
        <f aca="false">(SUMPRODUCT(2_Matriz_decision!C611:Q611,5_Ponderada!$C$5:$Q$5)-1)/4</f>
        <v>0.6328394553567</v>
      </c>
      <c r="K611" s="15" t="n">
        <f aca="false">MIN(5,INT(J611/0.2)+1)</f>
        <v>4</v>
      </c>
      <c r="L611" s="21" t="n">
        <v>0.632839455356701</v>
      </c>
    </row>
    <row r="612" customFormat="false" ht="15" hidden="false" customHeight="false" outlineLevel="0" collapsed="false">
      <c r="A612" s="15" t="n">
        <f aca="false">2_Matriz_decision!A612</f>
        <v>608</v>
      </c>
      <c r="B612" s="16" t="n">
        <f aca="false">2_Matriz_decision!B612</f>
        <v>60.942</v>
      </c>
      <c r="C612" s="21" t="n">
        <f aca="false">SQRT(SUMXMY2(5_Ponderada!C615:Q615,5_Ponderada!$C$6:$Q$6))</f>
        <v>0.0170908087753545</v>
      </c>
      <c r="D612" s="21" t="n">
        <f aca="false">SQRT(SUMXMY2(5_Ponderada!C615:Q615,5_Ponderada!$C$7:$Q$7))</f>
        <v>0.00878584246972801</v>
      </c>
      <c r="E612" s="21" t="n">
        <f aca="false">D612/(C612+D612)</f>
        <v>0.339527800043201</v>
      </c>
      <c r="F612" s="15" t="n">
        <f aca="false">MIN(5,INT(E612/0.2)+1)</f>
        <v>2</v>
      </c>
      <c r="G612" s="21" t="n">
        <v>0.339527800043201</v>
      </c>
      <c r="H612" s="28" t="n">
        <f aca="false">ABS(E612-G612)</f>
        <v>0</v>
      </c>
      <c r="I612" s="15" t="n">
        <v>2</v>
      </c>
      <c r="J612" s="21" t="n">
        <f aca="false">(SUMPRODUCT(2_Matriz_decision!C612:Q612,5_Ponderada!$C$5:$Q$5)-1)/4</f>
        <v>0.380187459169089</v>
      </c>
      <c r="K612" s="15" t="n">
        <f aca="false">MIN(5,INT(J612/0.2)+1)</f>
        <v>2</v>
      </c>
      <c r="L612" s="21" t="n">
        <v>0.38018745916909</v>
      </c>
    </row>
    <row r="613" customFormat="false" ht="15" hidden="false" customHeight="false" outlineLevel="0" collapsed="false">
      <c r="A613" s="15" t="n">
        <f aca="false">2_Matriz_decision!A613</f>
        <v>609</v>
      </c>
      <c r="B613" s="16" t="n">
        <f aca="false">2_Matriz_decision!B613</f>
        <v>61.042</v>
      </c>
      <c r="C613" s="21" t="n">
        <f aca="false">SQRT(SUMXMY2(5_Ponderada!C616:Q616,5_Ponderada!$C$6:$Q$6))</f>
        <v>0.0127175990121455</v>
      </c>
      <c r="D613" s="21" t="n">
        <f aca="false">SQRT(SUMXMY2(5_Ponderada!C616:Q616,5_Ponderada!$C$7:$Q$7))</f>
        <v>0.0143614979934403</v>
      </c>
      <c r="E613" s="21" t="n">
        <f aca="false">D613/(C613+D613)</f>
        <v>0.530353652135367</v>
      </c>
      <c r="F613" s="15" t="n">
        <f aca="false">MIN(5,INT(E613/0.2)+1)</f>
        <v>3</v>
      </c>
      <c r="G613" s="21" t="n">
        <v>0.530353652135367</v>
      </c>
      <c r="H613" s="28" t="n">
        <f aca="false">ABS(E613-G613)</f>
        <v>0</v>
      </c>
      <c r="I613" s="15" t="n">
        <v>3</v>
      </c>
      <c r="J613" s="21" t="n">
        <f aca="false">(SUMPRODUCT(2_Matriz_decision!C613:Q613,5_Ponderada!$C$5:$Q$5)-1)/4</f>
        <v>0.580418260368645</v>
      </c>
      <c r="K613" s="15" t="n">
        <f aca="false">MIN(5,INT(J613/0.2)+1)</f>
        <v>3</v>
      </c>
      <c r="L613" s="21" t="n">
        <v>0.580418260368646</v>
      </c>
    </row>
    <row r="614" customFormat="false" ht="15" hidden="false" customHeight="false" outlineLevel="0" collapsed="false">
      <c r="A614" s="15" t="n">
        <f aca="false">2_Matriz_decision!A614</f>
        <v>610</v>
      </c>
      <c r="B614" s="16" t="n">
        <f aca="false">2_Matriz_decision!B614</f>
        <v>61.141</v>
      </c>
      <c r="C614" s="21" t="n">
        <f aca="false">SQRT(SUMXMY2(5_Ponderada!C617:Q617,5_Ponderada!$C$6:$Q$6))</f>
        <v>0.0142315850641263</v>
      </c>
      <c r="D614" s="21" t="n">
        <f aca="false">SQRT(SUMXMY2(5_Ponderada!C617:Q617,5_Ponderada!$C$7:$Q$7))</f>
        <v>0.0135493700622526</v>
      </c>
      <c r="E614" s="21" t="n">
        <f aca="false">D614/(C614+D614)</f>
        <v>0.487721534433027</v>
      </c>
      <c r="F614" s="15" t="n">
        <f aca="false">MIN(5,INT(E614/0.2)+1)</f>
        <v>3</v>
      </c>
      <c r="G614" s="21" t="n">
        <v>0.487721534433027</v>
      </c>
      <c r="H614" s="28" t="n">
        <f aca="false">ABS(E614-G614)</f>
        <v>0</v>
      </c>
      <c r="I614" s="15" t="n">
        <v>3</v>
      </c>
      <c r="J614" s="21" t="n">
        <f aca="false">(SUMPRODUCT(2_Matriz_decision!C614:Q614,5_Ponderada!$C$5:$Q$5)-1)/4</f>
        <v>0.530942533278527</v>
      </c>
      <c r="K614" s="15" t="n">
        <f aca="false">MIN(5,INT(J614/0.2)+1)</f>
        <v>3</v>
      </c>
      <c r="L614" s="21" t="n">
        <v>0.530942533278528</v>
      </c>
    </row>
    <row r="615" customFormat="false" ht="15" hidden="false" customHeight="false" outlineLevel="0" collapsed="false">
      <c r="A615" s="15" t="n">
        <f aca="false">2_Matriz_decision!A615</f>
        <v>611</v>
      </c>
      <c r="B615" s="16" t="n">
        <f aca="false">2_Matriz_decision!B615</f>
        <v>61.241</v>
      </c>
      <c r="C615" s="21" t="n">
        <f aca="false">SQRT(SUMXMY2(5_Ponderada!C618:Q618,5_Ponderada!$C$6:$Q$6))</f>
        <v>0.0160153139695413</v>
      </c>
      <c r="D615" s="21" t="n">
        <f aca="false">SQRT(SUMXMY2(5_Ponderada!C618:Q618,5_Ponderada!$C$7:$Q$7))</f>
        <v>0.0132165011514614</v>
      </c>
      <c r="E615" s="21" t="n">
        <f aca="false">D615/(C615+D615)</f>
        <v>0.452127283124663</v>
      </c>
      <c r="F615" s="15" t="n">
        <f aca="false">MIN(5,INT(E615/0.2)+1)</f>
        <v>3</v>
      </c>
      <c r="G615" s="21" t="n">
        <v>0.452127283124663</v>
      </c>
      <c r="H615" s="28" t="n">
        <f aca="false">ABS(E615-G615)</f>
        <v>0</v>
      </c>
      <c r="I615" s="15" t="n">
        <v>3</v>
      </c>
      <c r="J615" s="21" t="n">
        <f aca="false">(SUMPRODUCT(2_Matriz_decision!C615:Q615,5_Ponderada!$C$5:$Q$5)-1)/4</f>
        <v>0.484899630113283</v>
      </c>
      <c r="K615" s="15" t="n">
        <f aca="false">MIN(5,INT(J615/0.2)+1)</f>
        <v>3</v>
      </c>
      <c r="L615" s="21" t="n">
        <v>0.484899630113283</v>
      </c>
    </row>
    <row r="616" customFormat="false" ht="15" hidden="false" customHeight="false" outlineLevel="0" collapsed="false">
      <c r="A616" s="15" t="n">
        <f aca="false">2_Matriz_decision!A616</f>
        <v>612</v>
      </c>
      <c r="B616" s="16" t="n">
        <f aca="false">2_Matriz_decision!B616</f>
        <v>61.341</v>
      </c>
      <c r="C616" s="21" t="n">
        <f aca="false">SQRT(SUMXMY2(5_Ponderada!C619:Q619,5_Ponderada!$C$6:$Q$6))</f>
        <v>0.0141749893226476</v>
      </c>
      <c r="D616" s="21" t="n">
        <f aca="false">SQRT(SUMXMY2(5_Ponderada!C619:Q619,5_Ponderada!$C$7:$Q$7))</f>
        <v>0.0135234009022105</v>
      </c>
      <c r="E616" s="21" t="n">
        <f aca="false">D616/(C616+D616)</f>
        <v>0.488237792609113</v>
      </c>
      <c r="F616" s="15" t="n">
        <f aca="false">MIN(5,INT(E616/0.2)+1)</f>
        <v>3</v>
      </c>
      <c r="G616" s="21" t="n">
        <v>0.488237792609113</v>
      </c>
      <c r="H616" s="28" t="n">
        <f aca="false">ABS(E616-G616)</f>
        <v>0</v>
      </c>
      <c r="I616" s="15" t="n">
        <v>3</v>
      </c>
      <c r="J616" s="21" t="n">
        <f aca="false">(SUMPRODUCT(2_Matriz_decision!C616:Q616,5_Ponderada!$C$5:$Q$5)-1)/4</f>
        <v>0.535011365834596</v>
      </c>
      <c r="K616" s="15" t="n">
        <f aca="false">MIN(5,INT(J616/0.2)+1)</f>
        <v>3</v>
      </c>
      <c r="L616" s="21" t="n">
        <v>0.535011365834596</v>
      </c>
    </row>
    <row r="617" customFormat="false" ht="15" hidden="false" customHeight="false" outlineLevel="0" collapsed="false">
      <c r="A617" s="15" t="n">
        <f aca="false">2_Matriz_decision!A617</f>
        <v>613</v>
      </c>
      <c r="B617" s="16" t="n">
        <f aca="false">2_Matriz_decision!B617</f>
        <v>61.44</v>
      </c>
      <c r="C617" s="21" t="n">
        <f aca="false">SQRT(SUMXMY2(5_Ponderada!C620:Q620,5_Ponderada!$C$6:$Q$6))</f>
        <v>0.0143177001900985</v>
      </c>
      <c r="D617" s="21" t="n">
        <f aca="false">SQRT(SUMXMY2(5_Ponderada!C620:Q620,5_Ponderada!$C$7:$Q$7))</f>
        <v>0.009471076137311</v>
      </c>
      <c r="E617" s="21" t="n">
        <f aca="false">D617/(C617+D617)</f>
        <v>0.398132127813502</v>
      </c>
      <c r="F617" s="15" t="n">
        <f aca="false">MIN(5,INT(E617/0.2)+1)</f>
        <v>2</v>
      </c>
      <c r="G617" s="21" t="n">
        <v>0.398132127813502</v>
      </c>
      <c r="H617" s="28" t="n">
        <f aca="false">ABS(E617-G617)</f>
        <v>0</v>
      </c>
      <c r="I617" s="15" t="n">
        <v>2</v>
      </c>
      <c r="J617" s="21" t="n">
        <f aca="false">(SUMPRODUCT(2_Matriz_decision!C617:Q617,5_Ponderada!$C$5:$Q$5)-1)/4</f>
        <v>0.452111599791622</v>
      </c>
      <c r="K617" s="15" t="n">
        <f aca="false">MIN(5,INT(J617/0.2)+1)</f>
        <v>3</v>
      </c>
      <c r="L617" s="21" t="n">
        <v>0.452111599791622</v>
      </c>
    </row>
    <row r="618" customFormat="false" ht="15" hidden="false" customHeight="false" outlineLevel="0" collapsed="false">
      <c r="A618" s="15" t="n">
        <f aca="false">2_Matriz_decision!A618</f>
        <v>614</v>
      </c>
      <c r="B618" s="16" t="n">
        <f aca="false">2_Matriz_decision!B618</f>
        <v>61.538</v>
      </c>
      <c r="C618" s="21" t="n">
        <f aca="false">SQRT(SUMXMY2(5_Ponderada!C621:Q621,5_Ponderada!$C$6:$Q$6))</f>
        <v>0.0123277405642909</v>
      </c>
      <c r="D618" s="21" t="n">
        <f aca="false">SQRT(SUMXMY2(5_Ponderada!C621:Q621,5_Ponderada!$C$7:$Q$7))</f>
        <v>0.0141626696755031</v>
      </c>
      <c r="E618" s="21" t="n">
        <f aca="false">D618/(C618+D618)</f>
        <v>0.534633837199994</v>
      </c>
      <c r="F618" s="15" t="n">
        <f aca="false">MIN(5,INT(E618/0.2)+1)</f>
        <v>3</v>
      </c>
      <c r="G618" s="21" t="n">
        <v>0.534633837199994</v>
      </c>
      <c r="H618" s="28" t="n">
        <f aca="false">ABS(E618-G618)</f>
        <v>0</v>
      </c>
      <c r="I618" s="15" t="n">
        <v>3</v>
      </c>
      <c r="J618" s="21" t="n">
        <f aca="false">(SUMPRODUCT(2_Matriz_decision!C618:Q618,5_Ponderada!$C$5:$Q$5)-1)/4</f>
        <v>0.580934354166234</v>
      </c>
      <c r="K618" s="15" t="n">
        <f aca="false">MIN(5,INT(J618/0.2)+1)</f>
        <v>3</v>
      </c>
      <c r="L618" s="21" t="n">
        <v>0.580934354166235</v>
      </c>
    </row>
    <row r="619" customFormat="false" ht="15" hidden="false" customHeight="false" outlineLevel="0" collapsed="false">
      <c r="A619" s="15" t="n">
        <f aca="false">2_Matriz_decision!A619</f>
        <v>615</v>
      </c>
      <c r="B619" s="16" t="n">
        <f aca="false">2_Matriz_decision!B619</f>
        <v>61.636</v>
      </c>
      <c r="C619" s="21" t="n">
        <f aca="false">SQRT(SUMXMY2(5_Ponderada!C622:Q622,5_Ponderada!$C$6:$Q$6))</f>
        <v>0.0100173212939136</v>
      </c>
      <c r="D619" s="21" t="n">
        <f aca="false">SQRT(SUMXMY2(5_Ponderada!C622:Q622,5_Ponderada!$C$7:$Q$7))</f>
        <v>0.0156417516751396</v>
      </c>
      <c r="E619" s="21" t="n">
        <f aca="false">D619/(C619+D619)</f>
        <v>0.609599251461842</v>
      </c>
      <c r="F619" s="15" t="n">
        <f aca="false">MIN(5,INT(E619/0.2)+1)</f>
        <v>4</v>
      </c>
      <c r="G619" s="21" t="n">
        <v>0.609599251461841</v>
      </c>
      <c r="H619" s="28" t="n">
        <f aca="false">ABS(E619-G619)</f>
        <v>0</v>
      </c>
      <c r="I619" s="15" t="n">
        <v>4</v>
      </c>
      <c r="J619" s="21" t="n">
        <f aca="false">(SUMPRODUCT(2_Matriz_decision!C619:Q619,5_Ponderada!$C$5:$Q$5)-1)/4</f>
        <v>0.647233671247845</v>
      </c>
      <c r="K619" s="15" t="n">
        <f aca="false">MIN(5,INT(J619/0.2)+1)</f>
        <v>4</v>
      </c>
      <c r="L619" s="21" t="n">
        <v>0.647233671247846</v>
      </c>
    </row>
    <row r="620" customFormat="false" ht="15" hidden="false" customHeight="false" outlineLevel="0" collapsed="false">
      <c r="A620" s="15" t="n">
        <f aca="false">2_Matriz_decision!A620</f>
        <v>616</v>
      </c>
      <c r="B620" s="16" t="n">
        <f aca="false">2_Matriz_decision!B620</f>
        <v>61.733</v>
      </c>
      <c r="C620" s="21" t="n">
        <f aca="false">SQRT(SUMXMY2(5_Ponderada!C623:Q623,5_Ponderada!$C$6:$Q$6))</f>
        <v>0.0106573127950448</v>
      </c>
      <c r="D620" s="21" t="n">
        <f aca="false">SQRT(SUMXMY2(5_Ponderada!C623:Q623,5_Ponderada!$C$7:$Q$7))</f>
        <v>0.0149754267945745</v>
      </c>
      <c r="E620" s="21" t="n">
        <f aca="false">D620/(C620+D620)</f>
        <v>0.584230442564135</v>
      </c>
      <c r="F620" s="15" t="n">
        <f aca="false">MIN(5,INT(E620/0.2)+1)</f>
        <v>3</v>
      </c>
      <c r="G620" s="21" t="n">
        <v>0.584230442564135</v>
      </c>
      <c r="H620" s="28" t="n">
        <f aca="false">ABS(E620-G620)</f>
        <v>0</v>
      </c>
      <c r="I620" s="15" t="n">
        <v>3</v>
      </c>
      <c r="J620" s="21" t="n">
        <f aca="false">(SUMPRODUCT(2_Matriz_decision!C620:Q620,5_Ponderada!$C$5:$Q$5)-1)/4</f>
        <v>0.619536651899899</v>
      </c>
      <c r="K620" s="15" t="n">
        <f aca="false">MIN(5,INT(J620/0.2)+1)</f>
        <v>4</v>
      </c>
      <c r="L620" s="21" t="n">
        <v>0.619536651899899</v>
      </c>
    </row>
    <row r="621" customFormat="false" ht="15" hidden="false" customHeight="false" outlineLevel="0" collapsed="false">
      <c r="A621" s="15" t="n">
        <f aca="false">2_Matriz_decision!A621</f>
        <v>617</v>
      </c>
      <c r="B621" s="16" t="n">
        <f aca="false">2_Matriz_decision!B621</f>
        <v>61.83</v>
      </c>
      <c r="C621" s="21" t="n">
        <f aca="false">SQRT(SUMXMY2(5_Ponderada!C624:Q624,5_Ponderada!$C$6:$Q$6))</f>
        <v>0.0141564615669687</v>
      </c>
      <c r="D621" s="21" t="n">
        <f aca="false">SQRT(SUMXMY2(5_Ponderada!C624:Q624,5_Ponderada!$C$7:$Q$7))</f>
        <v>0.0135294292925908</v>
      </c>
      <c r="E621" s="21" t="n">
        <f aca="false">D621/(C621+D621)</f>
        <v>0.488675959940054</v>
      </c>
      <c r="F621" s="15" t="n">
        <f aca="false">MIN(5,INT(E621/0.2)+1)</f>
        <v>3</v>
      </c>
      <c r="G621" s="21" t="n">
        <v>0.488675959940054</v>
      </c>
      <c r="H621" s="28" t="n">
        <f aca="false">ABS(E621-G621)</f>
        <v>0</v>
      </c>
      <c r="I621" s="15" t="n">
        <v>3</v>
      </c>
      <c r="J621" s="21" t="n">
        <f aca="false">(SUMPRODUCT(2_Matriz_decision!C621:Q621,5_Ponderada!$C$5:$Q$5)-1)/4</f>
        <v>0.542944790026244</v>
      </c>
      <c r="K621" s="15" t="n">
        <f aca="false">MIN(5,INT(J621/0.2)+1)</f>
        <v>3</v>
      </c>
      <c r="L621" s="21" t="n">
        <v>0.542944790026244</v>
      </c>
    </row>
    <row r="622" customFormat="false" ht="15" hidden="false" customHeight="false" outlineLevel="0" collapsed="false">
      <c r="A622" s="15" t="n">
        <f aca="false">2_Matriz_decision!A622</f>
        <v>618</v>
      </c>
      <c r="B622" s="16" t="n">
        <f aca="false">2_Matriz_decision!B622</f>
        <v>61.926</v>
      </c>
      <c r="C622" s="21" t="n">
        <f aca="false">SQRT(SUMXMY2(5_Ponderada!C625:Q625,5_Ponderada!$C$6:$Q$6))</f>
        <v>0.0159731903260613</v>
      </c>
      <c r="D622" s="21" t="n">
        <f aca="false">SQRT(SUMXMY2(5_Ponderada!C625:Q625,5_Ponderada!$C$7:$Q$7))</f>
        <v>0.0132678929359677</v>
      </c>
      <c r="E622" s="21" t="n">
        <f aca="false">D622/(C622+D622)</f>
        <v>0.453741498462088</v>
      </c>
      <c r="F622" s="15" t="n">
        <f aca="false">MIN(5,INT(E622/0.2)+1)</f>
        <v>3</v>
      </c>
      <c r="G622" s="21" t="n">
        <v>0.453741498462088</v>
      </c>
      <c r="H622" s="28" t="n">
        <f aca="false">ABS(E622-G622)</f>
        <v>0</v>
      </c>
      <c r="I622" s="15" t="n">
        <v>3</v>
      </c>
      <c r="J622" s="21" t="n">
        <f aca="false">(SUMPRODUCT(2_Matriz_decision!C622:Q622,5_Ponderada!$C$5:$Q$5)-1)/4</f>
        <v>0.500102121580016</v>
      </c>
      <c r="K622" s="15" t="n">
        <f aca="false">MIN(5,INT(J622/0.2)+1)</f>
        <v>3</v>
      </c>
      <c r="L622" s="21" t="n">
        <v>0.500102121580017</v>
      </c>
    </row>
    <row r="623" customFormat="false" ht="15" hidden="false" customHeight="false" outlineLevel="0" collapsed="false">
      <c r="A623" s="15" t="n">
        <f aca="false">2_Matriz_decision!A623</f>
        <v>619</v>
      </c>
      <c r="B623" s="16" t="n">
        <f aca="false">2_Matriz_decision!B623</f>
        <v>62.021</v>
      </c>
      <c r="C623" s="21" t="n">
        <f aca="false">SQRT(SUMXMY2(5_Ponderada!C626:Q626,5_Ponderada!$C$6:$Q$6))</f>
        <v>0.0159579300045161</v>
      </c>
      <c r="D623" s="21" t="n">
        <f aca="false">SQRT(SUMXMY2(5_Ponderada!C626:Q626,5_Ponderada!$C$7:$Q$7))</f>
        <v>0.0133003665080278</v>
      </c>
      <c r="E623" s="21" t="n">
        <f aca="false">D623/(C623+D623)</f>
        <v>0.454584445896415</v>
      </c>
      <c r="F623" s="15" t="n">
        <f aca="false">MIN(5,INT(E623/0.2)+1)</f>
        <v>3</v>
      </c>
      <c r="G623" s="21" t="n">
        <v>0.454584445896415</v>
      </c>
      <c r="H623" s="28" t="n">
        <f aca="false">ABS(E623-G623)</f>
        <v>0</v>
      </c>
      <c r="I623" s="15" t="n">
        <v>3</v>
      </c>
      <c r="J623" s="21" t="n">
        <f aca="false">(SUMPRODUCT(2_Matriz_decision!C623:Q623,5_Ponderada!$C$5:$Q$5)-1)/4</f>
        <v>0.511455774587671</v>
      </c>
      <c r="K623" s="15" t="n">
        <f aca="false">MIN(5,INT(J623/0.2)+1)</f>
        <v>3</v>
      </c>
      <c r="L623" s="21" t="n">
        <v>0.511455774587671</v>
      </c>
    </row>
    <row r="624" customFormat="false" ht="15" hidden="false" customHeight="false" outlineLevel="0" collapsed="false">
      <c r="A624" s="15" t="n">
        <f aca="false">2_Matriz_decision!A624</f>
        <v>620</v>
      </c>
      <c r="B624" s="16" t="n">
        <f aca="false">2_Matriz_decision!B624</f>
        <v>62.115</v>
      </c>
      <c r="C624" s="21" t="n">
        <f aca="false">SQRT(SUMXMY2(5_Ponderada!C627:Q627,5_Ponderada!$C$6:$Q$6))</f>
        <v>0.014119320437096</v>
      </c>
      <c r="D624" s="21" t="n">
        <f aca="false">SQRT(SUMXMY2(5_Ponderada!C627:Q627,5_Ponderada!$C$7:$Q$7))</f>
        <v>0.013593860611142</v>
      </c>
      <c r="E624" s="21" t="n">
        <f aca="false">D624/(C624+D624)</f>
        <v>0.490519676809397</v>
      </c>
      <c r="F624" s="15" t="n">
        <f aca="false">MIN(5,INT(E624/0.2)+1)</f>
        <v>3</v>
      </c>
      <c r="G624" s="21" t="n">
        <v>0.490519676809397</v>
      </c>
      <c r="H624" s="28" t="n">
        <f aca="false">ABS(E624-G624)</f>
        <v>0</v>
      </c>
      <c r="I624" s="15" t="n">
        <v>3</v>
      </c>
      <c r="J624" s="21" t="n">
        <f aca="false">(SUMPRODUCT(2_Matriz_decision!C624:Q624,5_Ponderada!$C$5:$Q$5)-1)/4</f>
        <v>0.558737150803004</v>
      </c>
      <c r="K624" s="15" t="n">
        <f aca="false">MIN(5,INT(J624/0.2)+1)</f>
        <v>3</v>
      </c>
      <c r="L624" s="21" t="n">
        <v>0.558737150803005</v>
      </c>
    </row>
    <row r="625" customFormat="false" ht="15" hidden="false" customHeight="false" outlineLevel="0" collapsed="false">
      <c r="A625" s="15" t="n">
        <f aca="false">2_Matriz_decision!A625</f>
        <v>621</v>
      </c>
      <c r="B625" s="16" t="n">
        <f aca="false">2_Matriz_decision!B625</f>
        <v>62.208</v>
      </c>
      <c r="C625" s="21" t="n">
        <f aca="false">SQRT(SUMXMY2(5_Ponderada!C628:Q628,5_Ponderada!$C$6:$Q$6))</f>
        <v>0.0159542789148473</v>
      </c>
      <c r="D625" s="21" t="n">
        <f aca="false">SQRT(SUMXMY2(5_Ponderada!C628:Q628,5_Ponderada!$C$7:$Q$7))</f>
        <v>0.0133395296686078</v>
      </c>
      <c r="E625" s="21" t="n">
        <f aca="false">D625/(C625+D625)</f>
        <v>0.455370274937275</v>
      </c>
      <c r="F625" s="15" t="n">
        <f aca="false">MIN(5,INT(E625/0.2)+1)</f>
        <v>3</v>
      </c>
      <c r="G625" s="21" t="n">
        <v>0.455370274937275</v>
      </c>
      <c r="H625" s="28" t="n">
        <f aca="false">ABS(E625-G625)</f>
        <v>0</v>
      </c>
      <c r="I625" s="15" t="n">
        <v>3</v>
      </c>
      <c r="J625" s="21" t="n">
        <f aca="false">(SUMPRODUCT(2_Matriz_decision!C625:Q625,5_Ponderada!$C$5:$Q$5)-1)/4</f>
        <v>0.520854560408024</v>
      </c>
      <c r="K625" s="15" t="n">
        <f aca="false">MIN(5,INT(J625/0.2)+1)</f>
        <v>3</v>
      </c>
      <c r="L625" s="21" t="n">
        <v>0.520854560408024</v>
      </c>
    </row>
    <row r="626" customFormat="false" ht="15" hidden="false" customHeight="false" outlineLevel="0" collapsed="false">
      <c r="A626" s="15" t="n">
        <f aca="false">2_Matriz_decision!A626</f>
        <v>622</v>
      </c>
      <c r="B626" s="16" t="n">
        <f aca="false">2_Matriz_decision!B626</f>
        <v>62.299</v>
      </c>
      <c r="C626" s="21" t="n">
        <f aca="false">SQRT(SUMXMY2(5_Ponderada!C629:Q629,5_Ponderada!$C$6:$Q$6))</f>
        <v>0.0162146868867179</v>
      </c>
      <c r="D626" s="21" t="n">
        <f aca="false">SQRT(SUMXMY2(5_Ponderada!C629:Q629,5_Ponderada!$C$7:$Q$7))</f>
        <v>0.0109324400813132</v>
      </c>
      <c r="E626" s="21" t="n">
        <f aca="false">D626/(C626+D626)</f>
        <v>0.402710758091914</v>
      </c>
      <c r="F626" s="15" t="n">
        <f aca="false">MIN(5,INT(E626/0.2)+1)</f>
        <v>3</v>
      </c>
      <c r="G626" s="21" t="n">
        <v>0.402710758091914</v>
      </c>
      <c r="H626" s="28" t="n">
        <f aca="false">ABS(E626-G626)</f>
        <v>0</v>
      </c>
      <c r="I626" s="15" t="n">
        <v>3</v>
      </c>
      <c r="J626" s="21" t="n">
        <f aca="false">(SUMPRODUCT(2_Matriz_decision!C626:Q626,5_Ponderada!$C$5:$Q$5)-1)/4</f>
        <v>0.456523998985536</v>
      </c>
      <c r="K626" s="15" t="n">
        <f aca="false">MIN(5,INT(J626/0.2)+1)</f>
        <v>3</v>
      </c>
      <c r="L626" s="21" t="n">
        <v>0.456523998985537</v>
      </c>
    </row>
    <row r="627" customFormat="false" ht="15" hidden="false" customHeight="false" outlineLevel="0" collapsed="false">
      <c r="A627" s="15" t="n">
        <f aca="false">2_Matriz_decision!A627</f>
        <v>623</v>
      </c>
      <c r="B627" s="16" t="n">
        <f aca="false">2_Matriz_decision!B627</f>
        <v>62.388</v>
      </c>
      <c r="C627" s="21" t="n">
        <f aca="false">SQRT(SUMXMY2(5_Ponderada!C630:Q630,5_Ponderada!$C$6:$Q$6))</f>
        <v>0.0144058898138927</v>
      </c>
      <c r="D627" s="21" t="n">
        <f aca="false">SQRT(SUMXMY2(5_Ponderada!C630:Q630,5_Ponderada!$C$7:$Q$7))</f>
        <v>0.0113346588725111</v>
      </c>
      <c r="E627" s="21" t="n">
        <f aca="false">D627/(C627+D627)</f>
        <v>0.440342550992242</v>
      </c>
      <c r="F627" s="15" t="n">
        <f aca="false">MIN(5,INT(E627/0.2)+1)</f>
        <v>3</v>
      </c>
      <c r="G627" s="21" t="n">
        <v>0.440342550992242</v>
      </c>
      <c r="H627" s="28" t="n">
        <f aca="false">ABS(E627-G627)</f>
        <v>0</v>
      </c>
      <c r="I627" s="15" t="n">
        <v>3</v>
      </c>
      <c r="J627" s="21" t="n">
        <f aca="false">(SUMPRODUCT(2_Matriz_decision!C627:Q627,5_Ponderada!$C$5:$Q$5)-1)/4</f>
        <v>0.514489766246159</v>
      </c>
      <c r="K627" s="15" t="n">
        <f aca="false">MIN(5,INT(J627/0.2)+1)</f>
        <v>3</v>
      </c>
      <c r="L627" s="21" t="n">
        <v>0.514489766246159</v>
      </c>
    </row>
    <row r="628" customFormat="false" ht="15" hidden="false" customHeight="false" outlineLevel="0" collapsed="false">
      <c r="A628" s="15" t="n">
        <f aca="false">2_Matriz_decision!A628</f>
        <v>624</v>
      </c>
      <c r="B628" s="16" t="n">
        <f aca="false">2_Matriz_decision!B628</f>
        <v>62.474</v>
      </c>
      <c r="C628" s="21" t="n">
        <f aca="false">SQRT(SUMXMY2(5_Ponderada!C631:Q631,5_Ponderada!$C$6:$Q$6))</f>
        <v>0.0162205882429248</v>
      </c>
      <c r="D628" s="21" t="n">
        <f aca="false">SQRT(SUMXMY2(5_Ponderada!C631:Q631,5_Ponderada!$C$7:$Q$7))</f>
        <v>0.0109147842681054</v>
      </c>
      <c r="E628" s="21" t="n">
        <f aca="false">D628/(C628+D628)</f>
        <v>0.402234546943061</v>
      </c>
      <c r="F628" s="15" t="n">
        <f aca="false">MIN(5,INT(E628/0.2)+1)</f>
        <v>3</v>
      </c>
      <c r="G628" s="21" t="n">
        <v>0.402234546943061</v>
      </c>
      <c r="H628" s="28" t="n">
        <f aca="false">ABS(E628-G628)</f>
        <v>0</v>
      </c>
      <c r="I628" s="15" t="n">
        <v>3</v>
      </c>
      <c r="J628" s="21" t="n">
        <f aca="false">(SUMPRODUCT(2_Matriz_decision!C628:Q628,5_Ponderada!$C$5:$Q$5)-1)/4</f>
        <v>0.452540530669713</v>
      </c>
      <c r="K628" s="15" t="n">
        <f aca="false">MIN(5,INT(J628/0.2)+1)</f>
        <v>3</v>
      </c>
      <c r="L628" s="21" t="n">
        <v>0.452540530669713</v>
      </c>
    </row>
    <row r="629" customFormat="false" ht="15" hidden="false" customHeight="false" outlineLevel="0" collapsed="false">
      <c r="A629" s="15" t="n">
        <f aca="false">2_Matriz_decision!A629</f>
        <v>625</v>
      </c>
      <c r="B629" s="16" t="n">
        <f aca="false">2_Matriz_decision!B629</f>
        <v>62.562</v>
      </c>
      <c r="C629" s="21" t="n">
        <f aca="false">SQRT(SUMXMY2(5_Ponderada!C632:Q632,5_Ponderada!$C$6:$Q$6))</f>
        <v>0.0162271151082626</v>
      </c>
      <c r="D629" s="21" t="n">
        <f aca="false">SQRT(SUMXMY2(5_Ponderada!C632:Q632,5_Ponderada!$C$7:$Q$7))</f>
        <v>0.0109479208753365</v>
      </c>
      <c r="E629" s="21" t="n">
        <f aca="false">D629/(C629+D629)</f>
        <v>0.402866840063943</v>
      </c>
      <c r="F629" s="15" t="n">
        <f aca="false">MIN(5,INT(E629/0.2)+1)</f>
        <v>3</v>
      </c>
      <c r="G629" s="21" t="n">
        <v>0.402866840063943</v>
      </c>
      <c r="H629" s="28" t="n">
        <f aca="false">ABS(E629-G629)</f>
        <v>0</v>
      </c>
      <c r="I629" s="15" t="n">
        <v>3</v>
      </c>
      <c r="J629" s="21" t="n">
        <f aca="false">(SUMPRODUCT(2_Matriz_decision!C629:Q629,5_Ponderada!$C$5:$Q$5)-1)/4</f>
        <v>0.46134099057704</v>
      </c>
      <c r="K629" s="15" t="n">
        <f aca="false">MIN(5,INT(J629/0.2)+1)</f>
        <v>3</v>
      </c>
      <c r="L629" s="21" t="n">
        <v>0.461340990577041</v>
      </c>
    </row>
    <row r="630" customFormat="false" ht="15" hidden="false" customHeight="false" outlineLevel="0" collapsed="false">
      <c r="A630" s="15" t="n">
        <f aca="false">2_Matriz_decision!A630</f>
        <v>626</v>
      </c>
      <c r="B630" s="16" t="n">
        <f aca="false">2_Matriz_decision!B630</f>
        <v>62.651</v>
      </c>
      <c r="C630" s="21" t="n">
        <f aca="false">SQRT(SUMXMY2(5_Ponderada!C633:Q633,5_Ponderada!$C$6:$Q$6))</f>
        <v>0.0162076561577757</v>
      </c>
      <c r="D630" s="21" t="n">
        <f aca="false">SQRT(SUMXMY2(5_Ponderada!C633:Q633,5_Ponderada!$C$7:$Q$7))</f>
        <v>0.0110292433116962</v>
      </c>
      <c r="E630" s="21" t="n">
        <f aca="false">D630/(C630+D630)</f>
        <v>0.404937548932769</v>
      </c>
      <c r="F630" s="15" t="n">
        <f aca="false">MIN(5,INT(E630/0.2)+1)</f>
        <v>3</v>
      </c>
      <c r="G630" s="21" t="n">
        <v>0.404937548932769</v>
      </c>
      <c r="H630" s="28" t="n">
        <f aca="false">ABS(E630-G630)</f>
        <v>0</v>
      </c>
      <c r="I630" s="15" t="n">
        <v>3</v>
      </c>
      <c r="J630" s="21" t="n">
        <f aca="false">(SUMPRODUCT(2_Matriz_decision!C630:Q630,5_Ponderada!$C$5:$Q$5)-1)/4</f>
        <v>0.47591247533317</v>
      </c>
      <c r="K630" s="15" t="n">
        <f aca="false">MIN(5,INT(J630/0.2)+1)</f>
        <v>3</v>
      </c>
      <c r="L630" s="21" t="n">
        <v>0.47591247533317</v>
      </c>
    </row>
    <row r="631" customFormat="false" ht="15" hidden="false" customHeight="false" outlineLevel="0" collapsed="false">
      <c r="A631" s="15" t="n">
        <f aca="false">2_Matriz_decision!A631</f>
        <v>627</v>
      </c>
      <c r="B631" s="16" t="n">
        <f aca="false">2_Matriz_decision!B631</f>
        <v>62.751</v>
      </c>
      <c r="C631" s="21" t="n">
        <f aca="false">SQRT(SUMXMY2(5_Ponderada!C634:Q634,5_Ponderada!$C$6:$Q$6))</f>
        <v>0.0169726909915817</v>
      </c>
      <c r="D631" s="21" t="n">
        <f aca="false">SQRT(SUMXMY2(5_Ponderada!C634:Q634,5_Ponderada!$C$7:$Q$7))</f>
        <v>0.00880179825697126</v>
      </c>
      <c r="E631" s="21" t="n">
        <f aca="false">D631/(C631+D631)</f>
        <v>0.34149263529889</v>
      </c>
      <c r="F631" s="15" t="n">
        <f aca="false">MIN(5,INT(E631/0.2)+1)</f>
        <v>2</v>
      </c>
      <c r="G631" s="21" t="n">
        <v>0.34149263529889</v>
      </c>
      <c r="H631" s="28" t="n">
        <f aca="false">ABS(E631-G631)</f>
        <v>0</v>
      </c>
      <c r="I631" s="15" t="n">
        <v>2</v>
      </c>
      <c r="J631" s="21" t="n">
        <f aca="false">(SUMPRODUCT(2_Matriz_decision!C631:Q631,5_Ponderada!$C$5:$Q$5)-1)/4</f>
        <v>0.390432028536312</v>
      </c>
      <c r="K631" s="15" t="n">
        <f aca="false">MIN(5,INT(J631/0.2)+1)</f>
        <v>2</v>
      </c>
      <c r="L631" s="21" t="n">
        <v>0.390432028536312</v>
      </c>
    </row>
    <row r="632" customFormat="false" ht="15" hidden="false" customHeight="false" outlineLevel="0" collapsed="false">
      <c r="A632" s="15" t="n">
        <f aca="false">2_Matriz_decision!A632</f>
        <v>628</v>
      </c>
      <c r="B632" s="16" t="n">
        <f aca="false">2_Matriz_decision!B632</f>
        <v>62.898</v>
      </c>
      <c r="C632" s="21" t="n">
        <f aca="false">SQRT(SUMXMY2(5_Ponderada!C635:Q635,5_Ponderada!$C$6:$Q$6))</f>
        <v>0.0182007875858304</v>
      </c>
      <c r="D632" s="21" t="n">
        <f aca="false">SQRT(SUMXMY2(5_Ponderada!C635:Q635,5_Ponderada!$C$7:$Q$7))</f>
        <v>0.0072092931868194</v>
      </c>
      <c r="E632" s="21" t="n">
        <f aca="false">D632/(C632+D632)</f>
        <v>0.283717838259654</v>
      </c>
      <c r="F632" s="15" t="n">
        <f aca="false">MIN(5,INT(E632/0.2)+1)</f>
        <v>2</v>
      </c>
      <c r="G632" s="21" t="n">
        <v>0.283717838259654</v>
      </c>
      <c r="H632" s="28" t="n">
        <f aca="false">ABS(E632-G632)</f>
        <v>0</v>
      </c>
      <c r="I632" s="15" t="n">
        <v>2</v>
      </c>
      <c r="J632" s="21" t="n">
        <f aca="false">(SUMPRODUCT(2_Matriz_decision!C632:Q632,5_Ponderada!$C$5:$Q$5)-1)/4</f>
        <v>0.310196011585762</v>
      </c>
      <c r="K632" s="15" t="n">
        <f aca="false">MIN(5,INT(J632/0.2)+1)</f>
        <v>2</v>
      </c>
      <c r="L632" s="21" t="n">
        <v>0.310196011585763</v>
      </c>
    </row>
    <row r="633" customFormat="false" ht="15" hidden="false" customHeight="false" outlineLevel="0" collapsed="false">
      <c r="A633" s="15" t="n">
        <f aca="false">2_Matriz_decision!A633</f>
        <v>629</v>
      </c>
      <c r="B633" s="16" t="n">
        <f aca="false">2_Matriz_decision!B633</f>
        <v>63.01</v>
      </c>
      <c r="C633" s="21" t="n">
        <f aca="false">SQRT(SUMXMY2(5_Ponderada!C636:Q636,5_Ponderada!$C$6:$Q$6))</f>
        <v>0.0173976351028186</v>
      </c>
      <c r="D633" s="21" t="n">
        <f aca="false">SQRT(SUMXMY2(5_Ponderada!C636:Q636,5_Ponderada!$C$7:$Q$7))</f>
        <v>0.00753235322646624</v>
      </c>
      <c r="E633" s="21" t="n">
        <f aca="false">D633/(C633+D633)</f>
        <v>0.302140262842325</v>
      </c>
      <c r="F633" s="15" t="n">
        <f aca="false">MIN(5,INT(E633/0.2)+1)</f>
        <v>2</v>
      </c>
      <c r="G633" s="21" t="n">
        <v>0.302140262842325</v>
      </c>
      <c r="H633" s="28" t="n">
        <f aca="false">ABS(E633-G633)</f>
        <v>0</v>
      </c>
      <c r="I633" s="15" t="n">
        <v>2</v>
      </c>
      <c r="J633" s="21" t="n">
        <f aca="false">(SUMPRODUCT(2_Matriz_decision!C633:Q633,5_Ponderada!$C$5:$Q$5)-1)/4</f>
        <v>0.333160319591494</v>
      </c>
      <c r="K633" s="15" t="n">
        <f aca="false">MIN(5,INT(J633/0.2)+1)</f>
        <v>2</v>
      </c>
      <c r="L633" s="21" t="n">
        <v>0.333160319591494</v>
      </c>
    </row>
    <row r="634" customFormat="false" ht="15" hidden="false" customHeight="false" outlineLevel="0" collapsed="false">
      <c r="A634" s="15" t="n">
        <f aca="false">2_Matriz_decision!A634</f>
        <v>630</v>
      </c>
      <c r="B634" s="16" t="n">
        <f aca="false">2_Matriz_decision!B634</f>
        <v>63.127</v>
      </c>
      <c r="C634" s="21" t="n">
        <f aca="false">SQRT(SUMXMY2(5_Ponderada!C637:Q637,5_Ponderada!$C$6:$Q$6))</f>
        <v>0.0174095759968869</v>
      </c>
      <c r="D634" s="21" t="n">
        <f aca="false">SQRT(SUMXMY2(5_Ponderada!C637:Q637,5_Ponderada!$C$7:$Q$7))</f>
        <v>0.00750706893695267</v>
      </c>
      <c r="E634" s="21" t="n">
        <f aca="false">D634/(C634+D634)</f>
        <v>0.301287310425861</v>
      </c>
      <c r="F634" s="15" t="n">
        <f aca="false">MIN(5,INT(E634/0.2)+1)</f>
        <v>2</v>
      </c>
      <c r="G634" s="21" t="n">
        <v>0.301287310425861</v>
      </c>
      <c r="H634" s="28" t="n">
        <f aca="false">ABS(E634-G634)</f>
        <v>0</v>
      </c>
      <c r="I634" s="15" t="n">
        <v>2</v>
      </c>
      <c r="J634" s="21" t="n">
        <f aca="false">(SUMPRODUCT(2_Matriz_decision!C634:Q634,5_Ponderada!$C$5:$Q$5)-1)/4</f>
        <v>0.326457066312668</v>
      </c>
      <c r="K634" s="15" t="n">
        <f aca="false">MIN(5,INT(J634/0.2)+1)</f>
        <v>2</v>
      </c>
      <c r="L634" s="21" t="n">
        <v>0.326457066312669</v>
      </c>
    </row>
    <row r="635" customFormat="false" ht="15" hidden="false" customHeight="false" outlineLevel="0" collapsed="false">
      <c r="A635" s="15" t="n">
        <f aca="false">2_Matriz_decision!A635</f>
        <v>631</v>
      </c>
      <c r="B635" s="16" t="n">
        <f aca="false">2_Matriz_decision!B635</f>
        <v>63.244</v>
      </c>
      <c r="C635" s="21" t="n">
        <f aca="false">SQRT(SUMXMY2(5_Ponderada!C638:Q638,5_Ponderada!$C$6:$Q$6))</f>
        <v>0.0189813438992569</v>
      </c>
      <c r="D635" s="21" t="n">
        <f aca="false">SQRT(SUMXMY2(5_Ponderada!C638:Q638,5_Ponderada!$C$7:$Q$7))</f>
        <v>0.00694673143644955</v>
      </c>
      <c r="E635" s="21" t="n">
        <f aca="false">D635/(C635+D635)</f>
        <v>0.267923143021841</v>
      </c>
      <c r="F635" s="15" t="n">
        <f aca="false">MIN(5,INT(E635/0.2)+1)</f>
        <v>2</v>
      </c>
      <c r="G635" s="21" t="n">
        <v>0.267923143021841</v>
      </c>
      <c r="H635" s="28" t="n">
        <f aca="false">ABS(E635-G635)</f>
        <v>0</v>
      </c>
      <c r="I635" s="15" t="n">
        <v>2</v>
      </c>
      <c r="J635" s="21" t="n">
        <f aca="false">(SUMPRODUCT(2_Matriz_decision!C635:Q635,5_Ponderada!$C$5:$Q$5)-1)/4</f>
        <v>0.274505396083212</v>
      </c>
      <c r="K635" s="15" t="n">
        <f aca="false">MIN(5,INT(J635/0.2)+1)</f>
        <v>2</v>
      </c>
      <c r="L635" s="21" t="n">
        <v>0.274505396083212</v>
      </c>
    </row>
    <row r="636" customFormat="false" ht="15" hidden="false" customHeight="false" outlineLevel="0" collapsed="false">
      <c r="A636" s="15" t="n">
        <f aca="false">2_Matriz_decision!A636</f>
        <v>632</v>
      </c>
      <c r="B636" s="16" t="n">
        <f aca="false">2_Matriz_decision!B636</f>
        <v>63.359</v>
      </c>
      <c r="C636" s="21" t="n">
        <f aca="false">SQRT(SUMXMY2(5_Ponderada!C639:Q639,5_Ponderada!$C$6:$Q$6))</f>
        <v>0.0168205776191792</v>
      </c>
      <c r="D636" s="21" t="n">
        <f aca="false">SQRT(SUMXMY2(5_Ponderada!C639:Q639,5_Ponderada!$C$7:$Q$7))</f>
        <v>0.00827975708583209</v>
      </c>
      <c r="E636" s="21" t="n">
        <f aca="false">D636/(C636+D636)</f>
        <v>0.329866401509739</v>
      </c>
      <c r="F636" s="15" t="n">
        <f aca="false">MIN(5,INT(E636/0.2)+1)</f>
        <v>2</v>
      </c>
      <c r="G636" s="21" t="n">
        <v>0.329866401509739</v>
      </c>
      <c r="H636" s="28" t="n">
        <f aca="false">ABS(E636-G636)</f>
        <v>0</v>
      </c>
      <c r="I636" s="15" t="n">
        <v>2</v>
      </c>
      <c r="J636" s="21" t="n">
        <f aca="false">(SUMPRODUCT(2_Matriz_decision!C636:Q636,5_Ponderada!$C$5:$Q$5)-1)/4</f>
        <v>0.345570087946421</v>
      </c>
      <c r="K636" s="15" t="n">
        <f aca="false">MIN(5,INT(J636/0.2)+1)</f>
        <v>2</v>
      </c>
      <c r="L636" s="21" t="n">
        <v>0.345570087946422</v>
      </c>
    </row>
    <row r="637" customFormat="false" ht="15" hidden="false" customHeight="false" outlineLevel="0" collapsed="false">
      <c r="A637" s="15" t="n">
        <f aca="false">2_Matriz_decision!A637</f>
        <v>633</v>
      </c>
      <c r="B637" s="16" t="n">
        <f aca="false">2_Matriz_decision!B637</f>
        <v>63.47</v>
      </c>
      <c r="C637" s="21" t="n">
        <f aca="false">SQRT(SUMXMY2(5_Ponderada!C640:Q640,5_Ponderada!$C$6:$Q$6))</f>
        <v>0.0181088348596339</v>
      </c>
      <c r="D637" s="21" t="n">
        <f aca="false">SQRT(SUMXMY2(5_Ponderada!C640:Q640,5_Ponderada!$C$7:$Q$7))</f>
        <v>0.00902119922334153</v>
      </c>
      <c r="E637" s="21" t="n">
        <f aca="false">D637/(C637+D637)</f>
        <v>0.332517061930361</v>
      </c>
      <c r="F637" s="15" t="n">
        <f aca="false">MIN(5,INT(E637/0.2)+1)</f>
        <v>2</v>
      </c>
      <c r="G637" s="21" t="n">
        <v>0.332517061930361</v>
      </c>
      <c r="H637" s="28" t="n">
        <f aca="false">ABS(E637-G637)</f>
        <v>0</v>
      </c>
      <c r="I637" s="15" t="n">
        <v>2</v>
      </c>
      <c r="J637" s="21" t="n">
        <f aca="false">(SUMPRODUCT(2_Matriz_decision!C637:Q637,5_Ponderada!$C$5:$Q$5)-1)/4</f>
        <v>0.316769839352581</v>
      </c>
      <c r="K637" s="15" t="n">
        <f aca="false">MIN(5,INT(J637/0.2)+1)</f>
        <v>2</v>
      </c>
      <c r="L637" s="21" t="n">
        <v>0.316769839352581</v>
      </c>
    </row>
    <row r="638" customFormat="false" ht="15" hidden="false" customHeight="false" outlineLevel="0" collapsed="false">
      <c r="A638" s="15" t="n">
        <f aca="false">2_Matriz_decision!A638</f>
        <v>634</v>
      </c>
      <c r="B638" s="16" t="n">
        <f aca="false">2_Matriz_decision!B638</f>
        <v>63.576</v>
      </c>
      <c r="C638" s="21" t="n">
        <f aca="false">SQRT(SUMXMY2(5_Ponderada!C641:Q641,5_Ponderada!$C$6:$Q$6))</f>
        <v>0.0181091788234577</v>
      </c>
      <c r="D638" s="21" t="n">
        <f aca="false">SQRT(SUMXMY2(5_Ponderada!C641:Q641,5_Ponderada!$C$7:$Q$7))</f>
        <v>0.00901473061214752</v>
      </c>
      <c r="E638" s="21" t="n">
        <f aca="false">D638/(C638+D638)</f>
        <v>0.332353661390492</v>
      </c>
      <c r="F638" s="15" t="n">
        <f aca="false">MIN(5,INT(E638/0.2)+1)</f>
        <v>2</v>
      </c>
      <c r="G638" s="21" t="n">
        <v>0.332353661390492</v>
      </c>
      <c r="H638" s="28" t="n">
        <f aca="false">ABS(E638-G638)</f>
        <v>0</v>
      </c>
      <c r="I638" s="15" t="n">
        <v>2</v>
      </c>
      <c r="J638" s="21" t="n">
        <f aca="false">(SUMPRODUCT(2_Matriz_decision!C638:Q638,5_Ponderada!$C$5:$Q$5)-1)/4</f>
        <v>0.31612786895113</v>
      </c>
      <c r="K638" s="15" t="n">
        <f aca="false">MIN(5,INT(J638/0.2)+1)</f>
        <v>2</v>
      </c>
      <c r="L638" s="21" t="n">
        <v>0.31612786895113</v>
      </c>
    </row>
    <row r="639" customFormat="false" ht="15" hidden="false" customHeight="false" outlineLevel="0" collapsed="false">
      <c r="A639" s="15" t="n">
        <f aca="false">2_Matriz_decision!A639</f>
        <v>635</v>
      </c>
      <c r="B639" s="16" t="n">
        <f aca="false">2_Matriz_decision!B639</f>
        <v>63.684</v>
      </c>
      <c r="C639" s="21" t="n">
        <f aca="false">SQRT(SUMXMY2(5_Ponderada!C642:Q642,5_Ponderada!$C$6:$Q$6))</f>
        <v>0.0170175040942949</v>
      </c>
      <c r="D639" s="21" t="n">
        <f aca="false">SQRT(SUMXMY2(5_Ponderada!C642:Q642,5_Ponderada!$C$7:$Q$7))</f>
        <v>0.00706194076977437</v>
      </c>
      <c r="E639" s="21" t="n">
        <f aca="false">D639/(C639+D639)</f>
        <v>0.29327672667039</v>
      </c>
      <c r="F639" s="15" t="n">
        <f aca="false">MIN(5,INT(E639/0.2)+1)</f>
        <v>2</v>
      </c>
      <c r="G639" s="21" t="n">
        <v>0.29327672667039</v>
      </c>
      <c r="H639" s="28" t="n">
        <f aca="false">ABS(E639-G639)</f>
        <v>0</v>
      </c>
      <c r="I639" s="15" t="n">
        <v>2</v>
      </c>
      <c r="J639" s="21" t="n">
        <f aca="false">(SUMPRODUCT(2_Matriz_decision!C639:Q639,5_Ponderada!$C$5:$Q$5)-1)/4</f>
        <v>0.275106159222979</v>
      </c>
      <c r="K639" s="15" t="n">
        <f aca="false">MIN(5,INT(J639/0.2)+1)</f>
        <v>2</v>
      </c>
      <c r="L639" s="21" t="n">
        <v>0.27510615922298</v>
      </c>
    </row>
    <row r="640" customFormat="false" ht="15" hidden="false" customHeight="false" outlineLevel="0" collapsed="false">
      <c r="A640" s="15" t="n">
        <f aca="false">2_Matriz_decision!A640</f>
        <v>636</v>
      </c>
      <c r="B640" s="16" t="n">
        <f aca="false">2_Matriz_decision!B640</f>
        <v>63.775</v>
      </c>
      <c r="C640" s="21" t="n">
        <f aca="false">SQRT(SUMXMY2(5_Ponderada!C643:Q643,5_Ponderada!$C$6:$Q$6))</f>
        <v>0.0198368640419543</v>
      </c>
      <c r="D640" s="21" t="n">
        <f aca="false">SQRT(SUMXMY2(5_Ponderada!C643:Q643,5_Ponderada!$C$7:$Q$7))</f>
        <v>0.00497499385621292</v>
      </c>
      <c r="E640" s="21" t="n">
        <f aca="false">D640/(C640+D640)</f>
        <v>0.200508719525611</v>
      </c>
      <c r="F640" s="15" t="n">
        <f aca="false">MIN(5,INT(E640/0.2)+1)</f>
        <v>2</v>
      </c>
      <c r="G640" s="21" t="n">
        <v>0.200508719525611</v>
      </c>
      <c r="H640" s="28" t="n">
        <f aca="false">ABS(E640-G640)</f>
        <v>0</v>
      </c>
      <c r="I640" s="15" t="n">
        <v>2</v>
      </c>
      <c r="J640" s="21" t="n">
        <f aca="false">(SUMPRODUCT(2_Matriz_decision!C640:Q640,5_Ponderada!$C$5:$Q$5)-1)/4</f>
        <v>0.191980442600533</v>
      </c>
      <c r="K640" s="15" t="n">
        <f aca="false">MIN(5,INT(J640/0.2)+1)</f>
        <v>1</v>
      </c>
      <c r="L640" s="21" t="n">
        <v>0.191980442600534</v>
      </c>
    </row>
    <row r="641" customFormat="false" ht="15" hidden="false" customHeight="false" outlineLevel="0" collapsed="false">
      <c r="A641" s="15" t="n">
        <f aca="false">2_Matriz_decision!A641</f>
        <v>637</v>
      </c>
      <c r="B641" s="16" t="n">
        <f aca="false">2_Matriz_decision!B641</f>
        <v>63.877</v>
      </c>
      <c r="C641" s="21" t="n">
        <f aca="false">SQRT(SUMXMY2(5_Ponderada!C644:Q644,5_Ponderada!$C$6:$Q$6))</f>
        <v>0.0198162943906525</v>
      </c>
      <c r="D641" s="21" t="n">
        <f aca="false">SQRT(SUMXMY2(5_Ponderada!C644:Q644,5_Ponderada!$C$7:$Q$7))</f>
        <v>0.00502260536813898</v>
      </c>
      <c r="E641" s="21" t="n">
        <f aca="false">D641/(C641+D641)</f>
        <v>0.202207240131934</v>
      </c>
      <c r="F641" s="15" t="n">
        <f aca="false">MIN(5,INT(E641/0.2)+1)</f>
        <v>2</v>
      </c>
      <c r="G641" s="21" t="n">
        <v>0.202207240131934</v>
      </c>
      <c r="H641" s="28" t="n">
        <f aca="false">ABS(E641-G641)</f>
        <v>0</v>
      </c>
      <c r="I641" s="15" t="n">
        <v>2</v>
      </c>
      <c r="J641" s="21" t="n">
        <f aca="false">(SUMPRODUCT(2_Matriz_decision!C641:Q641,5_Ponderada!$C$5:$Q$5)-1)/4</f>
        <v>0.201512600630167</v>
      </c>
      <c r="K641" s="15" t="n">
        <f aca="false">MIN(5,INT(J641/0.2)+1)</f>
        <v>2</v>
      </c>
      <c r="L641" s="21" t="n">
        <v>0.201512600630168</v>
      </c>
    </row>
    <row r="642" customFormat="false" ht="15" hidden="false" customHeight="false" outlineLevel="0" collapsed="false">
      <c r="A642" s="15" t="n">
        <f aca="false">2_Matriz_decision!A642</f>
        <v>638</v>
      </c>
      <c r="B642" s="16" t="n">
        <f aca="false">2_Matriz_decision!B642</f>
        <v>63.973</v>
      </c>
      <c r="C642" s="21" t="n">
        <f aca="false">SQRT(SUMXMY2(5_Ponderada!C645:Q645,5_Ponderada!$C$6:$Q$6))</f>
        <v>0.0197880201408592</v>
      </c>
      <c r="D642" s="21" t="n">
        <f aca="false">SQRT(SUMXMY2(5_Ponderada!C645:Q645,5_Ponderada!$C$7:$Q$7))</f>
        <v>0.0051505337186065</v>
      </c>
      <c r="E642" s="21" t="n">
        <f aca="false">D642/(C642+D642)</f>
        <v>0.206528965056711</v>
      </c>
      <c r="F642" s="15" t="n">
        <f aca="false">MIN(5,INT(E642/0.2)+1)</f>
        <v>2</v>
      </c>
      <c r="G642" s="21" t="n">
        <v>0.206528965056711</v>
      </c>
      <c r="H642" s="28" t="n">
        <f aca="false">ABS(E642-G642)</f>
        <v>0</v>
      </c>
      <c r="I642" s="15" t="n">
        <v>2</v>
      </c>
      <c r="J642" s="21" t="n">
        <f aca="false">(SUMPRODUCT(2_Matriz_decision!C642:Q642,5_Ponderada!$C$5:$Q$5)-1)/4</f>
        <v>0.217013094678116</v>
      </c>
      <c r="K642" s="15" t="n">
        <f aca="false">MIN(5,INT(J642/0.2)+1)</f>
        <v>2</v>
      </c>
      <c r="L642" s="21" t="n">
        <v>0.217013094678116</v>
      </c>
    </row>
    <row r="643" customFormat="false" ht="15" hidden="false" customHeight="false" outlineLevel="0" collapsed="false">
      <c r="A643" s="15" t="n">
        <f aca="false">2_Matriz_decision!A643</f>
        <v>639</v>
      </c>
      <c r="B643" s="16" t="n">
        <f aca="false">2_Matriz_decision!B643</f>
        <v>64.548</v>
      </c>
      <c r="C643" s="21" t="n">
        <f aca="false">SQRT(SUMXMY2(5_Ponderada!C646:Q646,5_Ponderada!$C$6:$Q$6))</f>
        <v>0.0186317788802536</v>
      </c>
      <c r="D643" s="21" t="n">
        <f aca="false">SQRT(SUMXMY2(5_Ponderada!C646:Q646,5_Ponderada!$C$7:$Q$7))</f>
        <v>0.00577671588472923</v>
      </c>
      <c r="E643" s="21" t="n">
        <f aca="false">D643/(C643+D643)</f>
        <v>0.236668255881828</v>
      </c>
      <c r="F643" s="15" t="n">
        <f aca="false">MIN(5,INT(E643/0.2)+1)</f>
        <v>2</v>
      </c>
      <c r="G643" s="21" t="n">
        <v>0.236668255881828</v>
      </c>
      <c r="H643" s="28" t="n">
        <f aca="false">ABS(E643-G643)</f>
        <v>0</v>
      </c>
      <c r="I643" s="15" t="n">
        <v>2</v>
      </c>
      <c r="J643" s="21" t="n">
        <f aca="false">(SUMPRODUCT(2_Matriz_decision!C643:Q643,5_Ponderada!$C$5:$Q$5)-1)/4</f>
        <v>0.251625299691696</v>
      </c>
      <c r="K643" s="15" t="n">
        <f aca="false">MIN(5,INT(J643/0.2)+1)</f>
        <v>2</v>
      </c>
      <c r="L643" s="21" t="n">
        <v>0.251625299691697</v>
      </c>
    </row>
    <row r="644" customFormat="false" ht="15" hidden="false" customHeight="false" outlineLevel="0" collapsed="false">
      <c r="A644" s="15" t="n">
        <f aca="false">2_Matriz_decision!A644</f>
        <v>640</v>
      </c>
      <c r="B644" s="16" t="n">
        <f aca="false">2_Matriz_decision!B644</f>
        <v>64.691</v>
      </c>
      <c r="C644" s="21" t="n">
        <f aca="false">SQRT(SUMXMY2(5_Ponderada!C647:Q647,5_Ponderada!$C$6:$Q$6))</f>
        <v>0.0187031052684404</v>
      </c>
      <c r="D644" s="21" t="n">
        <f aca="false">SQRT(SUMXMY2(5_Ponderada!C647:Q647,5_Ponderada!$C$7:$Q$7))</f>
        <v>0.00566678157088619</v>
      </c>
      <c r="E644" s="21" t="n">
        <f aca="false">D644/(C644+D644)</f>
        <v>0.232532124923186</v>
      </c>
      <c r="F644" s="15" t="n">
        <f aca="false">MIN(5,INT(E644/0.2)+1)</f>
        <v>2</v>
      </c>
      <c r="G644" s="21" t="n">
        <v>0.232532124923186</v>
      </c>
      <c r="H644" s="28" t="n">
        <f aca="false">ABS(E644-G644)</f>
        <v>0</v>
      </c>
      <c r="I644" s="15" t="n">
        <v>2</v>
      </c>
      <c r="J644" s="21" t="n">
        <f aca="false">(SUMPRODUCT(2_Matriz_decision!C644:Q644,5_Ponderada!$C$5:$Q$5)-1)/4</f>
        <v>0.219966537655303</v>
      </c>
      <c r="K644" s="15" t="n">
        <f aca="false">MIN(5,INT(J644/0.2)+1)</f>
        <v>2</v>
      </c>
      <c r="L644" s="21" t="n">
        <v>0.219966537655304</v>
      </c>
    </row>
    <row r="645" customFormat="false" ht="15" hidden="false" customHeight="false" outlineLevel="0" collapsed="false">
      <c r="A645" s="15" t="n">
        <f aca="false">2_Matriz_decision!A645</f>
        <v>641</v>
      </c>
      <c r="B645" s="16" t="n">
        <f aca="false">2_Matriz_decision!B645</f>
        <v>64.864</v>
      </c>
      <c r="C645" s="21" t="n">
        <f aca="false">SQRT(SUMXMY2(5_Ponderada!C648:Q648,5_Ponderada!$C$6:$Q$6))</f>
        <v>0.0183575454883592</v>
      </c>
      <c r="D645" s="21" t="n">
        <f aca="false">SQRT(SUMXMY2(5_Ponderada!C648:Q648,5_Ponderada!$C$7:$Q$7))</f>
        <v>0.00734324125971317</v>
      </c>
      <c r="E645" s="21" t="n">
        <f aca="false">D645/(C645+D645)</f>
        <v>0.285720485201253</v>
      </c>
      <c r="F645" s="15" t="n">
        <f aca="false">MIN(5,INT(E645/0.2)+1)</f>
        <v>2</v>
      </c>
      <c r="G645" s="21" t="n">
        <v>0.285720485201253</v>
      </c>
      <c r="H645" s="28" t="n">
        <f aca="false">ABS(E645-G645)</f>
        <v>0</v>
      </c>
      <c r="I645" s="15" t="n">
        <v>2</v>
      </c>
      <c r="J645" s="21" t="n">
        <f aca="false">(SUMPRODUCT(2_Matriz_decision!C645:Q645,5_Ponderada!$C$5:$Q$5)-1)/4</f>
        <v>0.251939653137402</v>
      </c>
      <c r="K645" s="15" t="n">
        <f aca="false">MIN(5,INT(J645/0.2)+1)</f>
        <v>2</v>
      </c>
      <c r="L645" s="21" t="n">
        <v>0.251939653137403</v>
      </c>
    </row>
    <row r="646" customFormat="false" ht="15" hidden="false" customHeight="false" outlineLevel="0" collapsed="false">
      <c r="A646" s="15" t="n">
        <f aca="false">2_Matriz_decision!A646</f>
        <v>642</v>
      </c>
      <c r="B646" s="16" t="n">
        <f aca="false">2_Matriz_decision!B646</f>
        <v>65.003</v>
      </c>
      <c r="C646" s="21" t="n">
        <f aca="false">SQRT(SUMXMY2(5_Ponderada!C649:Q649,5_Ponderada!$C$6:$Q$6))</f>
        <v>0.0183571080197014</v>
      </c>
      <c r="D646" s="21" t="n">
        <f aca="false">SQRT(SUMXMY2(5_Ponderada!C649:Q649,5_Ponderada!$C$7:$Q$7))</f>
        <v>0.00735601030718131</v>
      </c>
      <c r="E646" s="21" t="n">
        <f aca="false">D646/(C646+D646)</f>
        <v>0.286080055077984</v>
      </c>
      <c r="F646" s="15" t="n">
        <f aca="false">MIN(5,INT(E646/0.2)+1)</f>
        <v>2</v>
      </c>
      <c r="G646" s="21" t="n">
        <v>0.286080055077984</v>
      </c>
      <c r="H646" s="28" t="n">
        <f aca="false">ABS(E646-G646)</f>
        <v>0</v>
      </c>
      <c r="I646" s="15" t="n">
        <v>2</v>
      </c>
      <c r="J646" s="21" t="n">
        <f aca="false">(SUMPRODUCT(2_Matriz_decision!C646:Q646,5_Ponderada!$C$5:$Q$5)-1)/4</f>
        <v>0.253040508388418</v>
      </c>
      <c r="K646" s="15" t="n">
        <f aca="false">MIN(5,INT(J646/0.2)+1)</f>
        <v>2</v>
      </c>
      <c r="L646" s="21" t="n">
        <v>0.253040508388418</v>
      </c>
    </row>
    <row r="647" customFormat="false" ht="15" hidden="false" customHeight="false" outlineLevel="0" collapsed="false">
      <c r="A647" s="15" t="n">
        <f aca="false">2_Matriz_decision!A647</f>
        <v>643</v>
      </c>
      <c r="B647" s="16" t="n">
        <f aca="false">2_Matriz_decision!B647</f>
        <v>65.118</v>
      </c>
      <c r="C647" s="21" t="n">
        <f aca="false">SQRT(SUMXMY2(5_Ponderada!C650:Q650,5_Ponderada!$C$6:$Q$6))</f>
        <v>0.0181672709568503</v>
      </c>
      <c r="D647" s="21" t="n">
        <f aca="false">SQRT(SUMXMY2(5_Ponderada!C650:Q650,5_Ponderada!$C$7:$Q$7))</f>
        <v>0.00810698789059012</v>
      </c>
      <c r="E647" s="21" t="n">
        <f aca="false">D647/(C647+D647)</f>
        <v>0.308552486205711</v>
      </c>
      <c r="F647" s="15" t="n">
        <f aca="false">MIN(5,INT(E647/0.2)+1)</f>
        <v>2</v>
      </c>
      <c r="G647" s="21" t="n">
        <v>0.308552486205711</v>
      </c>
      <c r="H647" s="28" t="n">
        <f aca="false">ABS(E647-G647)</f>
        <v>0</v>
      </c>
      <c r="I647" s="15" t="n">
        <v>2</v>
      </c>
      <c r="J647" s="21" t="n">
        <f aca="false">(SUMPRODUCT(2_Matriz_decision!C647:Q647,5_Ponderada!$C$5:$Q$5)-1)/4</f>
        <v>0.287300250554456</v>
      </c>
      <c r="K647" s="15" t="n">
        <f aca="false">MIN(5,INT(J647/0.2)+1)</f>
        <v>2</v>
      </c>
      <c r="L647" s="21" t="n">
        <v>0.287300250554457</v>
      </c>
    </row>
    <row r="648" customFormat="false" ht="15" hidden="false" customHeight="false" outlineLevel="0" collapsed="false">
      <c r="A648" s="15" t="n">
        <f aca="false">2_Matriz_decision!A648</f>
        <v>644</v>
      </c>
      <c r="B648" s="16" t="n">
        <f aca="false">2_Matriz_decision!B648</f>
        <v>65.225</v>
      </c>
      <c r="C648" s="21" t="n">
        <f aca="false">SQRT(SUMXMY2(5_Ponderada!C651:Q651,5_Ponderada!$C$6:$Q$6))</f>
        <v>0.0181538020783903</v>
      </c>
      <c r="D648" s="21" t="n">
        <f aca="false">SQRT(SUMXMY2(5_Ponderada!C651:Q651,5_Ponderada!$C$7:$Q$7))</f>
        <v>0.00815863883445908</v>
      </c>
      <c r="E648" s="21" t="n">
        <f aca="false">D648/(C648+D648)</f>
        <v>0.310067730374452</v>
      </c>
      <c r="F648" s="15" t="n">
        <f aca="false">MIN(5,INT(E648/0.2)+1)</f>
        <v>2</v>
      </c>
      <c r="G648" s="21" t="n">
        <v>0.310067730374452</v>
      </c>
      <c r="H648" s="28" t="n">
        <f aca="false">ABS(E648-G648)</f>
        <v>0</v>
      </c>
      <c r="I648" s="15" t="n">
        <v>2</v>
      </c>
      <c r="J648" s="21" t="n">
        <f aca="false">(SUMPRODUCT(2_Matriz_decision!C648:Q648,5_Ponderada!$C$5:$Q$5)-1)/4</f>
        <v>0.29778524088308</v>
      </c>
      <c r="K648" s="15" t="n">
        <f aca="false">MIN(5,INT(J648/0.2)+1)</f>
        <v>2</v>
      </c>
      <c r="L648" s="21" t="n">
        <v>0.29778524088308</v>
      </c>
    </row>
    <row r="649" customFormat="false" ht="15" hidden="false" customHeight="false" outlineLevel="0" collapsed="false">
      <c r="A649" s="15" t="n">
        <f aca="false">2_Matriz_decision!A649</f>
        <v>645</v>
      </c>
      <c r="B649" s="16" t="n">
        <f aca="false">2_Matriz_decision!B649</f>
        <v>65.328</v>
      </c>
      <c r="C649" s="21" t="n">
        <f aca="false">SQRT(SUMXMY2(5_Ponderada!C652:Q652,5_Ponderada!$C$6:$Q$6))</f>
        <v>0.0181537510845157</v>
      </c>
      <c r="D649" s="21" t="n">
        <f aca="false">SQRT(SUMXMY2(5_Ponderada!C652:Q652,5_Ponderada!$C$7:$Q$7))</f>
        <v>0.0081603739233302</v>
      </c>
      <c r="E649" s="21" t="n">
        <f aca="false">D649/(C649+D649)</f>
        <v>0.310113823693438</v>
      </c>
      <c r="F649" s="15" t="n">
        <f aca="false">MIN(5,INT(E649/0.2)+1)</f>
        <v>2</v>
      </c>
      <c r="G649" s="21" t="n">
        <v>0.310113823693438</v>
      </c>
      <c r="H649" s="28" t="n">
        <f aca="false">ABS(E649-G649)</f>
        <v>0</v>
      </c>
      <c r="I649" s="15" t="n">
        <v>2</v>
      </c>
      <c r="J649" s="21" t="n">
        <f aca="false">(SUMPRODUCT(2_Matriz_decision!C649:Q649,5_Ponderada!$C$5:$Q$5)-1)/4</f>
        <v>0.297925854043888</v>
      </c>
      <c r="K649" s="15" t="n">
        <f aca="false">MIN(5,INT(J649/0.2)+1)</f>
        <v>2</v>
      </c>
      <c r="L649" s="21" t="n">
        <v>0.297925854043889</v>
      </c>
    </row>
    <row r="650" customFormat="false" ht="15" hidden="false" customHeight="false" outlineLevel="0" collapsed="false">
      <c r="A650" s="15" t="n">
        <f aca="false">2_Matriz_decision!A650</f>
        <v>646</v>
      </c>
      <c r="B650" s="16" t="n">
        <f aca="false">2_Matriz_decision!B650</f>
        <v>65.429</v>
      </c>
      <c r="C650" s="21" t="n">
        <f aca="false">SQRT(SUMXMY2(5_Ponderada!C653:Q653,5_Ponderada!$C$6:$Q$6))</f>
        <v>0.0185007786876063</v>
      </c>
      <c r="D650" s="21" t="n">
        <f aca="false">SQRT(SUMXMY2(5_Ponderada!C653:Q653,5_Ponderada!$C$7:$Q$7))</f>
        <v>0.00673433426698811</v>
      </c>
      <c r="E650" s="21" t="n">
        <f aca="false">D650/(C650+D650)</f>
        <v>0.266863646661904</v>
      </c>
      <c r="F650" s="15" t="n">
        <f aca="false">MIN(5,INT(E650/0.2)+1)</f>
        <v>2</v>
      </c>
      <c r="G650" s="21" t="n">
        <v>0.266863646661904</v>
      </c>
      <c r="H650" s="28" t="n">
        <f aca="false">ABS(E650-G650)</f>
        <v>0</v>
      </c>
      <c r="I650" s="15" t="n">
        <v>2</v>
      </c>
      <c r="J650" s="21" t="n">
        <f aca="false">(SUMPRODUCT(2_Matriz_decision!C650:Q650,5_Ponderada!$C$5:$Q$5)-1)/4</f>
        <v>0.269643619223146</v>
      </c>
      <c r="K650" s="15" t="n">
        <f aca="false">MIN(5,INT(J650/0.2)+1)</f>
        <v>2</v>
      </c>
      <c r="L650" s="21" t="n">
        <v>0.269643619223147</v>
      </c>
    </row>
    <row r="651" customFormat="false" ht="15" hidden="false" customHeight="false" outlineLevel="0" collapsed="false">
      <c r="A651" s="15" t="n">
        <f aca="false">2_Matriz_decision!A651</f>
        <v>647</v>
      </c>
      <c r="B651" s="16" t="n">
        <f aca="false">2_Matriz_decision!B651</f>
        <v>65.528</v>
      </c>
      <c r="C651" s="21" t="n">
        <f aca="false">SQRT(SUMXMY2(5_Ponderada!C654:Q654,5_Ponderada!$C$6:$Q$6))</f>
        <v>0.0185015647828237</v>
      </c>
      <c r="D651" s="21" t="n">
        <f aca="false">SQRT(SUMXMY2(5_Ponderada!C654:Q654,5_Ponderada!$C$7:$Q$7))</f>
        <v>0.00670621919292433</v>
      </c>
      <c r="E651" s="21" t="n">
        <f aca="false">D651/(C651+D651)</f>
        <v>0.266037633430066</v>
      </c>
      <c r="F651" s="15" t="n">
        <f aca="false">MIN(5,INT(E651/0.2)+1)</f>
        <v>2</v>
      </c>
      <c r="G651" s="21" t="n">
        <v>0.266037633430066</v>
      </c>
      <c r="H651" s="28" t="n">
        <f aca="false">ABS(E651-G651)</f>
        <v>0</v>
      </c>
      <c r="I651" s="15" t="n">
        <v>2</v>
      </c>
      <c r="J651" s="21" t="n">
        <f aca="false">(SUMPRODUCT(2_Matriz_decision!C651:Q651,5_Ponderada!$C$5:$Q$5)-1)/4</f>
        <v>0.266540971897487</v>
      </c>
      <c r="K651" s="15" t="n">
        <f aca="false">MIN(5,INT(J651/0.2)+1)</f>
        <v>2</v>
      </c>
      <c r="L651" s="21" t="n">
        <v>0.266540971897487</v>
      </c>
    </row>
    <row r="652" customFormat="false" ht="15" hidden="false" customHeight="false" outlineLevel="0" collapsed="false">
      <c r="A652" s="15" t="n">
        <f aca="false">2_Matriz_decision!A652</f>
        <v>648</v>
      </c>
      <c r="B652" s="16" t="n">
        <f aca="false">2_Matriz_decision!B652</f>
        <v>65.627</v>
      </c>
      <c r="C652" s="21" t="n">
        <f aca="false">SQRT(SUMXMY2(5_Ponderada!C655:Q655,5_Ponderada!$C$6:$Q$6))</f>
        <v>0.0190102227880228</v>
      </c>
      <c r="D652" s="21" t="n">
        <f aca="false">SQRT(SUMXMY2(5_Ponderada!C655:Q655,5_Ponderada!$C$7:$Q$7))</f>
        <v>0.0056605884900933</v>
      </c>
      <c r="E652" s="21" t="n">
        <f aca="false">D652/(C652+D652)</f>
        <v>0.229444764757876</v>
      </c>
      <c r="F652" s="15" t="n">
        <f aca="false">MIN(5,INT(E652/0.2)+1)</f>
        <v>2</v>
      </c>
      <c r="G652" s="21" t="n">
        <v>0.229444764757876</v>
      </c>
      <c r="H652" s="28" t="n">
        <f aca="false">ABS(E652-G652)</f>
        <v>0</v>
      </c>
      <c r="I652" s="15" t="n">
        <v>2</v>
      </c>
      <c r="J652" s="21" t="n">
        <f aca="false">(SUMPRODUCT(2_Matriz_decision!C652:Q652,5_Ponderada!$C$5:$Q$5)-1)/4</f>
        <v>0.255753821135353</v>
      </c>
      <c r="K652" s="15" t="n">
        <f aca="false">MIN(5,INT(J652/0.2)+1)</f>
        <v>2</v>
      </c>
      <c r="L652" s="21" t="n">
        <v>0.255753821135353</v>
      </c>
    </row>
    <row r="653" customFormat="false" ht="15" hidden="false" customHeight="false" outlineLevel="0" collapsed="false">
      <c r="A653" s="15" t="n">
        <f aca="false">2_Matriz_decision!A653</f>
        <v>649</v>
      </c>
      <c r="B653" s="16" t="n">
        <f aca="false">2_Matriz_decision!B653</f>
        <v>65.725</v>
      </c>
      <c r="C653" s="21" t="n">
        <f aca="false">SQRT(SUMXMY2(5_Ponderada!C656:Q656,5_Ponderada!$C$6:$Q$6))</f>
        <v>0.0190546817423167</v>
      </c>
      <c r="D653" s="21" t="n">
        <f aca="false">SQRT(SUMXMY2(5_Ponderada!C656:Q656,5_Ponderada!$C$7:$Q$7))</f>
        <v>0.00549587795676981</v>
      </c>
      <c r="E653" s="21" t="n">
        <f aca="false">D653/(C653+D653)</f>
        <v>0.223859578931486</v>
      </c>
      <c r="F653" s="15" t="n">
        <f aca="false">MIN(5,INT(E653/0.2)+1)</f>
        <v>2</v>
      </c>
      <c r="G653" s="21" t="n">
        <v>0.223859578931486</v>
      </c>
      <c r="H653" s="28" t="n">
        <f aca="false">ABS(E653-G653)</f>
        <v>0</v>
      </c>
      <c r="I653" s="15" t="n">
        <v>2</v>
      </c>
      <c r="J653" s="21" t="n">
        <f aca="false">(SUMPRODUCT(2_Matriz_decision!C653:Q653,5_Ponderada!$C$5:$Q$5)-1)/4</f>
        <v>0.230537898616957</v>
      </c>
      <c r="K653" s="15" t="n">
        <f aca="false">MIN(5,INT(J653/0.2)+1)</f>
        <v>2</v>
      </c>
      <c r="L653" s="21" t="n">
        <v>0.230537898616957</v>
      </c>
    </row>
    <row r="654" customFormat="false" ht="15" hidden="false" customHeight="false" outlineLevel="0" collapsed="false">
      <c r="A654" s="15" t="n">
        <f aca="false">2_Matriz_decision!A654</f>
        <v>650</v>
      </c>
      <c r="B654" s="16" t="n">
        <f aca="false">2_Matriz_decision!B654</f>
        <v>65.823</v>
      </c>
      <c r="C654" s="21" t="n">
        <f aca="false">SQRT(SUMXMY2(5_Ponderada!C657:Q657,5_Ponderada!$C$6:$Q$6))</f>
        <v>0.0174967061519291</v>
      </c>
      <c r="D654" s="21" t="n">
        <f aca="false">SQRT(SUMXMY2(5_Ponderada!C657:Q657,5_Ponderada!$C$7:$Q$7))</f>
        <v>0.0063049088768648</v>
      </c>
      <c r="E654" s="21" t="n">
        <f aca="false">D654/(C654+D654)</f>
        <v>0.264894162401899</v>
      </c>
      <c r="F654" s="15" t="n">
        <f aca="false">MIN(5,INT(E654/0.2)+1)</f>
        <v>2</v>
      </c>
      <c r="G654" s="21" t="n">
        <v>0.264894162401899</v>
      </c>
      <c r="H654" s="28" t="n">
        <f aca="false">ABS(E654-G654)</f>
        <v>0</v>
      </c>
      <c r="I654" s="15" t="n">
        <v>2</v>
      </c>
      <c r="J654" s="21" t="n">
        <f aca="false">(SUMPRODUCT(2_Matriz_decision!C654:Q654,5_Ponderada!$C$5:$Q$5)-1)/4</f>
        <v>0.300337346661038</v>
      </c>
      <c r="K654" s="15" t="n">
        <f aca="false">MIN(5,INT(J654/0.2)+1)</f>
        <v>2</v>
      </c>
      <c r="L654" s="21" t="n">
        <v>0.300337346661039</v>
      </c>
    </row>
    <row r="655" customFormat="false" ht="15" hidden="false" customHeight="false" outlineLevel="0" collapsed="false">
      <c r="A655" s="15" t="n">
        <f aca="false">2_Matriz_decision!A655</f>
        <v>651</v>
      </c>
      <c r="B655" s="16" t="n">
        <f aca="false">2_Matriz_decision!B655</f>
        <v>65.922</v>
      </c>
      <c r="C655" s="21" t="n">
        <f aca="false">SQRT(SUMXMY2(5_Ponderada!C658:Q658,5_Ponderada!$C$6:$Q$6))</f>
        <v>0.0182632649651738</v>
      </c>
      <c r="D655" s="21" t="n">
        <f aca="false">SQRT(SUMXMY2(5_Ponderada!C658:Q658,5_Ponderada!$C$7:$Q$7))</f>
        <v>0.00609725423162132</v>
      </c>
      <c r="E655" s="21" t="n">
        <f aca="false">D655/(C655+D655)</f>
        <v>0.250292458151856</v>
      </c>
      <c r="F655" s="15" t="n">
        <f aca="false">MIN(5,INT(E655/0.2)+1)</f>
        <v>2</v>
      </c>
      <c r="G655" s="21" t="n">
        <v>0.250292458151856</v>
      </c>
      <c r="H655" s="28" t="n">
        <f aca="false">ABS(E655-G655)</f>
        <v>0</v>
      </c>
      <c r="I655" s="15" t="n">
        <v>2</v>
      </c>
      <c r="J655" s="21" t="n">
        <f aca="false">(SUMPRODUCT(2_Matriz_decision!C655:Q655,5_Ponderada!$C$5:$Q$5)-1)/4</f>
        <v>0.297489643018931</v>
      </c>
      <c r="K655" s="15" t="n">
        <f aca="false">MIN(5,INT(J655/0.2)+1)</f>
        <v>2</v>
      </c>
      <c r="L655" s="21" t="n">
        <v>0.297489643018931</v>
      </c>
    </row>
    <row r="656" customFormat="false" ht="15" hidden="false" customHeight="false" outlineLevel="0" collapsed="false">
      <c r="A656" s="15" t="n">
        <f aca="false">2_Matriz_decision!A656</f>
        <v>652</v>
      </c>
      <c r="B656" s="16" t="n">
        <f aca="false">2_Matriz_decision!B656</f>
        <v>66.021</v>
      </c>
      <c r="C656" s="21" t="n">
        <f aca="false">SQRT(SUMXMY2(5_Ponderada!C659:Q659,5_Ponderada!$C$6:$Q$6))</f>
        <v>0.0197164811350318</v>
      </c>
      <c r="D656" s="21" t="n">
        <f aca="false">SQRT(SUMXMY2(5_Ponderada!C659:Q659,5_Ponderada!$C$7:$Q$7))</f>
        <v>0.00546457881962025</v>
      </c>
      <c r="E656" s="21" t="n">
        <f aca="false">D656/(C656+D656)</f>
        <v>0.217011469313098</v>
      </c>
      <c r="F656" s="15" t="n">
        <f aca="false">MIN(5,INT(E656/0.2)+1)</f>
        <v>2</v>
      </c>
      <c r="G656" s="21" t="n">
        <v>0.217011469313098</v>
      </c>
      <c r="H656" s="28" t="n">
        <f aca="false">ABS(E656-G656)</f>
        <v>0</v>
      </c>
      <c r="I656" s="15" t="n">
        <v>2</v>
      </c>
      <c r="J656" s="21" t="n">
        <f aca="false">(SUMPRODUCT(2_Matriz_decision!C656:Q656,5_Ponderada!$C$5:$Q$5)-1)/4</f>
        <v>0.253825006566704</v>
      </c>
      <c r="K656" s="15" t="n">
        <f aca="false">MIN(5,INT(J656/0.2)+1)</f>
        <v>2</v>
      </c>
      <c r="L656" s="21" t="n">
        <v>0.253825006566704</v>
      </c>
    </row>
    <row r="657" customFormat="false" ht="15" hidden="false" customHeight="false" outlineLevel="0" collapsed="false">
      <c r="A657" s="15" t="n">
        <f aca="false">2_Matriz_decision!A657</f>
        <v>653</v>
      </c>
      <c r="B657" s="16" t="n">
        <f aca="false">2_Matriz_decision!B657</f>
        <v>66.121</v>
      </c>
      <c r="C657" s="21" t="n">
        <f aca="false">SQRT(SUMXMY2(5_Ponderada!C660:Q660,5_Ponderada!$C$6:$Q$6))</f>
        <v>0.0182646949460899</v>
      </c>
      <c r="D657" s="21" t="n">
        <f aca="false">SQRT(SUMXMY2(5_Ponderada!C660:Q660,5_Ponderada!$C$7:$Q$7))</f>
        <v>0.00608232570187318</v>
      </c>
      <c r="E657" s="21" t="n">
        <f aca="false">D657/(C657+D657)</f>
        <v>0.249818069726821</v>
      </c>
      <c r="F657" s="15" t="n">
        <f aca="false">MIN(5,INT(E657/0.2)+1)</f>
        <v>2</v>
      </c>
      <c r="G657" s="21" t="n">
        <v>0.249818069726821</v>
      </c>
      <c r="H657" s="28" t="n">
        <f aca="false">ABS(E657-G657)</f>
        <v>0</v>
      </c>
      <c r="I657" s="15" t="n">
        <v>2</v>
      </c>
      <c r="J657" s="21" t="n">
        <f aca="false">(SUMPRODUCT(2_Matriz_decision!C657:Q657,5_Ponderada!$C$5:$Q$5)-1)/4</f>
        <v>0.295370564111112</v>
      </c>
      <c r="K657" s="15" t="n">
        <f aca="false">MIN(5,INT(J657/0.2)+1)</f>
        <v>2</v>
      </c>
      <c r="L657" s="21" t="n">
        <v>0.295370564111113</v>
      </c>
    </row>
    <row r="658" customFormat="false" ht="15" hidden="false" customHeight="false" outlineLevel="0" collapsed="false">
      <c r="A658" s="15" t="n">
        <f aca="false">2_Matriz_decision!A658</f>
        <v>654</v>
      </c>
      <c r="B658" s="16" t="n">
        <f aca="false">2_Matriz_decision!B658</f>
        <v>66.22</v>
      </c>
      <c r="C658" s="21" t="n">
        <f aca="false">SQRT(SUMXMY2(5_Ponderada!C661:Q661,5_Ponderada!$C$6:$Q$6))</f>
        <v>0.0183316626386092</v>
      </c>
      <c r="D658" s="21" t="n">
        <f aca="false">SQRT(SUMXMY2(5_Ponderada!C661:Q661,5_Ponderada!$C$7:$Q$7))</f>
        <v>0.00579289514716942</v>
      </c>
      <c r="E658" s="21" t="n">
        <f aca="false">D658/(C658+D658)</f>
        <v>0.240124407610253</v>
      </c>
      <c r="F658" s="15" t="n">
        <f aca="false">MIN(5,INT(E658/0.2)+1)</f>
        <v>2</v>
      </c>
      <c r="G658" s="21" t="n">
        <v>0.240124407610253</v>
      </c>
      <c r="H658" s="28" t="n">
        <f aca="false">ABS(E658-G658)</f>
        <v>0</v>
      </c>
      <c r="I658" s="15" t="n">
        <v>2</v>
      </c>
      <c r="J658" s="21" t="n">
        <f aca="false">(SUMPRODUCT(2_Matriz_decision!C658:Q658,5_Ponderada!$C$5:$Q$5)-1)/4</f>
        <v>0.256102459875128</v>
      </c>
      <c r="K658" s="15" t="n">
        <f aca="false">MIN(5,INT(J658/0.2)+1)</f>
        <v>2</v>
      </c>
      <c r="L658" s="21" t="n">
        <v>0.256102459875129</v>
      </c>
    </row>
    <row r="659" customFormat="false" ht="15" hidden="false" customHeight="false" outlineLevel="0" collapsed="false">
      <c r="A659" s="15" t="n">
        <f aca="false">2_Matriz_decision!A659</f>
        <v>655</v>
      </c>
      <c r="B659" s="16" t="n">
        <f aca="false">2_Matriz_decision!B659</f>
        <v>66.32</v>
      </c>
      <c r="C659" s="21" t="n">
        <f aca="false">SQRT(SUMXMY2(5_Ponderada!C662:Q662,5_Ponderada!$C$6:$Q$6))</f>
        <v>0.017213052282154</v>
      </c>
      <c r="D659" s="21" t="n">
        <f aca="false">SQRT(SUMXMY2(5_Ponderada!C662:Q662,5_Ponderada!$C$7:$Q$7))</f>
        <v>0.00756089010130715</v>
      </c>
      <c r="E659" s="21" t="n">
        <f aca="false">D659/(C659+D659)</f>
        <v>0.305195272689208</v>
      </c>
      <c r="F659" s="15" t="n">
        <f aca="false">MIN(5,INT(E659/0.2)+1)</f>
        <v>2</v>
      </c>
      <c r="G659" s="21" t="n">
        <v>0.305195272689208</v>
      </c>
      <c r="H659" s="28" t="n">
        <f aca="false">ABS(E659-G659)</f>
        <v>0</v>
      </c>
      <c r="I659" s="15" t="n">
        <v>2</v>
      </c>
      <c r="J659" s="21" t="n">
        <f aca="false">(SUMPRODUCT(2_Matriz_decision!C659:Q659,5_Ponderada!$C$5:$Q$5)-1)/4</f>
        <v>0.308418036409904</v>
      </c>
      <c r="K659" s="15" t="n">
        <f aca="false">MIN(5,INT(J659/0.2)+1)</f>
        <v>2</v>
      </c>
      <c r="L659" s="21" t="n">
        <v>0.308418036409904</v>
      </c>
    </row>
    <row r="660" customFormat="false" ht="15" hidden="false" customHeight="false" outlineLevel="0" collapsed="false">
      <c r="A660" s="15" t="n">
        <f aca="false">2_Matriz_decision!A660</f>
        <v>656</v>
      </c>
      <c r="B660" s="16" t="n">
        <f aca="false">2_Matriz_decision!B660</f>
        <v>66.419</v>
      </c>
      <c r="C660" s="21" t="n">
        <f aca="false">SQRT(SUMXMY2(5_Ponderada!C663:Q663,5_Ponderada!$C$6:$Q$6))</f>
        <v>0.0183110755172776</v>
      </c>
      <c r="D660" s="21" t="n">
        <f aca="false">SQRT(SUMXMY2(5_Ponderada!C663:Q663,5_Ponderada!$C$7:$Q$7))</f>
        <v>0.00585544125667682</v>
      </c>
      <c r="E660" s="21" t="n">
        <f aca="false">D660/(C660+D660)</f>
        <v>0.242295623794139</v>
      </c>
      <c r="F660" s="15" t="n">
        <f aca="false">MIN(5,INT(E660/0.2)+1)</f>
        <v>2</v>
      </c>
      <c r="G660" s="21" t="n">
        <v>0.242295623794139</v>
      </c>
      <c r="H660" s="28" t="n">
        <f aca="false">ABS(E660-G660)</f>
        <v>0</v>
      </c>
      <c r="I660" s="15" t="n">
        <v>2</v>
      </c>
      <c r="J660" s="21" t="n">
        <f aca="false">(SUMPRODUCT(2_Matriz_decision!C660:Q660,5_Ponderada!$C$5:$Q$5)-1)/4</f>
        <v>0.271289781535092</v>
      </c>
      <c r="K660" s="15" t="n">
        <f aca="false">MIN(5,INT(J660/0.2)+1)</f>
        <v>2</v>
      </c>
      <c r="L660" s="21" t="n">
        <v>0.271289781535093</v>
      </c>
    </row>
    <row r="661" customFormat="false" ht="15" hidden="false" customHeight="false" outlineLevel="0" collapsed="false">
      <c r="A661" s="15" t="n">
        <f aca="false">2_Matriz_decision!A661</f>
        <v>657</v>
      </c>
      <c r="B661" s="16" t="n">
        <f aca="false">2_Matriz_decision!B661</f>
        <v>66.517</v>
      </c>
      <c r="C661" s="21" t="n">
        <f aca="false">SQRT(SUMXMY2(5_Ponderada!C664:Q664,5_Ponderada!$C$6:$Q$6))</f>
        <v>0.0197415602725086</v>
      </c>
      <c r="D661" s="21" t="n">
        <f aca="false">SQRT(SUMXMY2(5_Ponderada!C664:Q664,5_Ponderada!$C$7:$Q$7))</f>
        <v>0.00518701884134309</v>
      </c>
      <c r="E661" s="21" t="n">
        <f aca="false">D661/(C661+D661)</f>
        <v>0.208075190232599</v>
      </c>
      <c r="F661" s="15" t="n">
        <f aca="false">MIN(5,INT(E661/0.2)+1)</f>
        <v>2</v>
      </c>
      <c r="G661" s="21" t="n">
        <v>0.208075190232599</v>
      </c>
      <c r="H661" s="28" t="n">
        <f aca="false">ABS(E661-G661)</f>
        <v>0</v>
      </c>
      <c r="I661" s="15" t="n">
        <v>2</v>
      </c>
      <c r="J661" s="21" t="n">
        <f aca="false">(SUMPRODUCT(2_Matriz_decision!C661:Q661,5_Ponderada!$C$5:$Q$5)-1)/4</f>
        <v>0.235714785989474</v>
      </c>
      <c r="K661" s="15" t="n">
        <f aca="false">MIN(5,INT(J661/0.2)+1)</f>
        <v>2</v>
      </c>
      <c r="L661" s="21" t="n">
        <v>0.235714785989474</v>
      </c>
    </row>
    <row r="662" customFormat="false" ht="15" hidden="false" customHeight="false" outlineLevel="0" collapsed="false">
      <c r="A662" s="15" t="n">
        <f aca="false">2_Matriz_decision!A662</f>
        <v>658</v>
      </c>
      <c r="B662" s="16" t="n">
        <f aca="false">2_Matriz_decision!B662</f>
        <v>66.615</v>
      </c>
      <c r="C662" s="21" t="n">
        <f aca="false">SQRT(SUMXMY2(5_Ponderada!C665:Q665,5_Ponderada!$C$6:$Q$6))</f>
        <v>0.0197271002302267</v>
      </c>
      <c r="D662" s="21" t="n">
        <f aca="false">SQRT(SUMXMY2(5_Ponderada!C665:Q665,5_Ponderada!$C$7:$Q$7))</f>
        <v>0.00528448910720798</v>
      </c>
      <c r="E662" s="21" t="n">
        <f aca="false">D662/(C662+D662)</f>
        <v>0.211281619728928</v>
      </c>
      <c r="F662" s="15" t="n">
        <f aca="false">MIN(5,INT(E662/0.2)+1)</f>
        <v>2</v>
      </c>
      <c r="G662" s="21" t="n">
        <v>0.211281619728928</v>
      </c>
      <c r="H662" s="28" t="n">
        <f aca="false">ABS(E662-G662)</f>
        <v>0</v>
      </c>
      <c r="I662" s="15" t="n">
        <v>2</v>
      </c>
      <c r="J662" s="21" t="n">
        <f aca="false">(SUMPRODUCT(2_Matriz_decision!C662:Q662,5_Ponderada!$C$5:$Q$5)-1)/4</f>
        <v>0.246681047767439</v>
      </c>
      <c r="K662" s="15" t="n">
        <f aca="false">MIN(5,INT(J662/0.2)+1)</f>
        <v>2</v>
      </c>
      <c r="L662" s="21" t="n">
        <v>0.246681047767439</v>
      </c>
    </row>
    <row r="663" customFormat="false" ht="15" hidden="false" customHeight="false" outlineLevel="0" collapsed="false">
      <c r="A663" s="15" t="n">
        <f aca="false">2_Matriz_decision!A663</f>
        <v>659</v>
      </c>
      <c r="B663" s="16" t="n">
        <f aca="false">2_Matriz_decision!B663</f>
        <v>66.712</v>
      </c>
      <c r="C663" s="21" t="n">
        <f aca="false">SQRT(SUMXMY2(5_Ponderada!C666:Q666,5_Ponderada!$C$6:$Q$6))</f>
        <v>0.0182534601066864</v>
      </c>
      <c r="D663" s="21" t="n">
        <f aca="false">SQRT(SUMXMY2(5_Ponderada!C666:Q666,5_Ponderada!$C$7:$Q$7))</f>
        <v>0.00611717084792504</v>
      </c>
      <c r="E663" s="21" t="n">
        <f aca="false">D663/(C663+D663)</f>
        <v>0.251005846312221</v>
      </c>
      <c r="F663" s="15" t="n">
        <f aca="false">MIN(5,INT(E663/0.2)+1)</f>
        <v>2</v>
      </c>
      <c r="G663" s="21" t="n">
        <v>0.251005846312221</v>
      </c>
      <c r="H663" s="28" t="n">
        <f aca="false">ABS(E663-G663)</f>
        <v>0</v>
      </c>
      <c r="I663" s="15" t="n">
        <v>2</v>
      </c>
      <c r="J663" s="21" t="n">
        <f aca="false">(SUMPRODUCT(2_Matriz_decision!C663:Q663,5_Ponderada!$C$5:$Q$5)-1)/4</f>
        <v>0.308573120471839</v>
      </c>
      <c r="K663" s="15" t="n">
        <f aca="false">MIN(5,INT(J663/0.2)+1)</f>
        <v>2</v>
      </c>
      <c r="L663" s="21" t="n">
        <v>0.308573120471839</v>
      </c>
    </row>
    <row r="664" customFormat="false" ht="15" hidden="false" customHeight="false" outlineLevel="0" collapsed="false">
      <c r="A664" s="15" t="n">
        <f aca="false">2_Matriz_decision!A664</f>
        <v>660</v>
      </c>
      <c r="B664" s="16" t="n">
        <f aca="false">2_Matriz_decision!B664</f>
        <v>66.809</v>
      </c>
      <c r="C664" s="21" t="n">
        <f aca="false">SQRT(SUMXMY2(5_Ponderada!C667:Q667,5_Ponderada!$C$6:$Q$6))</f>
        <v>0.0182698712954076</v>
      </c>
      <c r="D664" s="21" t="n">
        <f aca="false">SQRT(SUMXMY2(5_Ponderada!C667:Q667,5_Ponderada!$C$7:$Q$7))</f>
        <v>0.00607349184097199</v>
      </c>
      <c r="E664" s="21" t="n">
        <f aca="false">D664/(C664+D664)</f>
        <v>0.24949271827998</v>
      </c>
      <c r="F664" s="15" t="n">
        <f aca="false">MIN(5,INT(E664/0.2)+1)</f>
        <v>2</v>
      </c>
      <c r="G664" s="21" t="n">
        <v>0.24949271827998</v>
      </c>
      <c r="H664" s="28" t="n">
        <f aca="false">ABS(E664-G664)</f>
        <v>0</v>
      </c>
      <c r="I664" s="15" t="n">
        <v>2</v>
      </c>
      <c r="J664" s="21" t="n">
        <f aca="false">(SUMPRODUCT(2_Matriz_decision!C664:Q664,5_Ponderada!$C$5:$Q$5)-1)/4</f>
        <v>0.303318787576018</v>
      </c>
      <c r="K664" s="15" t="n">
        <f aca="false">MIN(5,INT(J664/0.2)+1)</f>
        <v>2</v>
      </c>
      <c r="L664" s="21" t="n">
        <v>0.303318787576019</v>
      </c>
    </row>
    <row r="665" customFormat="false" ht="15" hidden="false" customHeight="false" outlineLevel="0" collapsed="false">
      <c r="A665" s="15" t="n">
        <f aca="false">2_Matriz_decision!A665</f>
        <v>661</v>
      </c>
      <c r="B665" s="16" t="n">
        <f aca="false">2_Matriz_decision!B665</f>
        <v>66.905</v>
      </c>
      <c r="C665" s="21" t="n">
        <f aca="false">SQRT(SUMXMY2(5_Ponderada!C668:Q668,5_Ponderada!$C$6:$Q$6))</f>
        <v>0.0163040042425953</v>
      </c>
      <c r="D665" s="21" t="n">
        <f aca="false">SQRT(SUMXMY2(5_Ponderada!C668:Q668,5_Ponderada!$C$7:$Q$7))</f>
        <v>0.0101570428834755</v>
      </c>
      <c r="E665" s="21" t="n">
        <f aca="false">D665/(C665+D665)</f>
        <v>0.383848864146735</v>
      </c>
      <c r="F665" s="15" t="n">
        <f aca="false">MIN(5,INT(E665/0.2)+1)</f>
        <v>2</v>
      </c>
      <c r="G665" s="21" t="n">
        <v>0.383848864146735</v>
      </c>
      <c r="H665" s="28" t="n">
        <f aca="false">ABS(E665-G665)</f>
        <v>0</v>
      </c>
      <c r="I665" s="15" t="n">
        <v>2</v>
      </c>
      <c r="J665" s="21" t="n">
        <f aca="false">(SUMPRODUCT(2_Matriz_decision!C665:Q665,5_Ponderada!$C$5:$Q$5)-1)/4</f>
        <v>0.422140167886729</v>
      </c>
      <c r="K665" s="15" t="n">
        <f aca="false">MIN(5,INT(J665/0.2)+1)</f>
        <v>3</v>
      </c>
      <c r="L665" s="21" t="n">
        <v>0.422140167886729</v>
      </c>
    </row>
    <row r="666" customFormat="false" ht="15" hidden="false" customHeight="false" outlineLevel="0" collapsed="false">
      <c r="A666" s="15" t="n">
        <f aca="false">2_Matriz_decision!A666</f>
        <v>662</v>
      </c>
      <c r="B666" s="16" t="n">
        <f aca="false">2_Matriz_decision!B666</f>
        <v>67.003</v>
      </c>
      <c r="C666" s="21" t="n">
        <f aca="false">SQRT(SUMXMY2(5_Ponderada!C669:Q669,5_Ponderada!$C$6:$Q$6))</f>
        <v>0.0162985705073527</v>
      </c>
      <c r="D666" s="21" t="n">
        <f aca="false">SQRT(SUMXMY2(5_Ponderada!C669:Q669,5_Ponderada!$C$7:$Q$7))</f>
        <v>0.0101265646908443</v>
      </c>
      <c r="E666" s="21" t="n">
        <f aca="false">D666/(C666+D666)</f>
        <v>0.383217138337868</v>
      </c>
      <c r="F666" s="15" t="n">
        <f aca="false">MIN(5,INT(E666/0.2)+1)</f>
        <v>2</v>
      </c>
      <c r="G666" s="21" t="n">
        <v>0.383217138337867</v>
      </c>
      <c r="H666" s="28" t="n">
        <f aca="false">ABS(E666-G666)</f>
        <v>0</v>
      </c>
      <c r="I666" s="15" t="n">
        <v>2</v>
      </c>
      <c r="J666" s="21" t="n">
        <f aca="false">(SUMPRODUCT(2_Matriz_decision!C666:Q666,5_Ponderada!$C$5:$Q$5)-1)/4</f>
        <v>0.415989959933812</v>
      </c>
      <c r="K666" s="15" t="n">
        <f aca="false">MIN(5,INT(J666/0.2)+1)</f>
        <v>3</v>
      </c>
      <c r="L666" s="21" t="n">
        <v>0.415989959933812</v>
      </c>
    </row>
    <row r="667" customFormat="false" ht="15" hidden="false" customHeight="false" outlineLevel="0" collapsed="false">
      <c r="A667" s="15" t="n">
        <f aca="false">2_Matriz_decision!A667</f>
        <v>663</v>
      </c>
      <c r="B667" s="16" t="n">
        <f aca="false">2_Matriz_decision!B667</f>
        <v>67.1</v>
      </c>
      <c r="C667" s="21" t="n">
        <f aca="false">SQRT(SUMXMY2(5_Ponderada!C670:Q670,5_Ponderada!$C$6:$Q$6))</f>
        <v>0.0154064003583231</v>
      </c>
      <c r="D667" s="21" t="n">
        <f aca="false">SQRT(SUMXMY2(5_Ponderada!C670:Q670,5_Ponderada!$C$7:$Q$7))</f>
        <v>0.0103360004406438</v>
      </c>
      <c r="E667" s="21" t="n">
        <f aca="false">D667/(C667+D667)</f>
        <v>0.401516568767689</v>
      </c>
      <c r="F667" s="15" t="n">
        <f aca="false">MIN(5,INT(E667/0.2)+1)</f>
        <v>3</v>
      </c>
      <c r="G667" s="21" t="n">
        <v>0.401516568767689</v>
      </c>
      <c r="H667" s="28" t="n">
        <f aca="false">ABS(E667-G667)</f>
        <v>0</v>
      </c>
      <c r="I667" s="15" t="n">
        <v>3</v>
      </c>
      <c r="J667" s="21" t="n">
        <f aca="false">(SUMPRODUCT(2_Matriz_decision!C667:Q667,5_Ponderada!$C$5:$Q$5)-1)/4</f>
        <v>0.43433674500805</v>
      </c>
      <c r="K667" s="15" t="n">
        <f aca="false">MIN(5,INT(J667/0.2)+1)</f>
        <v>3</v>
      </c>
      <c r="L667" s="21" t="n">
        <v>0.434336745008051</v>
      </c>
    </row>
    <row r="668" customFormat="false" ht="15" hidden="false" customHeight="false" outlineLevel="0" collapsed="false">
      <c r="A668" s="15" t="n">
        <f aca="false">2_Matriz_decision!A668</f>
        <v>664</v>
      </c>
      <c r="B668" s="16" t="n">
        <f aca="false">2_Matriz_decision!B668</f>
        <v>67.198</v>
      </c>
      <c r="C668" s="21" t="n">
        <f aca="false">SQRT(SUMXMY2(5_Ponderada!C671:Q671,5_Ponderada!$C$6:$Q$6))</f>
        <v>0.0154223686613494</v>
      </c>
      <c r="D668" s="21" t="n">
        <f aca="false">SQRT(SUMXMY2(5_Ponderada!C671:Q671,5_Ponderada!$C$7:$Q$7))</f>
        <v>0.0102961816553727</v>
      </c>
      <c r="E668" s="21" t="n">
        <f aca="false">D668/(C668+D668)</f>
        <v>0.400340669616909</v>
      </c>
      <c r="F668" s="15" t="n">
        <f aca="false">MIN(5,INT(E668/0.2)+1)</f>
        <v>3</v>
      </c>
      <c r="G668" s="21" t="n">
        <v>0.400340669616909</v>
      </c>
      <c r="H668" s="28" t="n">
        <f aca="false">ABS(E668-G668)</f>
        <v>0</v>
      </c>
      <c r="I668" s="15" t="n">
        <v>3</v>
      </c>
      <c r="J668" s="21" t="n">
        <f aca="false">(SUMPRODUCT(2_Matriz_decision!C668:Q668,5_Ponderada!$C$5:$Q$5)-1)/4</f>
        <v>0.424136802777897</v>
      </c>
      <c r="K668" s="15" t="n">
        <f aca="false">MIN(5,INT(J668/0.2)+1)</f>
        <v>3</v>
      </c>
      <c r="L668" s="21" t="n">
        <v>0.424136802777898</v>
      </c>
    </row>
    <row r="669" customFormat="false" ht="15" hidden="false" customHeight="false" outlineLevel="0" collapsed="false">
      <c r="A669" s="15" t="n">
        <f aca="false">2_Matriz_decision!A669</f>
        <v>665</v>
      </c>
      <c r="B669" s="16" t="n">
        <f aca="false">2_Matriz_decision!B669</f>
        <v>67.296</v>
      </c>
      <c r="C669" s="21" t="n">
        <f aca="false">SQRT(SUMXMY2(5_Ponderada!C672:Q672,5_Ponderada!$C$6:$Q$6))</f>
        <v>0.0154259466129833</v>
      </c>
      <c r="D669" s="21" t="n">
        <f aca="false">SQRT(SUMXMY2(5_Ponderada!C672:Q672,5_Ponderada!$C$7:$Q$7))</f>
        <v>0.0102899780459509</v>
      </c>
      <c r="E669" s="21" t="n">
        <f aca="false">D669/(C669+D669)</f>
        <v>0.400140309260704</v>
      </c>
      <c r="F669" s="15" t="n">
        <f aca="false">MIN(5,INT(E669/0.2)+1)</f>
        <v>3</v>
      </c>
      <c r="G669" s="21" t="n">
        <v>0.400140309260704</v>
      </c>
      <c r="H669" s="28" t="n">
        <f aca="false">ABS(E669-G669)</f>
        <v>0</v>
      </c>
      <c r="I669" s="15" t="n">
        <v>3</v>
      </c>
      <c r="J669" s="21" t="n">
        <f aca="false">(SUMPRODUCT(2_Matriz_decision!C669:Q669,5_Ponderada!$C$5:$Q$5)-1)/4</f>
        <v>0.424183481200233</v>
      </c>
      <c r="K669" s="15" t="n">
        <f aca="false">MIN(5,INT(J669/0.2)+1)</f>
        <v>3</v>
      </c>
      <c r="L669" s="21" t="n">
        <v>0.424183481200233</v>
      </c>
    </row>
    <row r="670" customFormat="false" ht="15" hidden="false" customHeight="false" outlineLevel="0" collapsed="false">
      <c r="A670" s="15" t="n">
        <f aca="false">2_Matriz_decision!A670</f>
        <v>666</v>
      </c>
      <c r="B670" s="16" t="n">
        <f aca="false">2_Matriz_decision!B670</f>
        <v>67.393</v>
      </c>
      <c r="C670" s="21" t="n">
        <f aca="false">SQRT(SUMXMY2(5_Ponderada!C673:Q673,5_Ponderada!$C$6:$Q$6))</f>
        <v>0.0189831832662502</v>
      </c>
      <c r="D670" s="21" t="n">
        <f aca="false">SQRT(SUMXMY2(5_Ponderada!C673:Q673,5_Ponderada!$C$7:$Q$7))</f>
        <v>0.00575831799905619</v>
      </c>
      <c r="E670" s="21" t="n">
        <f aca="false">D670/(C670+D670)</f>
        <v>0.232739231840016</v>
      </c>
      <c r="F670" s="15" t="n">
        <f aca="false">MIN(5,INT(E670/0.2)+1)</f>
        <v>2</v>
      </c>
      <c r="G670" s="21" t="n">
        <v>0.232739231840016</v>
      </c>
      <c r="H670" s="28" t="n">
        <f aca="false">ABS(E670-G670)</f>
        <v>0</v>
      </c>
      <c r="I670" s="15" t="n">
        <v>2</v>
      </c>
      <c r="J670" s="21" t="n">
        <f aca="false">(SUMPRODUCT(2_Matriz_decision!C670:Q670,5_Ponderada!$C$5:$Q$5)-1)/4</f>
        <v>0.27031284996224</v>
      </c>
      <c r="K670" s="15" t="n">
        <f aca="false">MIN(5,INT(J670/0.2)+1)</f>
        <v>2</v>
      </c>
      <c r="L670" s="21" t="n">
        <v>0.270312849962241</v>
      </c>
    </row>
    <row r="671" customFormat="false" ht="15" hidden="false" customHeight="false" outlineLevel="0" collapsed="false">
      <c r="A671" s="15" t="n">
        <f aca="false">2_Matriz_decision!A671</f>
        <v>667</v>
      </c>
      <c r="B671" s="16" t="n">
        <f aca="false">2_Matriz_decision!B671</f>
        <v>67.489</v>
      </c>
      <c r="C671" s="21" t="n">
        <f aca="false">SQRT(SUMXMY2(5_Ponderada!C674:Q674,5_Ponderada!$C$6:$Q$6))</f>
        <v>0.0184438375565584</v>
      </c>
      <c r="D671" s="21" t="n">
        <f aca="false">SQRT(SUMXMY2(5_Ponderada!C674:Q674,5_Ponderada!$C$7:$Q$7))</f>
        <v>0.00675861465634612</v>
      </c>
      <c r="E671" s="21" t="n">
        <f aca="false">D671/(C671+D671)</f>
        <v>0.268172898385081</v>
      </c>
      <c r="F671" s="15" t="n">
        <f aca="false">MIN(5,INT(E671/0.2)+1)</f>
        <v>2</v>
      </c>
      <c r="G671" s="21" t="n">
        <v>0.268172898385081</v>
      </c>
      <c r="H671" s="28" t="n">
        <f aca="false">ABS(E671-G671)</f>
        <v>0</v>
      </c>
      <c r="I671" s="15" t="n">
        <v>2</v>
      </c>
      <c r="J671" s="21" t="n">
        <f aca="false">(SUMPRODUCT(2_Matriz_decision!C671:Q671,5_Ponderada!$C$5:$Q$5)-1)/4</f>
        <v>0.289381073032176</v>
      </c>
      <c r="K671" s="15" t="n">
        <f aca="false">MIN(5,INT(J671/0.2)+1)</f>
        <v>2</v>
      </c>
      <c r="L671" s="21" t="n">
        <v>0.289381073032176</v>
      </c>
    </row>
    <row r="672" customFormat="false" ht="15" hidden="false" customHeight="false" outlineLevel="0" collapsed="false">
      <c r="A672" s="15" t="n">
        <f aca="false">2_Matriz_decision!A672</f>
        <v>668</v>
      </c>
      <c r="B672" s="16" t="n">
        <f aca="false">2_Matriz_decision!B672</f>
        <v>67.585</v>
      </c>
      <c r="C672" s="21" t="n">
        <f aca="false">SQRT(SUMXMY2(5_Ponderada!C675:Q675,5_Ponderada!$C$6:$Q$6))</f>
        <v>0.0184400852116137</v>
      </c>
      <c r="D672" s="21" t="n">
        <f aca="false">SQRT(SUMXMY2(5_Ponderada!C675:Q675,5_Ponderada!$C$7:$Q$7))</f>
        <v>0.00675969891893384</v>
      </c>
      <c r="E672" s="21" t="n">
        <f aca="false">D672/(C672+D672)</f>
        <v>0.268244318439999</v>
      </c>
      <c r="F672" s="15" t="n">
        <f aca="false">MIN(5,INT(E672/0.2)+1)</f>
        <v>2</v>
      </c>
      <c r="G672" s="21" t="n">
        <v>0.268244318439999</v>
      </c>
      <c r="H672" s="28" t="n">
        <f aca="false">ABS(E672-G672)</f>
        <v>0</v>
      </c>
      <c r="I672" s="15" t="n">
        <v>2</v>
      </c>
      <c r="J672" s="21" t="n">
        <f aca="false">(SUMPRODUCT(2_Matriz_decision!C672:Q672,5_Ponderada!$C$5:$Q$5)-1)/4</f>
        <v>0.289972323141825</v>
      </c>
      <c r="K672" s="15" t="n">
        <f aca="false">MIN(5,INT(J672/0.2)+1)</f>
        <v>2</v>
      </c>
      <c r="L672" s="21" t="n">
        <v>0.289972323141826</v>
      </c>
    </row>
    <row r="673" customFormat="false" ht="15" hidden="false" customHeight="false" outlineLevel="0" collapsed="false">
      <c r="A673" s="15" t="n">
        <f aca="false">2_Matriz_decision!A673</f>
        <v>669</v>
      </c>
      <c r="B673" s="16" t="n">
        <f aca="false">2_Matriz_decision!B673</f>
        <v>67.68</v>
      </c>
      <c r="C673" s="21" t="n">
        <f aca="false">SQRT(SUMXMY2(5_Ponderada!C676:Q676,5_Ponderada!$C$6:$Q$6))</f>
        <v>0.018206239972713</v>
      </c>
      <c r="D673" s="21" t="n">
        <f aca="false">SQRT(SUMXMY2(5_Ponderada!C676:Q676,5_Ponderada!$C$7:$Q$7))</f>
        <v>0.00707807320382549</v>
      </c>
      <c r="E673" s="21" t="n">
        <f aca="false">D673/(C673+D673)</f>
        <v>0.279939310765748</v>
      </c>
      <c r="F673" s="15" t="n">
        <f aca="false">MIN(5,INT(E673/0.2)+1)</f>
        <v>2</v>
      </c>
      <c r="G673" s="21" t="n">
        <v>0.279939310765748</v>
      </c>
      <c r="H673" s="28" t="n">
        <f aca="false">ABS(E673-G673)</f>
        <v>0</v>
      </c>
      <c r="I673" s="15" t="n">
        <v>2</v>
      </c>
      <c r="J673" s="21" t="n">
        <f aca="false">(SUMPRODUCT(2_Matriz_decision!C673:Q673,5_Ponderada!$C$5:$Q$5)-1)/4</f>
        <v>0.29042598890056</v>
      </c>
      <c r="K673" s="15" t="n">
        <f aca="false">MIN(5,INT(J673/0.2)+1)</f>
        <v>2</v>
      </c>
      <c r="L673" s="21" t="n">
        <v>0.29042598890056</v>
      </c>
    </row>
    <row r="674" customFormat="false" ht="15" hidden="false" customHeight="false" outlineLevel="0" collapsed="false">
      <c r="A674" s="15" t="n">
        <f aca="false">2_Matriz_decision!A674</f>
        <v>670</v>
      </c>
      <c r="B674" s="16" t="n">
        <f aca="false">2_Matriz_decision!B674</f>
        <v>67.778</v>
      </c>
      <c r="C674" s="21" t="n">
        <f aca="false">SQRT(SUMXMY2(5_Ponderada!C677:Q677,5_Ponderada!$C$6:$Q$6))</f>
        <v>0.0183953597812046</v>
      </c>
      <c r="D674" s="21" t="n">
        <f aca="false">SQRT(SUMXMY2(5_Ponderada!C677:Q677,5_Ponderada!$C$7:$Q$7))</f>
        <v>0.00621304552109495</v>
      </c>
      <c r="E674" s="21" t="n">
        <f aca="false">D674/(C674+D674)</f>
        <v>0.252476560133475</v>
      </c>
      <c r="F674" s="15" t="n">
        <f aca="false">MIN(5,INT(E674/0.2)+1)</f>
        <v>2</v>
      </c>
      <c r="G674" s="21" t="n">
        <v>0.252476560133475</v>
      </c>
      <c r="H674" s="28" t="n">
        <f aca="false">ABS(E674-G674)</f>
        <v>0</v>
      </c>
      <c r="I674" s="15" t="n">
        <v>2</v>
      </c>
      <c r="J674" s="21" t="n">
        <f aca="false">(SUMPRODUCT(2_Matriz_decision!C674:Q674,5_Ponderada!$C$5:$Q$5)-1)/4</f>
        <v>0.256794168360884</v>
      </c>
      <c r="K674" s="15" t="n">
        <f aca="false">MIN(5,INT(J674/0.2)+1)</f>
        <v>2</v>
      </c>
      <c r="L674" s="21" t="n">
        <v>0.256794168360884</v>
      </c>
    </row>
    <row r="675" customFormat="false" ht="15" hidden="false" customHeight="false" outlineLevel="0" collapsed="false">
      <c r="A675" s="17" t="n">
        <f aca="false">2_Matriz_decision!A675</f>
        <v>671</v>
      </c>
      <c r="B675" s="18" t="n">
        <f aca="false">2_Matriz_decision!B675</f>
        <v>67.875</v>
      </c>
      <c r="C675" s="27" t="n">
        <f aca="false">SQRT(SUMXMY2(5_Ponderada!C678:Q678,5_Ponderada!$C$6:$Q$6))</f>
        <v>0.018399312939696</v>
      </c>
      <c r="D675" s="27" t="n">
        <f aca="false">SQRT(SUMXMY2(5_Ponderada!C678:Q678,5_Ponderada!$C$7:$Q$7))</f>
        <v>0.00627542699679999</v>
      </c>
      <c r="E675" s="27" t="n">
        <f aca="false">D675/(C675+D675)</f>
        <v>0.2543259630274</v>
      </c>
      <c r="F675" s="17" t="n">
        <f aca="false">MIN(5,INT(E675/0.2)+1)</f>
        <v>2</v>
      </c>
      <c r="G675" s="27" t="n">
        <v>0.2543259630274</v>
      </c>
      <c r="H675" s="29" t="n">
        <f aca="false">ABS(E675-G675)</f>
        <v>0</v>
      </c>
      <c r="I675" s="17" t="n">
        <v>2</v>
      </c>
      <c r="J675" s="27" t="n">
        <f aca="false">(SUMPRODUCT(2_Matriz_decision!C675:Q675,5_Ponderada!$C$5:$Q$5)-1)/4</f>
        <v>0.259093685542212</v>
      </c>
      <c r="K675" s="17" t="n">
        <f aca="false">MIN(5,INT(J675/0.2)+1)</f>
        <v>2</v>
      </c>
      <c r="L675" s="27" t="n">
        <v>0.259093685542213</v>
      </c>
    </row>
    <row r="676" customFormat="false" ht="45" hidden="false" customHeight="true" outlineLevel="0" collapsed="false">
      <c r="A676" s="6" t="s">
        <v>165</v>
      </c>
      <c r="B676" s="6"/>
      <c r="C676" s="6"/>
      <c r="D676" s="6"/>
      <c r="E676" s="6"/>
      <c r="F676" s="6"/>
      <c r="G676" s="6"/>
      <c r="H676" s="6"/>
      <c r="I676" s="6"/>
      <c r="J676" s="6"/>
      <c r="K676" s="6"/>
      <c r="L676" s="6"/>
    </row>
  </sheetData>
  <mergeCells count="1">
    <mergeCell ref="A676:L67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8"/>
    <col collapsed="false" customWidth="true" hidden="false" outlineLevel="0" max="5" min="4" style="0" width="13"/>
    <col collapsed="false" customWidth="true" hidden="false" outlineLevel="0" max="6" min="6" style="0" width="11"/>
    <col collapsed="false" customWidth="true" hidden="false" outlineLevel="0" max="7" min="7" style="0" width="13"/>
    <col collapsed="false" customWidth="true" hidden="false" outlineLevel="0" max="8" min="8" style="0" width="14"/>
    <col collapsed="false" customWidth="true" hidden="false" outlineLevel="0" max="9" min="9" style="0" width="13"/>
  </cols>
  <sheetData>
    <row r="1" customFormat="false" ht="15" hidden="false" customHeight="false" outlineLevel="0" collapsed="false">
      <c r="A1" s="7" t="s">
        <v>166</v>
      </c>
    </row>
    <row r="2" customFormat="false" ht="15" hidden="false" customHeight="false" outlineLevel="0" collapsed="false">
      <c r="A2" s="8" t="s">
        <v>167</v>
      </c>
    </row>
    <row r="4" customFormat="false" ht="30" hidden="false" customHeight="true" outlineLevel="0" collapsed="false">
      <c r="A4" s="2" t="s">
        <v>168</v>
      </c>
      <c r="B4" s="3" t="s">
        <v>169</v>
      </c>
      <c r="C4" s="3" t="s">
        <v>170</v>
      </c>
      <c r="D4" s="3" t="s">
        <v>171</v>
      </c>
      <c r="E4" s="3" t="s">
        <v>172</v>
      </c>
      <c r="F4" s="3" t="s">
        <v>173</v>
      </c>
      <c r="G4" s="3" t="s">
        <v>174</v>
      </c>
    </row>
    <row r="5" customFormat="false" ht="15" hidden="false" customHeight="false" outlineLevel="0" collapsed="false">
      <c r="A5" s="15" t="n">
        <v>1</v>
      </c>
      <c r="B5" s="30" t="s">
        <v>175</v>
      </c>
      <c r="C5" s="4" t="s">
        <v>176</v>
      </c>
      <c r="D5" s="15" t="n">
        <f aca="false">COUNTIF(6_Distancias_C!$F$5:$F$675,A5)</f>
        <v>14</v>
      </c>
      <c r="E5" s="31" t="n">
        <f aca="false">D5/D$10</f>
        <v>0.0208643815201192</v>
      </c>
      <c r="F5" s="15" t="n">
        <f aca="false">COUNTIF(6_Distancias_C!$K$5:$K$675,A5)</f>
        <v>18</v>
      </c>
      <c r="G5" s="31" t="n">
        <f aca="false">F5/F$10</f>
        <v>0.0268256333830104</v>
      </c>
    </row>
    <row r="6" customFormat="false" ht="15" hidden="false" customHeight="false" outlineLevel="0" collapsed="false">
      <c r="A6" s="15" t="n">
        <v>2</v>
      </c>
      <c r="B6" s="30" t="s">
        <v>177</v>
      </c>
      <c r="C6" s="4" t="s">
        <v>178</v>
      </c>
      <c r="D6" s="15" t="n">
        <f aca="false">COUNTIF(6_Distancias_C!$F$5:$F$675,A6)</f>
        <v>414</v>
      </c>
      <c r="E6" s="31" t="n">
        <f aca="false">D6/D$10</f>
        <v>0.61698956780924</v>
      </c>
      <c r="F6" s="15" t="n">
        <f aca="false">COUNTIF(6_Distancias_C!$K$5:$K$675,A6)</f>
        <v>333</v>
      </c>
      <c r="G6" s="31" t="n">
        <f aca="false">F6/F$10</f>
        <v>0.496274217585693</v>
      </c>
    </row>
    <row r="7" customFormat="false" ht="15" hidden="false" customHeight="false" outlineLevel="0" collapsed="false">
      <c r="A7" s="15" t="n">
        <v>3</v>
      </c>
      <c r="B7" s="30" t="s">
        <v>179</v>
      </c>
      <c r="C7" s="4" t="s">
        <v>180</v>
      </c>
      <c r="D7" s="15" t="n">
        <f aca="false">COUNTIF(6_Distancias_C!$F$5:$F$675,A7)</f>
        <v>229</v>
      </c>
      <c r="E7" s="31" t="n">
        <f aca="false">D7/D$10</f>
        <v>0.341281669150522</v>
      </c>
      <c r="F7" s="15" t="n">
        <f aca="false">COUNTIF(6_Distancias_C!$K$5:$K$675,A7)</f>
        <v>251</v>
      </c>
      <c r="G7" s="31" t="n">
        <f aca="false">F7/F$10</f>
        <v>0.374068554396423</v>
      </c>
    </row>
    <row r="8" customFormat="false" ht="15" hidden="false" customHeight="false" outlineLevel="0" collapsed="false">
      <c r="A8" s="15" t="n">
        <v>4</v>
      </c>
      <c r="B8" s="30" t="s">
        <v>181</v>
      </c>
      <c r="C8" s="4" t="s">
        <v>182</v>
      </c>
      <c r="D8" s="15" t="n">
        <f aca="false">COUNTIF(6_Distancias_C!$F$5:$F$675,A8)</f>
        <v>14</v>
      </c>
      <c r="E8" s="31" t="n">
        <f aca="false">D8/D$10</f>
        <v>0.0208643815201192</v>
      </c>
      <c r="F8" s="15" t="n">
        <f aca="false">COUNTIF(6_Distancias_C!$K$5:$K$675,A8)</f>
        <v>69</v>
      </c>
      <c r="G8" s="31" t="n">
        <f aca="false">F8/F$10</f>
        <v>0.102831594634873</v>
      </c>
    </row>
    <row r="9" customFormat="false" ht="15" hidden="false" customHeight="false" outlineLevel="0" collapsed="false">
      <c r="A9" s="15" t="n">
        <v>5</v>
      </c>
      <c r="B9" s="30" t="s">
        <v>183</v>
      </c>
      <c r="C9" s="4" t="s">
        <v>184</v>
      </c>
      <c r="D9" s="15" t="n">
        <f aca="false">COUNTIF(6_Distancias_C!$F$5:$F$675,A9)</f>
        <v>0</v>
      </c>
      <c r="E9" s="31" t="n">
        <f aca="false">D9/D$10</f>
        <v>0</v>
      </c>
      <c r="F9" s="15" t="n">
        <f aca="false">COUNTIF(6_Distancias_C!$K$5:$K$675,A9)</f>
        <v>0</v>
      </c>
      <c r="G9" s="31" t="n">
        <f aca="false">F9/F$10</f>
        <v>0</v>
      </c>
    </row>
    <row r="10" customFormat="false" ht="15" hidden="false" customHeight="false" outlineLevel="0" collapsed="false">
      <c r="A10" s="22" t="s">
        <v>185</v>
      </c>
      <c r="B10" s="23"/>
      <c r="C10" s="23"/>
      <c r="D10" s="32" t="n">
        <f aca="false">SUM(D5:D9)</f>
        <v>671</v>
      </c>
      <c r="E10" s="33" t="n">
        <f aca="false">SUM(E5:E9)</f>
        <v>1</v>
      </c>
      <c r="F10" s="32" t="n">
        <f aca="false">SUM(F5:F9)</f>
        <v>671</v>
      </c>
      <c r="G10" s="33" t="n">
        <f aca="false">SUM(G5:G9)</f>
        <v>1</v>
      </c>
    </row>
    <row r="11" customFormat="false" ht="30" hidden="false" customHeight="true" outlineLevel="0" collapsed="false">
      <c r="A11" s="6" t="s">
        <v>186</v>
      </c>
      <c r="B11" s="6"/>
      <c r="C11" s="6"/>
      <c r="D11" s="6"/>
      <c r="E11" s="6"/>
      <c r="F11" s="6"/>
      <c r="G11" s="6"/>
    </row>
    <row r="14" customFormat="false" ht="15" hidden="false" customHeight="false" outlineLevel="0" collapsed="false">
      <c r="A14" s="7" t="s">
        <v>187</v>
      </c>
    </row>
    <row r="15" customFormat="false" ht="15" hidden="false" customHeight="false" outlineLevel="0" collapsed="false">
      <c r="A15" s="8" t="s">
        <v>188</v>
      </c>
    </row>
    <row r="17" customFormat="false" ht="15" hidden="false" customHeight="true" outlineLevel="0" collapsed="false">
      <c r="A17" s="2" t="s">
        <v>189</v>
      </c>
      <c r="B17" s="2"/>
      <c r="C17" s="2"/>
      <c r="D17" s="3" t="s">
        <v>190</v>
      </c>
      <c r="E17" s="3" t="s">
        <v>191</v>
      </c>
    </row>
    <row r="18" customFormat="false" ht="15" hidden="false" customHeight="false" outlineLevel="0" collapsed="false">
      <c r="A18" s="34" t="s">
        <v>192</v>
      </c>
      <c r="B18" s="34"/>
      <c r="C18" s="34"/>
      <c r="D18" s="15" t="n">
        <f aca="false">COUNT(6_Distancias_C!$E$5:$E$675)</f>
        <v>671</v>
      </c>
      <c r="E18" s="4" t="s">
        <v>193</v>
      </c>
    </row>
    <row r="19" customFormat="false" ht="15" hidden="false" customHeight="false" outlineLevel="0" collapsed="false">
      <c r="A19" s="34" t="s">
        <v>194</v>
      </c>
      <c r="B19" s="34"/>
      <c r="C19" s="34"/>
      <c r="D19" s="21" t="n">
        <f aca="false">AVERAGE(6_Distancias_C!$E$5:$E$675)</f>
        <v>0.357601633831221</v>
      </c>
      <c r="E19" s="4" t="s">
        <v>195</v>
      </c>
    </row>
    <row r="20" customFormat="false" ht="15" hidden="false" customHeight="false" outlineLevel="0" collapsed="false">
      <c r="A20" s="34" t="s">
        <v>196</v>
      </c>
      <c r="B20" s="34"/>
      <c r="C20" s="34"/>
      <c r="D20" s="21" t="n">
        <f aca="false">MEDIAN(6_Distancias_C!$E$5:$E$675)</f>
        <v>0.332353661390492</v>
      </c>
      <c r="E20" s="4" t="s">
        <v>197</v>
      </c>
    </row>
    <row r="21" customFormat="false" ht="15" hidden="false" customHeight="false" outlineLevel="0" collapsed="false">
      <c r="A21" s="34" t="s">
        <v>198</v>
      </c>
      <c r="B21" s="34"/>
      <c r="C21" s="34"/>
      <c r="D21" s="21" t="n">
        <f aca="false">MIN(6_Distancias_C!$E$5:$E$675)</f>
        <v>0.151150525155417</v>
      </c>
      <c r="E21" s="4" t="s">
        <v>199</v>
      </c>
    </row>
    <row r="22" customFormat="false" ht="15" hidden="false" customHeight="false" outlineLevel="0" collapsed="false">
      <c r="A22" s="34" t="s">
        <v>200</v>
      </c>
      <c r="B22" s="34"/>
      <c r="C22" s="34"/>
      <c r="D22" s="21" t="n">
        <f aca="false">MAX(6_Distancias_C!$E$5:$E$675)</f>
        <v>0.614654528592011</v>
      </c>
      <c r="E22" s="4" t="s">
        <v>201</v>
      </c>
    </row>
    <row r="23" customFormat="false" ht="15" hidden="false" customHeight="false" outlineLevel="0" collapsed="false">
      <c r="A23" s="34" t="s">
        <v>202</v>
      </c>
      <c r="B23" s="34"/>
      <c r="C23" s="34"/>
      <c r="D23" s="21" t="n">
        <f aca="false">STDEV(6_Distancias_C!$E$5:$E$675)</f>
        <v>0.119865455240877</v>
      </c>
      <c r="E23" s="4" t="s">
        <v>203</v>
      </c>
    </row>
    <row r="24" customFormat="false" ht="15" hidden="false" customHeight="false" outlineLevel="0" collapsed="false">
      <c r="A24" s="34" t="s">
        <v>204</v>
      </c>
      <c r="B24" s="34"/>
      <c r="C24" s="34"/>
      <c r="D24" s="31" t="n">
        <f aca="false">SUMPRODUCT(--(6_Distancias_C!$F$5:$F$675=6_Distancias_C!$K$5:$K$675))/COUNT(6_Distancias_C!$E$5:$E$675)</f>
        <v>0.794336810730253</v>
      </c>
      <c r="E24" s="4" t="s">
        <v>205</v>
      </c>
    </row>
    <row r="25" customFormat="false" ht="15" hidden="false" customHeight="false" outlineLevel="0" collapsed="false">
      <c r="A25" s="34" t="s">
        <v>206</v>
      </c>
      <c r="B25" s="34"/>
      <c r="C25" s="34"/>
      <c r="D25" s="21" t="n">
        <v>0.960292054488499</v>
      </c>
      <c r="E25" s="4" t="s">
        <v>207</v>
      </c>
    </row>
    <row r="26" customFormat="false" ht="15" hidden="false" customHeight="false" outlineLevel="0" collapsed="false">
      <c r="A26" s="34" t="s">
        <v>208</v>
      </c>
      <c r="B26" s="34"/>
      <c r="C26" s="34"/>
      <c r="D26" s="21" t="n">
        <f aca="false">CORREL(6_Distancias_C!$E$5:$E$675,6_Distancias_C!$J$5:$J$675)</f>
        <v>0.979595654210162</v>
      </c>
      <c r="E26" s="4" t="s">
        <v>209</v>
      </c>
    </row>
    <row r="27" customFormat="false" ht="15" hidden="false" customHeight="false" outlineLevel="0" collapsed="false">
      <c r="A27" s="34" t="s">
        <v>210</v>
      </c>
      <c r="B27" s="34"/>
      <c r="C27" s="34"/>
      <c r="D27" s="28" t="n">
        <f aca="false">MAX(6_Distancias_C!$H$5:$H$675)</f>
        <v>0</v>
      </c>
      <c r="E27" s="4" t="s">
        <v>211</v>
      </c>
    </row>
    <row r="28" customFormat="false" ht="15" hidden="false" customHeight="false" outlineLevel="0" collapsed="false">
      <c r="A28" s="34" t="s">
        <v>212</v>
      </c>
      <c r="B28" s="34"/>
      <c r="C28" s="34"/>
      <c r="D28" s="15" t="n">
        <f aca="false">COUNTIF(6_Distancias_C!$H$5:$H$675,"&lt;0.000001")</f>
        <v>671</v>
      </c>
      <c r="E28" s="4" t="s">
        <v>213</v>
      </c>
    </row>
    <row r="29" customFormat="false" ht="15" hidden="false" customHeight="false" outlineLevel="0" collapsed="false">
      <c r="A29" s="5" t="s">
        <v>214</v>
      </c>
      <c r="B29" s="5"/>
      <c r="C29" s="5"/>
      <c r="D29" s="35" t="n">
        <f aca="false">SUMPRODUCT(--(6_Distancias_C!$F$5:$F$675=6_Distancias_C!$I$5:$I$675))/COUNT(6_Distancias_C!$E$5:$E$675)</f>
        <v>1</v>
      </c>
      <c r="E29" s="5" t="s">
        <v>215</v>
      </c>
    </row>
    <row r="30" customFormat="false" ht="30" hidden="false" customHeight="true" outlineLevel="0" collapsed="false">
      <c r="A30" s="6" t="s">
        <v>216</v>
      </c>
      <c r="B30" s="6"/>
      <c r="C30" s="6"/>
      <c r="D30" s="6"/>
      <c r="E30" s="6"/>
    </row>
    <row r="33" customFormat="false" ht="15" hidden="false" customHeight="false" outlineLevel="0" collapsed="false">
      <c r="A33" s="7" t="s">
        <v>217</v>
      </c>
    </row>
    <row r="34" customFormat="false" ht="15" hidden="false" customHeight="false" outlineLevel="0" collapsed="false">
      <c r="A34" s="8" t="s">
        <v>218</v>
      </c>
    </row>
    <row r="36" customFormat="false" ht="30" hidden="false" customHeight="true" outlineLevel="0" collapsed="false">
      <c r="A36" s="2" t="s">
        <v>219</v>
      </c>
      <c r="B36" s="3" t="s">
        <v>77</v>
      </c>
      <c r="C36" s="3" t="s">
        <v>78</v>
      </c>
      <c r="D36" s="3" t="s">
        <v>155</v>
      </c>
      <c r="E36" s="3" t="s">
        <v>156</v>
      </c>
      <c r="F36" s="3" t="s">
        <v>220</v>
      </c>
      <c r="G36" s="3" t="s">
        <v>158</v>
      </c>
      <c r="H36" s="3" t="s">
        <v>221</v>
      </c>
      <c r="I36" s="3" t="s">
        <v>163</v>
      </c>
    </row>
    <row r="37" customFormat="false" ht="15" hidden="false" customHeight="false" outlineLevel="0" collapsed="false">
      <c r="A37" s="15" t="n">
        <v>1</v>
      </c>
      <c r="B37" s="15" t="n">
        <f aca="false">INDEX(6_Distancias_C!$A$5:$A$675,MATCH(F37,6_Distancias_C!$E$5:$E$675,0))</f>
        <v>367</v>
      </c>
      <c r="C37" s="16" t="n">
        <f aca="false">INDEX(6_Distancias_C!$B$5:$B$675,MATCH($F37,6_Distancias_C!$E$5:$E$675,0))</f>
        <v>36.928</v>
      </c>
      <c r="D37" s="21" t="n">
        <f aca="false">INDEX(6_Distancias_C!$C$5:$C$675,MATCH($F37,6_Distancias_C!$E$5:$E$675,0))</f>
        <v>0.0109938826033576</v>
      </c>
      <c r="E37" s="21" t="n">
        <f aca="false">INDEX(6_Distancias_C!$D$5:$D$675,MATCH($F37,6_Distancias_C!$E$5:$E$675,0))</f>
        <v>0.0175360559039972</v>
      </c>
      <c r="F37" s="21" t="n">
        <f aca="false">LARGE(6_Distancias_C!$E$5:$E$675,A37)</f>
        <v>0.614654528592011</v>
      </c>
      <c r="G37" s="15" t="n">
        <f aca="false">INDEX(6_Distancias_C!$F$5:$F$675,MATCH($F37,6_Distancias_C!$E$5:$E$675,0))</f>
        <v>4</v>
      </c>
      <c r="H37" s="21" t="n">
        <f aca="false">INDEX(6_Distancias_C!$J$5:$J$675,MATCH($F37,6_Distancias_C!$E$5:$E$675,0))</f>
        <v>0.750237024502537</v>
      </c>
      <c r="I37" s="15" t="n">
        <f aca="false">INDEX(6_Distancias_C!$K$5:$K$675,MATCH($F37,6_Distancias_C!$E$5:$E$675,0))</f>
        <v>4</v>
      </c>
    </row>
    <row r="38" customFormat="false" ht="15" hidden="false" customHeight="false" outlineLevel="0" collapsed="false">
      <c r="A38" s="15" t="n">
        <v>2</v>
      </c>
      <c r="B38" s="15" t="n">
        <f aca="false">INDEX(6_Distancias_C!$A$5:$A$675,MATCH(F38,6_Distancias_C!$E$5:$E$675,0))</f>
        <v>370</v>
      </c>
      <c r="C38" s="16" t="n">
        <f aca="false">INDEX(6_Distancias_C!$B$5:$B$675,MATCH($F38,6_Distancias_C!$E$5:$E$675,0))</f>
        <v>37.229</v>
      </c>
      <c r="D38" s="21" t="n">
        <f aca="false">INDEX(6_Distancias_C!$C$5:$C$675,MATCH($F38,6_Distancias_C!$E$5:$E$675,0))</f>
        <v>0.0109856992861099</v>
      </c>
      <c r="E38" s="21" t="n">
        <f aca="false">INDEX(6_Distancias_C!$D$5:$D$675,MATCH($F38,6_Distancias_C!$E$5:$E$675,0))</f>
        <v>0.0175198391435909</v>
      </c>
      <c r="F38" s="21" t="n">
        <f aca="false">LARGE(6_Distancias_C!$E$5:$E$675,A38)</f>
        <v>0.614611759984734</v>
      </c>
      <c r="G38" s="15" t="n">
        <f aca="false">INDEX(6_Distancias_C!$F$5:$F$675,MATCH($F38,6_Distancias_C!$E$5:$E$675,0))</f>
        <v>4</v>
      </c>
      <c r="H38" s="21" t="n">
        <f aca="false">INDEX(6_Distancias_C!$J$5:$J$675,MATCH($F38,6_Distancias_C!$E$5:$E$675,0))</f>
        <v>0.74456862274528</v>
      </c>
      <c r="I38" s="15" t="n">
        <f aca="false">INDEX(6_Distancias_C!$K$5:$K$675,MATCH($F38,6_Distancias_C!$E$5:$E$675,0))</f>
        <v>4</v>
      </c>
    </row>
    <row r="39" customFormat="false" ht="15" hidden="false" customHeight="false" outlineLevel="0" collapsed="false">
      <c r="A39" s="15" t="n">
        <v>3</v>
      </c>
      <c r="B39" s="15" t="n">
        <f aca="false">INDEX(6_Distancias_C!$A$5:$A$675,MATCH(F39,6_Distancias_C!$E$5:$E$675,0))</f>
        <v>368</v>
      </c>
      <c r="C39" s="16" t="n">
        <f aca="false">INDEX(6_Distancias_C!$B$5:$B$675,MATCH($F39,6_Distancias_C!$E$5:$E$675,0))</f>
        <v>37.028</v>
      </c>
      <c r="D39" s="21" t="n">
        <f aca="false">INDEX(6_Distancias_C!$C$5:$C$675,MATCH($F39,6_Distancias_C!$E$5:$E$675,0))</f>
        <v>0.0109889949206306</v>
      </c>
      <c r="E39" s="21" t="n">
        <f aca="false">INDEX(6_Distancias_C!$D$5:$D$675,MATCH($F39,6_Distancias_C!$E$5:$E$675,0))</f>
        <v>0.0175157502911597</v>
      </c>
      <c r="F39" s="21" t="n">
        <f aca="false">LARGE(6_Distancias_C!$E$5:$E$675,A39)</f>
        <v>0.614485418516027</v>
      </c>
      <c r="G39" s="15" t="n">
        <f aca="false">INDEX(6_Distancias_C!$F$5:$F$675,MATCH($F39,6_Distancias_C!$E$5:$E$675,0))</f>
        <v>4</v>
      </c>
      <c r="H39" s="21" t="n">
        <f aca="false">INDEX(6_Distancias_C!$J$5:$J$675,MATCH($F39,6_Distancias_C!$E$5:$E$675,0))</f>
        <v>0.743486214931877</v>
      </c>
      <c r="I39" s="15" t="n">
        <f aca="false">INDEX(6_Distancias_C!$K$5:$K$675,MATCH($F39,6_Distancias_C!$E$5:$E$675,0))</f>
        <v>4</v>
      </c>
    </row>
    <row r="40" customFormat="false" ht="15" hidden="false" customHeight="false" outlineLevel="0" collapsed="false">
      <c r="A40" s="15" t="n">
        <v>4</v>
      </c>
      <c r="B40" s="15" t="n">
        <f aca="false">INDEX(6_Distancias_C!$A$5:$A$675,MATCH(F40,6_Distancias_C!$E$5:$E$675,0))</f>
        <v>366</v>
      </c>
      <c r="C40" s="16" t="n">
        <f aca="false">INDEX(6_Distancias_C!$B$5:$B$675,MATCH($F40,6_Distancias_C!$E$5:$E$675,0))</f>
        <v>36.827</v>
      </c>
      <c r="D40" s="21" t="n">
        <f aca="false">INDEX(6_Distancias_C!$C$5:$C$675,MATCH($F40,6_Distancias_C!$E$5:$E$675,0))</f>
        <v>0.0110053817916013</v>
      </c>
      <c r="E40" s="21" t="n">
        <f aca="false">INDEX(6_Distancias_C!$D$5:$D$675,MATCH($F40,6_Distancias_C!$E$5:$E$675,0))</f>
        <v>0.0175000845490192</v>
      </c>
      <c r="F40" s="21" t="n">
        <f aca="false">LARGE(6_Distancias_C!$E$5:$E$675,A40)</f>
        <v>0.613920303562318</v>
      </c>
      <c r="G40" s="15" t="n">
        <f aca="false">INDEX(6_Distancias_C!$F$5:$F$675,MATCH($F40,6_Distancias_C!$E$5:$E$675,0))</f>
        <v>4</v>
      </c>
      <c r="H40" s="21" t="n">
        <f aca="false">INDEX(6_Distancias_C!$J$5:$J$675,MATCH($F40,6_Distancias_C!$E$5:$E$675,0))</f>
        <v>0.739104360846682</v>
      </c>
      <c r="I40" s="15" t="n">
        <f aca="false">INDEX(6_Distancias_C!$K$5:$K$675,MATCH($F40,6_Distancias_C!$E$5:$E$675,0))</f>
        <v>4</v>
      </c>
    </row>
    <row r="41" customFormat="false" ht="15" hidden="false" customHeight="false" outlineLevel="0" collapsed="false">
      <c r="A41" s="15" t="n">
        <v>5</v>
      </c>
      <c r="B41" s="15" t="n">
        <f aca="false">INDEX(6_Distancias_C!$A$5:$A$675,MATCH(F41,6_Distancias_C!$E$5:$E$675,0))</f>
        <v>371</v>
      </c>
      <c r="C41" s="16" t="n">
        <f aca="false">INDEX(6_Distancias_C!$B$5:$B$675,MATCH($F41,6_Distancias_C!$E$5:$E$675,0))</f>
        <v>37.329</v>
      </c>
      <c r="D41" s="21" t="n">
        <f aca="false">INDEX(6_Distancias_C!$C$5:$C$675,MATCH($F41,6_Distancias_C!$E$5:$E$675,0))</f>
        <v>0.0110086409276888</v>
      </c>
      <c r="E41" s="21" t="n">
        <f aca="false">INDEX(6_Distancias_C!$D$5:$D$675,MATCH($F41,6_Distancias_C!$E$5:$E$675,0))</f>
        <v>0.0174935989985597</v>
      </c>
      <c r="F41" s="21" t="n">
        <f aca="false">LARGE(6_Distancias_C!$E$5:$E$675,A41)</f>
        <v>0.613762253206259</v>
      </c>
      <c r="G41" s="15" t="n">
        <f aca="false">INDEX(6_Distancias_C!$F$5:$F$675,MATCH($F41,6_Distancias_C!$E$5:$E$675,0))</f>
        <v>4</v>
      </c>
      <c r="H41" s="21" t="n">
        <f aca="false">INDEX(6_Distancias_C!$J$5:$J$675,MATCH($F41,6_Distancias_C!$E$5:$E$675,0))</f>
        <v>0.734576678205005</v>
      </c>
      <c r="I41" s="15" t="n">
        <f aca="false">INDEX(6_Distancias_C!$K$5:$K$675,MATCH($F41,6_Distancias_C!$E$5:$E$675,0))</f>
        <v>4</v>
      </c>
    </row>
    <row r="42" customFormat="false" ht="15" hidden="false" customHeight="false" outlineLevel="0" collapsed="false">
      <c r="A42" s="15" t="n">
        <v>6</v>
      </c>
      <c r="B42" s="15" t="n">
        <f aca="false">INDEX(6_Distancias_C!$A$5:$A$675,MATCH(F42,6_Distancias_C!$E$5:$E$675,0))</f>
        <v>369</v>
      </c>
      <c r="C42" s="16" t="n">
        <f aca="false">INDEX(6_Distancias_C!$B$5:$B$675,MATCH($F42,6_Distancias_C!$E$5:$E$675,0))</f>
        <v>37.128</v>
      </c>
      <c r="D42" s="21" t="n">
        <f aca="false">INDEX(6_Distancias_C!$C$5:$C$675,MATCH($F42,6_Distancias_C!$E$5:$E$675,0))</f>
        <v>0.0110123854938124</v>
      </c>
      <c r="E42" s="21" t="n">
        <f aca="false">INDEX(6_Distancias_C!$D$5:$D$675,MATCH($F42,6_Distancias_C!$E$5:$E$675,0))</f>
        <v>0.0174939197526299</v>
      </c>
      <c r="F42" s="21" t="n">
        <f aca="false">LARGE(6_Distancias_C!$E$5:$E$675,A42)</f>
        <v>0.613685975835583</v>
      </c>
      <c r="G42" s="15" t="n">
        <f aca="false">INDEX(6_Distancias_C!$F$5:$F$675,MATCH($F42,6_Distancias_C!$E$5:$E$675,0))</f>
        <v>4</v>
      </c>
      <c r="H42" s="21" t="n">
        <f aca="false">INDEX(6_Distancias_C!$J$5:$J$675,MATCH($F42,6_Distancias_C!$E$5:$E$675,0))</f>
        <v>0.732474679322776</v>
      </c>
      <c r="I42" s="15" t="n">
        <f aca="false">INDEX(6_Distancias_C!$K$5:$K$675,MATCH($F42,6_Distancias_C!$E$5:$E$675,0))</f>
        <v>4</v>
      </c>
    </row>
    <row r="43" customFormat="false" ht="15" hidden="false" customHeight="false" outlineLevel="0" collapsed="false">
      <c r="A43" s="15" t="n">
        <v>7</v>
      </c>
      <c r="B43" s="15" t="n">
        <f aca="false">INDEX(6_Distancias_C!$A$5:$A$675,MATCH(F43,6_Distancias_C!$E$5:$E$675,0))</f>
        <v>359</v>
      </c>
      <c r="C43" s="16" t="n">
        <f aca="false">INDEX(6_Distancias_C!$B$5:$B$675,MATCH($F43,6_Distancias_C!$E$5:$E$675,0))</f>
        <v>36.129</v>
      </c>
      <c r="D43" s="21" t="n">
        <f aca="false">INDEX(6_Distancias_C!$C$5:$C$675,MATCH($F43,6_Distancias_C!$E$5:$E$675,0))</f>
        <v>0.0110304574135562</v>
      </c>
      <c r="E43" s="21" t="n">
        <f aca="false">INDEX(6_Distancias_C!$D$5:$D$675,MATCH($F43,6_Distancias_C!$E$5:$E$675,0))</f>
        <v>0.0174851381758052</v>
      </c>
      <c r="F43" s="21" t="n">
        <f aca="false">LARGE(6_Distancias_C!$E$5:$E$675,A43)</f>
        <v>0.613178080780769</v>
      </c>
      <c r="G43" s="15" t="n">
        <f aca="false">INDEX(6_Distancias_C!$F$5:$F$675,MATCH($F43,6_Distancias_C!$E$5:$E$675,0))</f>
        <v>4</v>
      </c>
      <c r="H43" s="21" t="n">
        <f aca="false">INDEX(6_Distancias_C!$J$5:$J$675,MATCH($F43,6_Distancias_C!$E$5:$E$675,0))</f>
        <v>0.735167502642905</v>
      </c>
      <c r="I43" s="15" t="n">
        <f aca="false">INDEX(6_Distancias_C!$K$5:$K$675,MATCH($F43,6_Distancias_C!$E$5:$E$675,0))</f>
        <v>4</v>
      </c>
    </row>
    <row r="44" customFormat="false" ht="15" hidden="false" customHeight="false" outlineLevel="0" collapsed="false">
      <c r="A44" s="15" t="n">
        <v>8</v>
      </c>
      <c r="B44" s="15" t="n">
        <f aca="false">INDEX(6_Distancias_C!$A$5:$A$675,MATCH(F44,6_Distancias_C!$E$5:$E$675,0))</f>
        <v>360</v>
      </c>
      <c r="C44" s="16" t="n">
        <f aca="false">INDEX(6_Distancias_C!$B$5:$B$675,MATCH($F44,6_Distancias_C!$E$5:$E$675,0))</f>
        <v>36.228</v>
      </c>
      <c r="D44" s="21" t="n">
        <f aca="false">INDEX(6_Distancias_C!$C$5:$C$675,MATCH($F44,6_Distancias_C!$E$5:$E$675,0))</f>
        <v>0.011050117277766</v>
      </c>
      <c r="E44" s="21" t="n">
        <f aca="false">INDEX(6_Distancias_C!$D$5:$D$675,MATCH($F44,6_Distancias_C!$E$5:$E$675,0))</f>
        <v>0.017478238945879</v>
      </c>
      <c r="F44" s="21" t="n">
        <f aca="false">LARGE(6_Distancias_C!$E$5:$E$675,A44)</f>
        <v>0.612661970737472</v>
      </c>
      <c r="G44" s="15" t="n">
        <f aca="false">INDEX(6_Distancias_C!$F$5:$F$675,MATCH($F44,6_Distancias_C!$E$5:$E$675,0))</f>
        <v>4</v>
      </c>
      <c r="H44" s="21" t="n">
        <f aca="false">INDEX(6_Distancias_C!$J$5:$J$675,MATCH($F44,6_Distancias_C!$E$5:$E$675,0))</f>
        <v>0.732223172771123</v>
      </c>
      <c r="I44" s="15" t="n">
        <f aca="false">INDEX(6_Distancias_C!$K$5:$K$675,MATCH($F44,6_Distancias_C!$E$5:$E$675,0))</f>
        <v>4</v>
      </c>
    </row>
    <row r="45" customFormat="false" ht="15" hidden="false" customHeight="false" outlineLevel="0" collapsed="false">
      <c r="A45" s="15" t="n">
        <v>9</v>
      </c>
      <c r="B45" s="15" t="n">
        <f aca="false">INDEX(6_Distancias_C!$A$5:$A$675,MATCH(F45,6_Distancias_C!$E$5:$E$675,0))</f>
        <v>372</v>
      </c>
      <c r="C45" s="16" t="n">
        <f aca="false">INDEX(6_Distancias_C!$B$5:$B$675,MATCH($F45,6_Distancias_C!$E$5:$E$675,0))</f>
        <v>37.43</v>
      </c>
      <c r="D45" s="21" t="n">
        <f aca="false">INDEX(6_Distancias_C!$C$5:$C$675,MATCH($F45,6_Distancias_C!$E$5:$E$675,0))</f>
        <v>0.0111142639531511</v>
      </c>
      <c r="E45" s="21" t="n">
        <f aca="false">INDEX(6_Distancias_C!$D$5:$D$675,MATCH($F45,6_Distancias_C!$E$5:$E$675,0))</f>
        <v>0.0174580005122018</v>
      </c>
      <c r="F45" s="21" t="n">
        <f aca="false">LARGE(6_Distancias_C!$E$5:$E$675,A45)</f>
        <v>0.611012141980263</v>
      </c>
      <c r="G45" s="15" t="n">
        <f aca="false">INDEX(6_Distancias_C!$F$5:$F$675,MATCH($F45,6_Distancias_C!$E$5:$E$675,0))</f>
        <v>4</v>
      </c>
      <c r="H45" s="21" t="n">
        <f aca="false">INDEX(6_Distancias_C!$J$5:$J$675,MATCH($F45,6_Distancias_C!$E$5:$E$675,0))</f>
        <v>0.710242243083606</v>
      </c>
      <c r="I45" s="15" t="n">
        <f aca="false">INDEX(6_Distancias_C!$K$5:$K$675,MATCH($F45,6_Distancias_C!$E$5:$E$675,0))</f>
        <v>4</v>
      </c>
    </row>
    <row r="46" customFormat="false" ht="15" hidden="false" customHeight="false" outlineLevel="0" collapsed="false">
      <c r="A46" s="17" t="n">
        <v>10</v>
      </c>
      <c r="B46" s="17" t="n">
        <f aca="false">INDEX(6_Distancias_C!$A$5:$A$675,MATCH(F46,6_Distancias_C!$E$5:$E$675,0))</f>
        <v>615</v>
      </c>
      <c r="C46" s="18" t="n">
        <f aca="false">INDEX(6_Distancias_C!$B$5:$B$675,MATCH($F46,6_Distancias_C!$E$5:$E$675,0))</f>
        <v>61.636</v>
      </c>
      <c r="D46" s="27" t="n">
        <f aca="false">INDEX(6_Distancias_C!$C$5:$C$675,MATCH($F46,6_Distancias_C!$E$5:$E$675,0))</f>
        <v>0.0100173212939136</v>
      </c>
      <c r="E46" s="27" t="n">
        <f aca="false">INDEX(6_Distancias_C!$D$5:$D$675,MATCH($F46,6_Distancias_C!$E$5:$E$675,0))</f>
        <v>0.0156417516751396</v>
      </c>
      <c r="F46" s="27" t="n">
        <f aca="false">LARGE(6_Distancias_C!$E$5:$E$675,A46)</f>
        <v>0.609599251461842</v>
      </c>
      <c r="G46" s="17" t="n">
        <f aca="false">INDEX(6_Distancias_C!$F$5:$F$675,MATCH($F46,6_Distancias_C!$E$5:$E$675,0))</f>
        <v>4</v>
      </c>
      <c r="H46" s="27" t="n">
        <f aca="false">INDEX(6_Distancias_C!$J$5:$J$675,MATCH($F46,6_Distancias_C!$E$5:$E$675,0))</f>
        <v>0.647233671247845</v>
      </c>
      <c r="I46" s="17" t="n">
        <f aca="false">INDEX(6_Distancias_C!$K$5:$K$675,MATCH($F46,6_Distancias_C!$E$5:$E$675,0))</f>
        <v>4</v>
      </c>
    </row>
    <row r="47" customFormat="false" ht="30" hidden="false" customHeight="true" outlineLevel="0" collapsed="false">
      <c r="A47" s="6" t="s">
        <v>222</v>
      </c>
      <c r="B47" s="6"/>
      <c r="C47" s="6"/>
      <c r="D47" s="6"/>
      <c r="E47" s="6"/>
      <c r="F47" s="6"/>
      <c r="G47" s="6"/>
      <c r="H47" s="6"/>
      <c r="I47" s="6"/>
    </row>
  </sheetData>
  <mergeCells count="16">
    <mergeCell ref="A11:G11"/>
    <mergeCell ref="A17:C17"/>
    <mergeCell ref="A18:C18"/>
    <mergeCell ref="A19:C19"/>
    <mergeCell ref="A20:C20"/>
    <mergeCell ref="A21:C21"/>
    <mergeCell ref="A22:C22"/>
    <mergeCell ref="A23:C23"/>
    <mergeCell ref="A24:C24"/>
    <mergeCell ref="A25:C25"/>
    <mergeCell ref="A26:C26"/>
    <mergeCell ref="A27:C27"/>
    <mergeCell ref="A28:C28"/>
    <mergeCell ref="A29:C29"/>
    <mergeCell ref="A30:E30"/>
    <mergeCell ref="A47:I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6" min="5" style="0" width="17"/>
    <col collapsed="false" customWidth="true" hidden="false" outlineLevel="0" max="7" min="7" style="0" width="15"/>
    <col collapsed="false" customWidth="true" hidden="false" outlineLevel="0" max="8" min="8" style="0" width="12"/>
  </cols>
  <sheetData>
    <row r="1" customFormat="false" ht="15" hidden="false" customHeight="false" outlineLevel="0" collapsed="false">
      <c r="A1" s="7" t="s">
        <v>26</v>
      </c>
    </row>
    <row r="2" customFormat="false" ht="15" hidden="false" customHeight="false" outlineLevel="0" collapsed="false">
      <c r="A2" s="8" t="s">
        <v>27</v>
      </c>
    </row>
    <row r="3" customFormat="false" ht="15" hidden="false" customHeight="false" outlineLevel="0" collapsed="false">
      <c r="A3" s="36" t="s">
        <v>223</v>
      </c>
    </row>
    <row r="5" customFormat="false" ht="30" hidden="false" customHeight="true" outlineLevel="0" collapsed="false">
      <c r="A5" s="2" t="s">
        <v>224</v>
      </c>
      <c r="B5" s="3" t="s">
        <v>225</v>
      </c>
      <c r="C5" s="3" t="s">
        <v>151</v>
      </c>
      <c r="D5" s="3" t="s">
        <v>134</v>
      </c>
      <c r="E5" s="3" t="s">
        <v>226</v>
      </c>
      <c r="F5" s="3" t="s">
        <v>227</v>
      </c>
    </row>
    <row r="6" customFormat="false" ht="15" hidden="false" customHeight="false" outlineLevel="0" collapsed="false">
      <c r="A6" s="15" t="n">
        <v>1</v>
      </c>
      <c r="B6" s="4" t="s">
        <v>79</v>
      </c>
      <c r="C6" s="21" t="n">
        <f aca="false">3_Pesos!F5</f>
        <v>0.0480992114015421</v>
      </c>
      <c r="D6" s="21" t="n">
        <f aca="false">INDEX(4_Normalizacion!$C$5:$Q$5,A6)</f>
        <v>113.714554917126</v>
      </c>
      <c r="E6" s="21" t="n">
        <f aca="false">C6*5/D6</f>
        <v>0.00211491006743141</v>
      </c>
      <c r="F6" s="21" t="n">
        <f aca="false">C6*1/D6</f>
        <v>0.000422982013486281</v>
      </c>
    </row>
    <row r="7" customFormat="false" ht="15" hidden="false" customHeight="false" outlineLevel="0" collapsed="false">
      <c r="A7" s="15" t="n">
        <v>2</v>
      </c>
      <c r="B7" s="4" t="s">
        <v>80</v>
      </c>
      <c r="C7" s="21" t="n">
        <f aca="false">3_Pesos!F6</f>
        <v>0.0049070120182445</v>
      </c>
      <c r="D7" s="21" t="n">
        <f aca="false">INDEX(4_Normalizacion!$C$5:$Q$5,A7)</f>
        <v>119.431989014669</v>
      </c>
      <c r="E7" s="21" t="n">
        <f aca="false">C7*5/D7</f>
        <v>0.00020543122737585</v>
      </c>
      <c r="F7" s="21" t="n">
        <f aca="false">C7*1/D7</f>
        <v>4.10862454751701E-005</v>
      </c>
    </row>
    <row r="8" customFormat="false" ht="15" hidden="false" customHeight="false" outlineLevel="0" collapsed="false">
      <c r="A8" s="15" t="n">
        <v>3</v>
      </c>
      <c r="B8" s="4" t="s">
        <v>81</v>
      </c>
      <c r="C8" s="21" t="n">
        <f aca="false">3_Pesos!F7</f>
        <v>0.0463398387420846</v>
      </c>
      <c r="D8" s="21" t="n">
        <f aca="false">INDEX(4_Normalizacion!$C$5:$Q$5,A8)</f>
        <v>99.8198377077422</v>
      </c>
      <c r="E8" s="21" t="n">
        <f aca="false">C8*5/D8</f>
        <v>0.00232117381706033</v>
      </c>
      <c r="F8" s="21" t="n">
        <f aca="false">C8*1/D8</f>
        <v>0.000464234763412067</v>
      </c>
    </row>
    <row r="9" customFormat="false" ht="15" hidden="false" customHeight="false" outlineLevel="0" collapsed="false">
      <c r="A9" s="15" t="n">
        <v>4</v>
      </c>
      <c r="B9" s="4" t="s">
        <v>82</v>
      </c>
      <c r="C9" s="21" t="n">
        <f aca="false">3_Pesos!F8</f>
        <v>0.0408362624840673</v>
      </c>
      <c r="D9" s="21" t="n">
        <f aca="false">INDEX(4_Normalizacion!$C$5:$Q$5,A9)</f>
        <v>101.202766760598</v>
      </c>
      <c r="E9" s="21" t="n">
        <f aca="false">C9*5/D9</f>
        <v>0.0020175467426038</v>
      </c>
      <c r="F9" s="21" t="n">
        <f aca="false">C9*1/D9</f>
        <v>0.00040350934852076</v>
      </c>
    </row>
    <row r="10" customFormat="false" ht="15" hidden="false" customHeight="false" outlineLevel="0" collapsed="false">
      <c r="A10" s="15" t="n">
        <v>5</v>
      </c>
      <c r="B10" s="4" t="s">
        <v>83</v>
      </c>
      <c r="C10" s="21" t="n">
        <f aca="false">3_Pesos!F9</f>
        <v>0.0068184283090322</v>
      </c>
      <c r="D10" s="21" t="n">
        <f aca="false">INDEX(4_Normalizacion!$C$5:$Q$5,A10)</f>
        <v>97.288231559629</v>
      </c>
      <c r="E10" s="21" t="n">
        <f aca="false">C10*5/D10</f>
        <v>0.000350424105759036</v>
      </c>
      <c r="F10" s="21" t="n">
        <f aca="false">C10*1/D10</f>
        <v>7.00848211518071E-005</v>
      </c>
    </row>
    <row r="11" customFormat="false" ht="15" hidden="false" customHeight="false" outlineLevel="0" collapsed="false">
      <c r="A11" s="15" t="n">
        <v>6</v>
      </c>
      <c r="B11" s="4" t="s">
        <v>84</v>
      </c>
      <c r="C11" s="21" t="n">
        <f aca="false">3_Pesos!F10</f>
        <v>0.132528224412115</v>
      </c>
      <c r="D11" s="21" t="n">
        <f aca="false">INDEX(4_Normalizacion!$C$5:$Q$5,A11)</f>
        <v>78.0704809771273</v>
      </c>
      <c r="E11" s="21" t="n">
        <f aca="false">C11*5/D11</f>
        <v>0.00848772946915379</v>
      </c>
      <c r="F11" s="21" t="n">
        <f aca="false">C11*1/D11</f>
        <v>0.00169754589383076</v>
      </c>
    </row>
    <row r="12" customFormat="false" ht="15" hidden="false" customHeight="false" outlineLevel="0" collapsed="false">
      <c r="A12" s="15" t="n">
        <v>7</v>
      </c>
      <c r="B12" s="4" t="s">
        <v>85</v>
      </c>
      <c r="C12" s="21" t="n">
        <f aca="false">3_Pesos!F11</f>
        <v>0.189686753569254</v>
      </c>
      <c r="D12" s="21" t="n">
        <f aca="false">INDEX(4_Normalizacion!$C$5:$Q$5,A12)</f>
        <v>67.483331275212</v>
      </c>
      <c r="E12" s="21" t="n">
        <f aca="false">C12*5/D12</f>
        <v>0.0140543412710073</v>
      </c>
      <c r="F12" s="21" t="n">
        <f aca="false">C12*1/D12</f>
        <v>0.00281086825420146</v>
      </c>
    </row>
    <row r="13" customFormat="false" ht="15" hidden="false" customHeight="false" outlineLevel="0" collapsed="false">
      <c r="A13" s="15" t="n">
        <v>8</v>
      </c>
      <c r="B13" s="4" t="s">
        <v>86</v>
      </c>
      <c r="C13" s="21" t="n">
        <f aca="false">3_Pesos!F12</f>
        <v>0.0072605832326279</v>
      </c>
      <c r="D13" s="21" t="n">
        <f aca="false">INDEX(4_Normalizacion!$C$5:$Q$5,A13)</f>
        <v>85.2291030106501</v>
      </c>
      <c r="E13" s="21" t="n">
        <f aca="false">C13*5/D13</f>
        <v>0.000425945069005398</v>
      </c>
      <c r="F13" s="21" t="n">
        <f aca="false">C13*1/D13</f>
        <v>8.51890138010796E-005</v>
      </c>
    </row>
    <row r="14" customFormat="false" ht="15" hidden="false" customHeight="false" outlineLevel="0" collapsed="false">
      <c r="A14" s="15" t="n">
        <v>9</v>
      </c>
      <c r="B14" s="4" t="s">
        <v>87</v>
      </c>
      <c r="C14" s="21" t="n">
        <f aca="false">3_Pesos!F13</f>
        <v>0.0009999598619625</v>
      </c>
      <c r="D14" s="21" t="n">
        <f aca="false">INDEX(4_Normalizacion!$C$5:$Q$5,A14)</f>
        <v>128.156154748806</v>
      </c>
      <c r="E14" s="21" t="n">
        <f aca="false">C14*5/D14</f>
        <v>3.90133374367575E-005</v>
      </c>
      <c r="F14" s="21" t="n">
        <f aca="false">C14*1/D14</f>
        <v>7.80266748735151E-006</v>
      </c>
    </row>
    <row r="15" customFormat="false" ht="15" hidden="false" customHeight="false" outlineLevel="0" collapsed="false">
      <c r="A15" s="15" t="n">
        <v>10</v>
      </c>
      <c r="B15" s="4" t="s">
        <v>88</v>
      </c>
      <c r="C15" s="21" t="n">
        <f aca="false">3_Pesos!F14</f>
        <v>0.037496842882217</v>
      </c>
      <c r="D15" s="21" t="n">
        <f aca="false">INDEX(4_Normalizacion!$C$5:$Q$5,A15)</f>
        <v>74.7865642077506</v>
      </c>
      <c r="E15" s="21" t="n">
        <f aca="false">C15*5/D15</f>
        <v>0.00250692375558623</v>
      </c>
      <c r="F15" s="21" t="n">
        <f aca="false">C15*1/D15</f>
        <v>0.000501384751117247</v>
      </c>
    </row>
    <row r="16" customFormat="false" ht="15" hidden="false" customHeight="false" outlineLevel="0" collapsed="false">
      <c r="A16" s="15" t="n">
        <v>11</v>
      </c>
      <c r="B16" s="4" t="s">
        <v>89</v>
      </c>
      <c r="C16" s="21" t="n">
        <f aca="false">3_Pesos!F15</f>
        <v>0.0186982574697103</v>
      </c>
      <c r="D16" s="21" t="n">
        <f aca="false">INDEX(4_Normalizacion!$C$5:$Q$5,A16)</f>
        <v>90.5227218768857</v>
      </c>
      <c r="E16" s="21" t="n">
        <f aca="false">C16*5/D16</f>
        <v>0.00103279359491314</v>
      </c>
      <c r="F16" s="21" t="n">
        <f aca="false">C16*1/D16</f>
        <v>0.000206558718982629</v>
      </c>
    </row>
    <row r="17" customFormat="false" ht="15" hidden="false" customHeight="false" outlineLevel="0" collapsed="false">
      <c r="A17" s="15" t="n">
        <v>12</v>
      </c>
      <c r="B17" s="4" t="s">
        <v>90</v>
      </c>
      <c r="C17" s="21" t="n">
        <f aca="false">3_Pesos!F16</f>
        <v>0.135577394415291</v>
      </c>
      <c r="D17" s="21" t="n">
        <f aca="false">INDEX(4_Normalizacion!$C$5:$Q$5,A17)</f>
        <v>89.2076229926569</v>
      </c>
      <c r="E17" s="21" t="n">
        <f aca="false">C17*5/D17</f>
        <v>0.0075989803262918</v>
      </c>
      <c r="F17" s="21" t="n">
        <f aca="false">C17*1/D17</f>
        <v>0.00151979606525836</v>
      </c>
    </row>
    <row r="18" customFormat="false" ht="15" hidden="false" customHeight="false" outlineLevel="0" collapsed="false">
      <c r="A18" s="15" t="n">
        <v>13</v>
      </c>
      <c r="B18" s="4" t="s">
        <v>91</v>
      </c>
      <c r="C18" s="21" t="n">
        <f aca="false">3_Pesos!F17</f>
        <v>0.0658891763117097</v>
      </c>
      <c r="D18" s="21" t="n">
        <f aca="false">INDEX(4_Normalizacion!$C$5:$Q$5,A18)</f>
        <v>32.8481354113137</v>
      </c>
      <c r="E18" s="21" t="n">
        <f aca="false">C18*5/D18</f>
        <v>0.0100293632327477</v>
      </c>
      <c r="F18" s="21" t="n">
        <f aca="false">C18*1/D18</f>
        <v>0.00200587264654955</v>
      </c>
    </row>
    <row r="19" customFormat="false" ht="15" hidden="false" customHeight="false" outlineLevel="0" collapsed="false">
      <c r="A19" s="15" t="n">
        <v>14</v>
      </c>
      <c r="B19" s="4" t="s">
        <v>92</v>
      </c>
      <c r="C19" s="21" t="n">
        <f aca="false">3_Pesos!F18</f>
        <v>0.0513149086011732</v>
      </c>
      <c r="D19" s="21" t="n">
        <f aca="false">INDEX(4_Normalizacion!$C$5:$Q$5,A19)</f>
        <v>37.7756535350482</v>
      </c>
      <c r="E19" s="21" t="n">
        <f aca="false">C19*5/D19</f>
        <v>0.00679206099684858</v>
      </c>
      <c r="F19" s="21" t="n">
        <f aca="false">C19*1/D19</f>
        <v>0.00135841219936972</v>
      </c>
    </row>
    <row r="20" customFormat="false" ht="15" hidden="false" customHeight="false" outlineLevel="0" collapsed="false">
      <c r="A20" s="17" t="n">
        <v>15</v>
      </c>
      <c r="B20" s="5" t="s">
        <v>93</v>
      </c>
      <c r="C20" s="27" t="n">
        <f aca="false">3_Pesos!F19</f>
        <v>0.213547146288968</v>
      </c>
      <c r="D20" s="27" t="n">
        <f aca="false">INDEX(4_Normalizacion!$C$5:$Q$5,A20)</f>
        <v>74.6860093993514</v>
      </c>
      <c r="E20" s="27" t="n">
        <f aca="false">C20*5/D20</f>
        <v>0.0142963285899449</v>
      </c>
      <c r="F20" s="27" t="n">
        <f aca="false">C20*1/D20</f>
        <v>0.00285926571798898</v>
      </c>
    </row>
    <row r="21" customFormat="false" ht="15" hidden="false" customHeight="false" outlineLevel="0" collapsed="false">
      <c r="A21" s="36" t="s">
        <v>228</v>
      </c>
    </row>
    <row r="23" customFormat="false" ht="15" hidden="false" customHeight="false" outlineLevel="0" collapsed="false">
      <c r="A23" s="7" t="s">
        <v>229</v>
      </c>
    </row>
    <row r="24" customFormat="false" ht="15" hidden="false" customHeight="false" outlineLevel="0" collapsed="false">
      <c r="A24" s="7" t="s">
        <v>77</v>
      </c>
      <c r="B24" s="37" t="n">
        <f aca="false">INDEX(6_Distancias_C!$A$5:$A$675,MATCH(MAX(6_Distancias_C!$E$5:$E$675),6_Distancias_C!$E$5:$E$675,0))</f>
        <v>367</v>
      </c>
      <c r="C24" s="38" t="s">
        <v>78</v>
      </c>
      <c r="D24" s="16" t="n">
        <f aca="false">INDEX(2_Matriz_decision!$B$5:$B$675,MATCH($B$24,2_Matriz_decision!$A$5:$A$675,0))</f>
        <v>36.928</v>
      </c>
    </row>
    <row r="25" customFormat="false" ht="30" hidden="false" customHeight="true" outlineLevel="0" collapsed="false">
      <c r="A25" s="2" t="s">
        <v>224</v>
      </c>
      <c r="B25" s="3" t="s">
        <v>225</v>
      </c>
      <c r="C25" s="3" t="s">
        <v>230</v>
      </c>
      <c r="D25" s="3" t="s">
        <v>231</v>
      </c>
      <c r="E25" s="3" t="s">
        <v>232</v>
      </c>
      <c r="F25" s="3" t="s">
        <v>233</v>
      </c>
      <c r="G25" s="3" t="s">
        <v>234</v>
      </c>
    </row>
    <row r="26" customFormat="false" ht="15" hidden="false" customHeight="false" outlineLevel="0" collapsed="false">
      <c r="A26" s="15" t="n">
        <v>1</v>
      </c>
      <c r="B26" s="4" t="str">
        <f aca="false">B6</f>
        <v>c_cambio_costa</v>
      </c>
      <c r="C26" s="16" t="n">
        <f aca="false">INDEX(2_Matriz_decision!$C$5:$Q$675,MATCH($B$24,2_Matriz_decision!$A$5:$A$675,0),A26)</f>
        <v>5</v>
      </c>
      <c r="D26" s="21" t="n">
        <f aca="false">C26/$D$6</f>
        <v>0.0439697451539424</v>
      </c>
      <c r="E26" s="21" t="n">
        <f aca="false">$C$6*D26</f>
        <v>0.00211491006743141</v>
      </c>
      <c r="F26" s="20" t="n">
        <f aca="false">(E26-$E$6)^2</f>
        <v>0</v>
      </c>
      <c r="G26" s="20" t="n">
        <f aca="false">(E26-$F$6)^2</f>
        <v>2.86262053972654E-006</v>
      </c>
    </row>
    <row r="27" customFormat="false" ht="15" hidden="false" customHeight="false" outlineLevel="0" collapsed="false">
      <c r="A27" s="15" t="n">
        <v>2</v>
      </c>
      <c r="B27" s="4" t="str">
        <f aca="false">B7</f>
        <v>c_geomorfologia</v>
      </c>
      <c r="C27" s="16" t="n">
        <f aca="false">INDEX(2_Matriz_decision!$C$5:$Q$675,MATCH($B$24,2_Matriz_decision!$A$5:$A$675,0),A27)</f>
        <v>5</v>
      </c>
      <c r="D27" s="21" t="n">
        <f aca="false">C27/$D$7</f>
        <v>0.0418648306977948</v>
      </c>
      <c r="E27" s="21" t="n">
        <f aca="false">$C$7*D27</f>
        <v>0.00020543122737585</v>
      </c>
      <c r="F27" s="20" t="n">
        <f aca="false">(E27-$E$7)^2</f>
        <v>0</v>
      </c>
      <c r="G27" s="20" t="n">
        <f aca="false">(E27-$F$7)^2</f>
        <v>2.70092730759349E-008</v>
      </c>
    </row>
    <row r="28" customFormat="false" ht="15" hidden="false" customHeight="false" outlineLevel="0" collapsed="false">
      <c r="A28" s="15" t="n">
        <v>3</v>
      </c>
      <c r="B28" s="4" t="str">
        <f aca="false">B8</f>
        <v>c_elevacion</v>
      </c>
      <c r="C28" s="16" t="n">
        <f aca="false">INDEX(2_Matriz_decision!$C$5:$Q$675,MATCH($B$24,2_Matriz_decision!$A$5:$A$675,0),A28)</f>
        <v>5</v>
      </c>
      <c r="D28" s="21" t="n">
        <f aca="false">C28/$D$8</f>
        <v>0.0500902437313038</v>
      </c>
      <c r="E28" s="21" t="n">
        <f aca="false">$C$8*D28</f>
        <v>0.00232117381706033</v>
      </c>
      <c r="F28" s="20" t="n">
        <f aca="false">(E28-$E$8)^2</f>
        <v>0</v>
      </c>
      <c r="G28" s="20" t="n">
        <f aca="false">(E28-$F$8)^2</f>
        <v>3.44822264896412E-006</v>
      </c>
    </row>
    <row r="29" customFormat="false" ht="15" hidden="false" customHeight="false" outlineLevel="0" collapsed="false">
      <c r="A29" s="15" t="n">
        <v>4</v>
      </c>
      <c r="B29" s="4" t="str">
        <f aca="false">B9</f>
        <v>c_pendiente</v>
      </c>
      <c r="C29" s="16" t="n">
        <f aca="false">INDEX(2_Matriz_decision!$C$5:$Q$675,MATCH($B$24,2_Matriz_decision!$A$5:$A$675,0),A29)</f>
        <v>5</v>
      </c>
      <c r="D29" s="21" t="n">
        <f aca="false">C29/$D$9</f>
        <v>0.0494057638940627</v>
      </c>
      <c r="E29" s="21" t="n">
        <f aca="false">$C$9*D29</f>
        <v>0.0020175467426038</v>
      </c>
      <c r="F29" s="20" t="n">
        <f aca="false">(E29-$E$9)^2</f>
        <v>0</v>
      </c>
      <c r="G29" s="20" t="n">
        <f aca="false">(E29-$F$9)^2</f>
        <v>2.60511670949837E-006</v>
      </c>
    </row>
    <row r="30" customFormat="false" ht="15" hidden="false" customHeight="false" outlineLevel="0" collapsed="false">
      <c r="A30" s="15" t="n">
        <v>5</v>
      </c>
      <c r="B30" s="4" t="str">
        <f aca="false">B10</f>
        <v>c_pendiente_playa</v>
      </c>
      <c r="C30" s="16" t="n">
        <f aca="false">INDEX(2_Matriz_decision!$C$5:$Q$675,MATCH($B$24,2_Matriz_decision!$A$5:$A$675,0),A30)</f>
        <v>4</v>
      </c>
      <c r="D30" s="21" t="n">
        <f aca="false">C30/$D$10</f>
        <v>0.0411149420220302</v>
      </c>
      <c r="E30" s="21" t="n">
        <f aca="false">$C$10*D30</f>
        <v>0.000280339284607229</v>
      </c>
      <c r="F30" s="20" t="n">
        <f aca="false">(E30-$E$10)^2</f>
        <v>4.9118821558808E-009</v>
      </c>
      <c r="G30" s="20" t="n">
        <f aca="false">(E30-$F$10)^2</f>
        <v>4.42069394029271E-008</v>
      </c>
    </row>
    <row r="31" customFormat="false" ht="15" hidden="false" customHeight="false" outlineLevel="0" collapsed="false">
      <c r="A31" s="15" t="n">
        <v>6</v>
      </c>
      <c r="B31" s="4" t="str">
        <f aca="false">B11</f>
        <v>c_oleaje</v>
      </c>
      <c r="C31" s="16" t="n">
        <f aca="false">INDEX(2_Matriz_decision!$C$5:$Q$675,MATCH($B$24,2_Matriz_decision!$A$5:$A$675,0),A31)</f>
        <v>2</v>
      </c>
      <c r="D31" s="21" t="n">
        <f aca="false">C31/$D$11</f>
        <v>0.0256178772689507</v>
      </c>
      <c r="E31" s="21" t="n">
        <f aca="false">$C$11*D31</f>
        <v>0.00339509178766152</v>
      </c>
      <c r="F31" s="20" t="n">
        <f aca="false">(E31-$E$11)^2</f>
        <v>2.5934958554955E-005</v>
      </c>
      <c r="G31" s="20" t="n">
        <f aca="false">(E31-$F$11)^2</f>
        <v>2.88166206166167E-006</v>
      </c>
    </row>
    <row r="32" customFormat="false" ht="15" hidden="false" customHeight="false" outlineLevel="0" collapsed="false">
      <c r="A32" s="15" t="n">
        <v>7</v>
      </c>
      <c r="B32" s="4" t="str">
        <f aca="false">B12</f>
        <v>c_nivel_mar</v>
      </c>
      <c r="C32" s="16" t="n">
        <f aca="false">INDEX(2_Matriz_decision!$C$5:$Q$675,MATCH($B$24,2_Matriz_decision!$A$5:$A$675,0),A32)</f>
        <v>5</v>
      </c>
      <c r="D32" s="21" t="n">
        <f aca="false">C32/$D$12</f>
        <v>0.0740923707457312</v>
      </c>
      <c r="E32" s="21" t="n">
        <f aca="false">$C$12*D32</f>
        <v>0.0140543412710073</v>
      </c>
      <c r="F32" s="20" t="n">
        <f aca="false">(E32-$E$12)^2</f>
        <v>0</v>
      </c>
      <c r="G32" s="20" t="n">
        <f aca="false">(E32-$F$12)^2</f>
        <v>0.000126415685479641</v>
      </c>
    </row>
    <row r="33" customFormat="false" ht="15" hidden="false" customHeight="false" outlineLevel="0" collapsed="false">
      <c r="A33" s="15" t="n">
        <v>8</v>
      </c>
      <c r="B33" s="4" t="str">
        <f aca="false">B13</f>
        <v>c_granulometria</v>
      </c>
      <c r="C33" s="16" t="n">
        <f aca="false">INDEX(2_Matriz_decision!$C$5:$Q$675,MATCH($B$24,2_Matriz_decision!$A$5:$A$675,0),A33)</f>
        <v>3</v>
      </c>
      <c r="D33" s="21" t="n">
        <f aca="false">C33/$D$13</f>
        <v>0.0351992440847949</v>
      </c>
      <c r="E33" s="21" t="n">
        <f aca="false">$C$13*D33</f>
        <v>0.000255567041403239</v>
      </c>
      <c r="F33" s="20" t="n">
        <f aca="false">(E33-$E$13)^2</f>
        <v>2.90286722896021E-008</v>
      </c>
      <c r="G33" s="20" t="n">
        <f aca="false">(E33-$F$13)^2</f>
        <v>2.90286722896021E-008</v>
      </c>
    </row>
    <row r="34" customFormat="false" ht="15" hidden="false" customHeight="false" outlineLevel="0" collapsed="false">
      <c r="A34" s="15" t="n">
        <v>9</v>
      </c>
      <c r="B34" s="4" t="str">
        <f aca="false">B14</f>
        <v>c_sustrato</v>
      </c>
      <c r="C34" s="16" t="n">
        <f aca="false">INDEX(2_Matriz_decision!$C$5:$Q$675,MATCH($B$24,2_Matriz_decision!$A$5:$A$675,0),A34)</f>
        <v>5</v>
      </c>
      <c r="D34" s="21" t="n">
        <f aca="false">C34/$D$14</f>
        <v>0.039014903418414</v>
      </c>
      <c r="E34" s="21" t="n">
        <f aca="false">$C$14*D34</f>
        <v>3.90133374367575E-005</v>
      </c>
      <c r="F34" s="20" t="n">
        <f aca="false">(E34-$E$14)^2</f>
        <v>0</v>
      </c>
      <c r="G34" s="20" t="n">
        <f aca="false">(E34-$F$14)^2</f>
        <v>9.74105918690757E-010</v>
      </c>
    </row>
    <row r="35" customFormat="false" ht="15" hidden="false" customHeight="false" outlineLevel="0" collapsed="false">
      <c r="A35" s="15" t="n">
        <v>10</v>
      </c>
      <c r="B35" s="4" t="str">
        <f aca="false">B15</f>
        <v>c_cobertura</v>
      </c>
      <c r="C35" s="16" t="n">
        <f aca="false">INDEX(2_Matriz_decision!$C$5:$Q$675,MATCH($B$24,2_Matriz_decision!$A$5:$A$675,0),A35)</f>
        <v>3.317</v>
      </c>
      <c r="D35" s="21" t="n">
        <f aca="false">C35/$D$15</f>
        <v>0.0443528865798095</v>
      </c>
      <c r="E35" s="21" t="n">
        <f aca="false">$C$15*D35</f>
        <v>0.00166309321945591</v>
      </c>
      <c r="F35" s="20" t="n">
        <f aca="false">(E35-$E$15)^2</f>
        <v>7.12049973705993E-007</v>
      </c>
      <c r="G35" s="20" t="n">
        <f aca="false">(E35-$F$15)^2</f>
        <v>1.34956656540976E-006</v>
      </c>
    </row>
    <row r="36" customFormat="false" ht="15" hidden="false" customHeight="false" outlineLevel="0" collapsed="false">
      <c r="A36" s="15" t="n">
        <v>11</v>
      </c>
      <c r="B36" s="4" t="str">
        <f aca="false">B16</f>
        <v>c_uso_suelo</v>
      </c>
      <c r="C36" s="16" t="n">
        <f aca="false">INDEX(2_Matriz_decision!$C$5:$Q$675,MATCH($B$24,2_Matriz_decision!$A$5:$A$675,0),A36)</f>
        <v>2.422</v>
      </c>
      <c r="D36" s="21" t="n">
        <f aca="false">C36/$D$16</f>
        <v>0.0267557133698875</v>
      </c>
      <c r="E36" s="21" t="n">
        <f aca="false">$C$16*D36</f>
        <v>0.000500285217375927</v>
      </c>
      <c r="F36" s="20" t="n">
        <f aca="false">(E36-$E$16)^2</f>
        <v>2.83565172147319E-007</v>
      </c>
      <c r="G36" s="20" t="n">
        <f aca="false">(E36-$F$16)^2</f>
        <v>8.62752558583882E-008</v>
      </c>
    </row>
    <row r="37" customFormat="false" ht="15" hidden="false" customHeight="false" outlineLevel="0" collapsed="false">
      <c r="A37" s="15" t="n">
        <v>12</v>
      </c>
      <c r="B37" s="4" t="str">
        <f aca="false">B17</f>
        <v>c_dist_ruta90</v>
      </c>
      <c r="C37" s="16" t="n">
        <f aca="false">INDEX(2_Matriz_decision!$C$5:$Q$675,MATCH($B$24,2_Matriz_decision!$A$5:$A$675,0),A37)</f>
        <v>5</v>
      </c>
      <c r="D37" s="21" t="n">
        <f aca="false">C37/$D$17</f>
        <v>0.0560490217345168</v>
      </c>
      <c r="E37" s="21" t="n">
        <f aca="false">$C$17*D37</f>
        <v>0.0075989803262918</v>
      </c>
      <c r="F37" s="20" t="n">
        <f aca="false">(E37-$E$17)^2</f>
        <v>0</v>
      </c>
      <c r="G37" s="20" t="n">
        <f aca="false">(E37-$F$17)^2</f>
        <v>3.69564812795967E-005</v>
      </c>
    </row>
    <row r="38" customFormat="false" ht="15" hidden="false" customHeight="false" outlineLevel="0" collapsed="false">
      <c r="A38" s="15" t="n">
        <v>13</v>
      </c>
      <c r="B38" s="4" t="str">
        <f aca="false">B18</f>
        <v>c_vivienda</v>
      </c>
      <c r="C38" s="16" t="n">
        <f aca="false">INDEX(2_Matriz_decision!$C$5:$Q$675,MATCH($B$24,2_Matriz_decision!$A$5:$A$675,0),A38)</f>
        <v>1</v>
      </c>
      <c r="D38" s="21" t="n">
        <f aca="false">C38/$D$18</f>
        <v>0.0304431282773992</v>
      </c>
      <c r="E38" s="21" t="n">
        <f aca="false">$C$18*D38</f>
        <v>0.00200587264654955</v>
      </c>
      <c r="F38" s="20" t="n">
        <f aca="false">(E38-$E$18)^2</f>
        <v>6.4376401186811E-005</v>
      </c>
      <c r="G38" s="20" t="n">
        <f aca="false">(E38-$F$18)^2</f>
        <v>0</v>
      </c>
    </row>
    <row r="39" customFormat="false" ht="15" hidden="false" customHeight="false" outlineLevel="0" collapsed="false">
      <c r="A39" s="15" t="n">
        <v>14</v>
      </c>
      <c r="B39" s="4" t="str">
        <f aca="false">B19</f>
        <v>c_densidad_pob</v>
      </c>
      <c r="C39" s="16" t="n">
        <f aca="false">INDEX(2_Matriz_decision!$C$5:$Q$675,MATCH($B$24,2_Matriz_decision!$A$5:$A$675,0),A39)</f>
        <v>1</v>
      </c>
      <c r="D39" s="21" t="n">
        <f aca="false">C39/$D$19</f>
        <v>0.0264720767589686</v>
      </c>
      <c r="E39" s="21" t="n">
        <f aca="false">$C$19*D39</f>
        <v>0.00135841219936972</v>
      </c>
      <c r="F39" s="20" t="n">
        <f aca="false">(E39-$E$19)^2</f>
        <v>2.95245392543435E-005</v>
      </c>
      <c r="G39" s="20" t="n">
        <f aca="false">(E39-$F$19)^2</f>
        <v>0</v>
      </c>
    </row>
    <row r="40" customFormat="false" ht="15" hidden="false" customHeight="false" outlineLevel="0" collapsed="false">
      <c r="A40" s="17" t="n">
        <v>15</v>
      </c>
      <c r="B40" s="5" t="str">
        <f aca="false">B20</f>
        <v>c_ancho_barra</v>
      </c>
      <c r="C40" s="18" t="n">
        <f aca="false">INDEX(2_Matriz_decision!$C$5:$Q$675,MATCH($B$24,2_Matriz_decision!$A$5:$A$675,0),A40)</f>
        <v>5</v>
      </c>
      <c r="D40" s="27" t="n">
        <f aca="false">C40/$D$20</f>
        <v>0.066946942810462</v>
      </c>
      <c r="E40" s="27" t="n">
        <f aca="false">$C$20*D40</f>
        <v>0.0142963285899449</v>
      </c>
      <c r="F40" s="39" t="n">
        <f aca="false">(E40-$E$20)^2</f>
        <v>0</v>
      </c>
      <c r="G40" s="39" t="n">
        <f aca="false">(E40-$F$20)^2</f>
        <v>0.000130806407137073</v>
      </c>
    </row>
    <row r="41" customFormat="false" ht="15" hidden="false" customHeight="false" outlineLevel="0" collapsed="false">
      <c r="B41" s="4" t="s">
        <v>235</v>
      </c>
      <c r="F41" s="40" t="n">
        <f aca="false">SUM(F26:F40)</f>
        <v>0.000120865454696408</v>
      </c>
      <c r="G41" s="40" t="n">
        <f aca="false">SUM(G26:G40)</f>
        <v>0.000307513256668117</v>
      </c>
      <c r="H41" s="36" t="s">
        <v>236</v>
      </c>
    </row>
    <row r="42" customFormat="false" ht="15" hidden="false" customHeight="false" outlineLevel="0" collapsed="false">
      <c r="B42" s="7" t="s">
        <v>237</v>
      </c>
      <c r="D42" s="26" t="n">
        <f aca="false">SQRT(F41)</f>
        <v>0.0109938826033576</v>
      </c>
      <c r="E42" s="36" t="s">
        <v>238</v>
      </c>
    </row>
    <row r="43" customFormat="false" ht="15" hidden="false" customHeight="false" outlineLevel="0" collapsed="false">
      <c r="B43" s="7" t="s">
        <v>239</v>
      </c>
      <c r="D43" s="26" t="n">
        <f aca="false">SQRT(G41)</f>
        <v>0.0175360559039972</v>
      </c>
      <c r="E43" s="36" t="s">
        <v>240</v>
      </c>
    </row>
    <row r="44" customFormat="false" ht="15" hidden="false" customHeight="false" outlineLevel="0" collapsed="false">
      <c r="B44" s="7" t="s">
        <v>157</v>
      </c>
      <c r="D44" s="26" t="n">
        <f aca="false">D43/(D42+D43)</f>
        <v>0.614654528592011</v>
      </c>
      <c r="E44" s="36" t="s">
        <v>241</v>
      </c>
    </row>
    <row r="45" customFormat="false" ht="15" hidden="false" customHeight="false" outlineLevel="0" collapsed="false">
      <c r="B45" s="7" t="s">
        <v>158</v>
      </c>
      <c r="D45" s="41" t="n">
        <f aca="false">MIN(5,INT(D44/0.2)+1)</f>
        <v>4</v>
      </c>
      <c r="E45" s="36" t="s">
        <v>242</v>
      </c>
    </row>
    <row r="46" customFormat="false" ht="15" hidden="false" customHeight="false" outlineLevel="0" collapsed="false">
      <c r="B46" s="4" t="s">
        <v>243</v>
      </c>
      <c r="D46" s="21" t="n">
        <f aca="false">INDEX(6_Distancias_C!$E$5:$E$675,MATCH($B$24,6_Distancias_C!$A$5:$A$675,0))</f>
        <v>0.614654528592011</v>
      </c>
      <c r="E46" s="36" t="s">
        <v>244</v>
      </c>
    </row>
    <row r="47" customFormat="false" ht="15" hidden="false" customHeight="false" outlineLevel="0" collapsed="false">
      <c r="B47" s="4" t="s">
        <v>245</v>
      </c>
      <c r="D47" s="21" t="n">
        <f aca="false">INDEX(6_Distancias_C!$G$5:$G$675,MATCH($B$24,6_Distancias_C!$A$5:$A$675,0))</f>
        <v>0.614654528592011</v>
      </c>
      <c r="E47" s="36" t="s">
        <v>246</v>
      </c>
    </row>
    <row r="48" customFormat="false" ht="15" hidden="false" customHeight="false" outlineLevel="0" collapsed="false">
      <c r="B48" s="4" t="s">
        <v>247</v>
      </c>
      <c r="D48" s="28" t="n">
        <f aca="false">ABS(D44-D47)</f>
        <v>0</v>
      </c>
      <c r="E48" s="36" t="s">
        <v>248</v>
      </c>
    </row>
    <row r="51" customFormat="false" ht="15" hidden="false" customHeight="false" outlineLevel="0" collapsed="false">
      <c r="A51" s="7" t="s">
        <v>249</v>
      </c>
    </row>
    <row r="52" customFormat="false" ht="15" hidden="false" customHeight="false" outlineLevel="0" collapsed="false">
      <c r="A52" s="7" t="s">
        <v>77</v>
      </c>
      <c r="B52" s="37" t="n">
        <f aca="false">INDEX(6_Distancias_C!$A$5:$A$675,MATCH(MEDIAN(6_Distancias_C!$E$5:$E$675),6_Distancias_C!$E$5:$E$675,0))</f>
        <v>634</v>
      </c>
      <c r="C52" s="38" t="s">
        <v>78</v>
      </c>
      <c r="D52" s="16" t="n">
        <f aca="false">INDEX(2_Matriz_decision!$B$5:$B$675,MATCH($B$52,2_Matriz_decision!$A$5:$A$675,0))</f>
        <v>63.576</v>
      </c>
    </row>
    <row r="53" customFormat="false" ht="30" hidden="false" customHeight="true" outlineLevel="0" collapsed="false">
      <c r="A53" s="2" t="s">
        <v>224</v>
      </c>
      <c r="B53" s="3" t="s">
        <v>225</v>
      </c>
      <c r="C53" s="3" t="s">
        <v>230</v>
      </c>
      <c r="D53" s="3" t="s">
        <v>231</v>
      </c>
      <c r="E53" s="3" t="s">
        <v>232</v>
      </c>
      <c r="F53" s="3" t="s">
        <v>233</v>
      </c>
      <c r="G53" s="3" t="s">
        <v>234</v>
      </c>
    </row>
    <row r="54" customFormat="false" ht="15" hidden="false" customHeight="false" outlineLevel="0" collapsed="false">
      <c r="A54" s="15" t="n">
        <v>1</v>
      </c>
      <c r="B54" s="4" t="str">
        <f aca="false">B6</f>
        <v>c_cambio_costa</v>
      </c>
      <c r="C54" s="16" t="n">
        <f aca="false">INDEX(2_Matriz_decision!$C$5:$Q$675,MATCH($B$52,2_Matriz_decision!$A$5:$A$675,0),A54)</f>
        <v>1</v>
      </c>
      <c r="D54" s="21" t="n">
        <f aca="false">C54/$D$6</f>
        <v>0.00879394903078847</v>
      </c>
      <c r="E54" s="21" t="n">
        <f aca="false">$C$6*D54</f>
        <v>0.000422982013486281</v>
      </c>
      <c r="F54" s="20" t="n">
        <f aca="false">(E54-$E$6)^2</f>
        <v>2.86262053972653E-006</v>
      </c>
      <c r="G54" s="20" t="n">
        <f aca="false">(E54-$F$6)^2</f>
        <v>0</v>
      </c>
    </row>
    <row r="55" customFormat="false" ht="15" hidden="false" customHeight="false" outlineLevel="0" collapsed="false">
      <c r="A55" s="15" t="n">
        <v>2</v>
      </c>
      <c r="B55" s="4" t="str">
        <f aca="false">B7</f>
        <v>c_geomorfologia</v>
      </c>
      <c r="C55" s="16" t="n">
        <f aca="false">INDEX(2_Matriz_decision!$C$5:$Q$675,MATCH($B$52,2_Matriz_decision!$A$5:$A$675,0),A55)</f>
        <v>5</v>
      </c>
      <c r="D55" s="21" t="n">
        <f aca="false">C55/$D$7</f>
        <v>0.0418648306977948</v>
      </c>
      <c r="E55" s="21" t="n">
        <f aca="false">$C$7*D55</f>
        <v>0.00020543122737585</v>
      </c>
      <c r="F55" s="20" t="n">
        <f aca="false">(E55-$E$7)^2</f>
        <v>0</v>
      </c>
      <c r="G55" s="20" t="n">
        <f aca="false">(E55-$F$7)^2</f>
        <v>2.70092730759349E-008</v>
      </c>
    </row>
    <row r="56" customFormat="false" ht="15" hidden="false" customHeight="false" outlineLevel="0" collapsed="false">
      <c r="A56" s="15" t="n">
        <v>3</v>
      </c>
      <c r="B56" s="4" t="str">
        <f aca="false">B8</f>
        <v>c_elevacion</v>
      </c>
      <c r="C56" s="16" t="n">
        <f aca="false">INDEX(2_Matriz_decision!$C$5:$Q$675,MATCH($B$52,2_Matriz_decision!$A$5:$A$675,0),A56)</f>
        <v>3</v>
      </c>
      <c r="D56" s="21" t="n">
        <f aca="false">C56/$D$8</f>
        <v>0.0300541462387823</v>
      </c>
      <c r="E56" s="21" t="n">
        <f aca="false">$C$8*D56</f>
        <v>0.0013927042902362</v>
      </c>
      <c r="F56" s="20" t="n">
        <f aca="false">(E56-$E$8)^2</f>
        <v>8.6205566224103E-007</v>
      </c>
      <c r="G56" s="20" t="n">
        <f aca="false">(E56-$F$8)^2</f>
        <v>8.6205566224103E-007</v>
      </c>
    </row>
    <row r="57" customFormat="false" ht="15" hidden="false" customHeight="false" outlineLevel="0" collapsed="false">
      <c r="A57" s="15" t="n">
        <v>4</v>
      </c>
      <c r="B57" s="4" t="str">
        <f aca="false">B9</f>
        <v>c_pendiente</v>
      </c>
      <c r="C57" s="16" t="n">
        <f aca="false">INDEX(2_Matriz_decision!$C$5:$Q$675,MATCH($B$52,2_Matriz_decision!$A$5:$A$675,0),A57)</f>
        <v>4</v>
      </c>
      <c r="D57" s="21" t="n">
        <f aca="false">C57/$D$9</f>
        <v>0.0395246111152501</v>
      </c>
      <c r="E57" s="21" t="n">
        <f aca="false">$C$9*D57</f>
        <v>0.00161403739408304</v>
      </c>
      <c r="F57" s="20" t="n">
        <f aca="false">(E57-$E$9)^2</f>
        <v>1.62819794343648E-007</v>
      </c>
      <c r="G57" s="20" t="n">
        <f aca="false">(E57-$F$9)^2</f>
        <v>1.46537814909283E-006</v>
      </c>
    </row>
    <row r="58" customFormat="false" ht="15" hidden="false" customHeight="false" outlineLevel="0" collapsed="false">
      <c r="A58" s="15" t="n">
        <v>5</v>
      </c>
      <c r="B58" s="4" t="str">
        <f aca="false">B10</f>
        <v>c_pendiente_playa</v>
      </c>
      <c r="C58" s="16" t="n">
        <f aca="false">INDEX(2_Matriz_decision!$C$5:$Q$675,MATCH($B$52,2_Matriz_decision!$A$5:$A$675,0),A58)</f>
        <v>3</v>
      </c>
      <c r="D58" s="21" t="n">
        <f aca="false">C58/$D$10</f>
        <v>0.0308362065165227</v>
      </c>
      <c r="E58" s="21" t="n">
        <f aca="false">$C$10*D58</f>
        <v>0.000210254463455421</v>
      </c>
      <c r="F58" s="20" t="n">
        <f aca="false">(E58-$E$10)^2</f>
        <v>1.96475286235232E-008</v>
      </c>
      <c r="G58" s="20" t="n">
        <f aca="false">(E58-$F$10)^2</f>
        <v>1.96475286235232E-008</v>
      </c>
    </row>
    <row r="59" customFormat="false" ht="15" hidden="false" customHeight="false" outlineLevel="0" collapsed="false">
      <c r="A59" s="15" t="n">
        <v>6</v>
      </c>
      <c r="B59" s="4" t="str">
        <f aca="false">B11</f>
        <v>c_oleaje</v>
      </c>
      <c r="C59" s="16" t="n">
        <f aca="false">INDEX(2_Matriz_decision!$C$5:$Q$675,MATCH($B$52,2_Matriz_decision!$A$5:$A$675,0),A59)</f>
        <v>1</v>
      </c>
      <c r="D59" s="21" t="n">
        <f aca="false">C59/$D$11</f>
        <v>0.0128089386344754</v>
      </c>
      <c r="E59" s="21" t="n">
        <f aca="false">$C$11*D59</f>
        <v>0.00169754589383076</v>
      </c>
      <c r="F59" s="20" t="n">
        <f aca="false">(E59-$E$11)^2</f>
        <v>4.61065929865867E-005</v>
      </c>
      <c r="G59" s="20" t="n">
        <f aca="false">(E59-$F$11)^2</f>
        <v>0</v>
      </c>
    </row>
    <row r="60" customFormat="false" ht="15" hidden="false" customHeight="false" outlineLevel="0" collapsed="false">
      <c r="A60" s="15" t="n">
        <v>7</v>
      </c>
      <c r="B60" s="4" t="str">
        <f aca="false">B12</f>
        <v>c_nivel_mar</v>
      </c>
      <c r="C60" s="16" t="n">
        <f aca="false">INDEX(2_Matriz_decision!$C$5:$Q$675,MATCH($B$52,2_Matriz_decision!$A$5:$A$675,0),A60)</f>
        <v>1</v>
      </c>
      <c r="D60" s="21" t="n">
        <f aca="false">C60/$D$12</f>
        <v>0.0148184741491462</v>
      </c>
      <c r="E60" s="21" t="n">
        <f aca="false">$C$12*D60</f>
        <v>0.00281086825420146</v>
      </c>
      <c r="F60" s="20" t="n">
        <f aca="false">(E60-$E$12)^2</f>
        <v>0.000126415685479641</v>
      </c>
      <c r="G60" s="20" t="n">
        <f aca="false">(E60-$F$12)^2</f>
        <v>0</v>
      </c>
    </row>
    <row r="61" customFormat="false" ht="15" hidden="false" customHeight="false" outlineLevel="0" collapsed="false">
      <c r="A61" s="15" t="n">
        <v>8</v>
      </c>
      <c r="B61" s="4" t="str">
        <f aca="false">B13</f>
        <v>c_granulometria</v>
      </c>
      <c r="C61" s="16" t="n">
        <f aca="false">INDEX(2_Matriz_decision!$C$5:$Q$675,MATCH($B$52,2_Matriz_decision!$A$5:$A$675,0),A61)</f>
        <v>3</v>
      </c>
      <c r="D61" s="21" t="n">
        <f aca="false">C61/$D$13</f>
        <v>0.0351992440847949</v>
      </c>
      <c r="E61" s="21" t="n">
        <f aca="false">$C$13*D61</f>
        <v>0.000255567041403239</v>
      </c>
      <c r="F61" s="20" t="n">
        <f aca="false">(E61-$E$13)^2</f>
        <v>2.90286722896021E-008</v>
      </c>
      <c r="G61" s="20" t="n">
        <f aca="false">(E61-$F$13)^2</f>
        <v>2.90286722896021E-008</v>
      </c>
    </row>
    <row r="62" customFormat="false" ht="15" hidden="false" customHeight="false" outlineLevel="0" collapsed="false">
      <c r="A62" s="15" t="n">
        <v>9</v>
      </c>
      <c r="B62" s="4" t="str">
        <f aca="false">B14</f>
        <v>c_sustrato</v>
      </c>
      <c r="C62" s="16" t="n">
        <f aca="false">INDEX(2_Matriz_decision!$C$5:$Q$675,MATCH($B$52,2_Matriz_decision!$A$5:$A$675,0),A62)</f>
        <v>5</v>
      </c>
      <c r="D62" s="21" t="n">
        <f aca="false">C62/$D$14</f>
        <v>0.039014903418414</v>
      </c>
      <c r="E62" s="21" t="n">
        <f aca="false">$C$14*D62</f>
        <v>3.90133374367575E-005</v>
      </c>
      <c r="F62" s="20" t="n">
        <f aca="false">(E62-$E$14)^2</f>
        <v>0</v>
      </c>
      <c r="G62" s="20" t="n">
        <f aca="false">(E62-$F$14)^2</f>
        <v>9.74105918690757E-010</v>
      </c>
    </row>
    <row r="63" customFormat="false" ht="15" hidden="false" customHeight="false" outlineLevel="0" collapsed="false">
      <c r="A63" s="15" t="n">
        <v>10</v>
      </c>
      <c r="B63" s="4" t="str">
        <f aca="false">B15</f>
        <v>c_cobertura</v>
      </c>
      <c r="C63" s="16" t="n">
        <f aca="false">INDEX(2_Matriz_decision!$C$5:$Q$675,MATCH($B$52,2_Matriz_decision!$A$5:$A$675,0),A63)</f>
        <v>4.574</v>
      </c>
      <c r="D63" s="21" t="n">
        <f aca="false">C63/$D$15</f>
        <v>0.061160718485393</v>
      </c>
      <c r="E63" s="21" t="n">
        <f aca="false">$C$15*D63</f>
        <v>0.00229333385161029</v>
      </c>
      <c r="F63" s="20" t="n">
        <f aca="false">(E63-$E$15)^2</f>
        <v>4.56206470804542E-008</v>
      </c>
      <c r="G63" s="20" t="n">
        <f aca="false">(E63-$F$15)^2</f>
        <v>3.21108157875781E-006</v>
      </c>
    </row>
    <row r="64" customFormat="false" ht="15" hidden="false" customHeight="false" outlineLevel="0" collapsed="false">
      <c r="A64" s="15" t="n">
        <v>11</v>
      </c>
      <c r="B64" s="4" t="str">
        <f aca="false">B16</f>
        <v>c_uso_suelo</v>
      </c>
      <c r="C64" s="16" t="n">
        <f aca="false">INDEX(2_Matriz_decision!$C$5:$Q$675,MATCH($B$52,2_Matriz_decision!$A$5:$A$675,0),A64)</f>
        <v>4.863</v>
      </c>
      <c r="D64" s="21" t="n">
        <f aca="false">C64/$D$16</f>
        <v>0.0537213187934612</v>
      </c>
      <c r="E64" s="21" t="n">
        <f aca="false">$C$16*D64</f>
        <v>0.00100449505041252</v>
      </c>
      <c r="F64" s="20" t="n">
        <f aca="false">(E64-$E$16)^2</f>
        <v>8.00807620853564E-010</v>
      </c>
      <c r="G64" s="20" t="n">
        <f aca="false">(E64-$F$16)^2</f>
        <v>6.367023890158E-007</v>
      </c>
    </row>
    <row r="65" customFormat="false" ht="15" hidden="false" customHeight="false" outlineLevel="0" collapsed="false">
      <c r="A65" s="15" t="n">
        <v>12</v>
      </c>
      <c r="B65" s="4" t="str">
        <f aca="false">B17</f>
        <v>c_dist_ruta90</v>
      </c>
      <c r="C65" s="16" t="n">
        <f aca="false">INDEX(2_Matriz_decision!$C$5:$Q$675,MATCH($B$52,2_Matriz_decision!$A$5:$A$675,0),A65)</f>
        <v>5</v>
      </c>
      <c r="D65" s="21" t="n">
        <f aca="false">C65/$D$17</f>
        <v>0.0560490217345168</v>
      </c>
      <c r="E65" s="21" t="n">
        <f aca="false">$C$17*D65</f>
        <v>0.0075989803262918</v>
      </c>
      <c r="F65" s="20" t="n">
        <f aca="false">(E65-$E$17)^2</f>
        <v>0</v>
      </c>
      <c r="G65" s="20" t="n">
        <f aca="false">(E65-$F$17)^2</f>
        <v>3.69564812795967E-005</v>
      </c>
    </row>
    <row r="66" customFormat="false" ht="15" hidden="false" customHeight="false" outlineLevel="0" collapsed="false">
      <c r="A66" s="15" t="n">
        <v>13</v>
      </c>
      <c r="B66" s="4" t="str">
        <f aca="false">B18</f>
        <v>c_vivienda</v>
      </c>
      <c r="C66" s="16" t="n">
        <f aca="false">INDEX(2_Matriz_decision!$C$5:$Q$675,MATCH($B$52,2_Matriz_decision!$A$5:$A$675,0),A66)</f>
        <v>4</v>
      </c>
      <c r="D66" s="21" t="n">
        <f aca="false">C66/$D$18</f>
        <v>0.121772513109597</v>
      </c>
      <c r="E66" s="21" t="n">
        <f aca="false">$C$18*D66</f>
        <v>0.00802349058619819</v>
      </c>
      <c r="F66" s="20" t="n">
        <f aca="false">(E66-$E$18)^2</f>
        <v>4.02352507417569E-006</v>
      </c>
      <c r="G66" s="20" t="n">
        <f aca="false">(E66-$F$18)^2</f>
        <v>3.62117256675812E-005</v>
      </c>
    </row>
    <row r="67" customFormat="false" ht="15" hidden="false" customHeight="false" outlineLevel="0" collapsed="false">
      <c r="A67" s="15" t="n">
        <v>14</v>
      </c>
      <c r="B67" s="4" t="str">
        <f aca="false">B19</f>
        <v>c_densidad_pob</v>
      </c>
      <c r="C67" s="16" t="n">
        <f aca="false">INDEX(2_Matriz_decision!$C$5:$Q$675,MATCH($B$52,2_Matriz_decision!$A$5:$A$675,0),A67)</f>
        <v>2</v>
      </c>
      <c r="D67" s="21" t="n">
        <f aca="false">C67/$D$19</f>
        <v>0.0529441535179372</v>
      </c>
      <c r="E67" s="21" t="n">
        <f aca="false">$C$19*D67</f>
        <v>0.00271682439873943</v>
      </c>
      <c r="F67" s="20" t="n">
        <f aca="false">(E67-$E$19)^2</f>
        <v>1.66075533305682E-005</v>
      </c>
      <c r="G67" s="20" t="n">
        <f aca="false">(E67-$F$19)^2</f>
        <v>1.84528370339647E-006</v>
      </c>
    </row>
    <row r="68" customFormat="false" ht="15" hidden="false" customHeight="false" outlineLevel="0" collapsed="false">
      <c r="A68" s="17" t="n">
        <v>15</v>
      </c>
      <c r="B68" s="5" t="str">
        <f aca="false">B20</f>
        <v>c_ancho_barra</v>
      </c>
      <c r="C68" s="18" t="n">
        <f aca="false">INDEX(2_Matriz_decision!$C$5:$Q$675,MATCH($B$52,2_Matriz_decision!$A$5:$A$675,0),A68)</f>
        <v>1</v>
      </c>
      <c r="D68" s="27" t="n">
        <f aca="false">C68/$D$20</f>
        <v>0.0133893885620924</v>
      </c>
      <c r="E68" s="27" t="n">
        <f aca="false">$C$20*D68</f>
        <v>0.00285926571798898</v>
      </c>
      <c r="F68" s="39" t="n">
        <f aca="false">(E68-$E$20)^2</f>
        <v>0.000130806407137073</v>
      </c>
      <c r="G68" s="39" t="n">
        <f aca="false">(E68-$F$20)^2</f>
        <v>0</v>
      </c>
    </row>
    <row r="69" customFormat="false" ht="15" hidden="false" customHeight="false" outlineLevel="0" collapsed="false">
      <c r="B69" s="4" t="s">
        <v>235</v>
      </c>
      <c r="F69" s="40" t="n">
        <f aca="false">SUM(F54:F68)</f>
        <v>0.00032794235765997</v>
      </c>
      <c r="G69" s="40" t="n">
        <f aca="false">SUM(G54:G68)</f>
        <v>8.12653680095896E-005</v>
      </c>
      <c r="H69" s="36" t="s">
        <v>236</v>
      </c>
    </row>
    <row r="70" customFormat="false" ht="15" hidden="false" customHeight="false" outlineLevel="0" collapsed="false">
      <c r="B70" s="7" t="s">
        <v>237</v>
      </c>
      <c r="D70" s="26" t="n">
        <f aca="false">SQRT(F69)</f>
        <v>0.0181091788234577</v>
      </c>
      <c r="E70" s="36" t="s">
        <v>238</v>
      </c>
    </row>
    <row r="71" customFormat="false" ht="15" hidden="false" customHeight="false" outlineLevel="0" collapsed="false">
      <c r="B71" s="7" t="s">
        <v>239</v>
      </c>
      <c r="D71" s="26" t="n">
        <f aca="false">SQRT(G69)</f>
        <v>0.00901473061214752</v>
      </c>
      <c r="E71" s="36" t="s">
        <v>240</v>
      </c>
    </row>
    <row r="72" customFormat="false" ht="15" hidden="false" customHeight="false" outlineLevel="0" collapsed="false">
      <c r="B72" s="7" t="s">
        <v>157</v>
      </c>
      <c r="D72" s="26" t="n">
        <f aca="false">D71/(D70+D71)</f>
        <v>0.332353661390492</v>
      </c>
      <c r="E72" s="36" t="s">
        <v>241</v>
      </c>
    </row>
    <row r="73" customFormat="false" ht="15" hidden="false" customHeight="false" outlineLevel="0" collapsed="false">
      <c r="B73" s="7" t="s">
        <v>158</v>
      </c>
      <c r="D73" s="41" t="n">
        <f aca="false">MIN(5,INT(D72/0.2)+1)</f>
        <v>2</v>
      </c>
      <c r="E73" s="36" t="s">
        <v>242</v>
      </c>
    </row>
    <row r="74" customFormat="false" ht="15" hidden="false" customHeight="false" outlineLevel="0" collapsed="false">
      <c r="B74" s="4" t="s">
        <v>243</v>
      </c>
      <c r="D74" s="21" t="n">
        <f aca="false">INDEX(6_Distancias_C!$E$5:$E$675,MATCH($B$52,6_Distancias_C!$A$5:$A$675,0))</f>
        <v>0.332353661390492</v>
      </c>
      <c r="E74" s="36" t="s">
        <v>244</v>
      </c>
    </row>
    <row r="75" customFormat="false" ht="15" hidden="false" customHeight="false" outlineLevel="0" collapsed="false">
      <c r="B75" s="4" t="s">
        <v>245</v>
      </c>
      <c r="D75" s="21" t="n">
        <f aca="false">INDEX(6_Distancias_C!$G$5:$G$675,MATCH($B$52,6_Distancias_C!$A$5:$A$675,0))</f>
        <v>0.332353661390492</v>
      </c>
      <c r="E75" s="36" t="s">
        <v>246</v>
      </c>
    </row>
    <row r="76" customFormat="false" ht="15" hidden="false" customHeight="false" outlineLevel="0" collapsed="false">
      <c r="B76" s="4" t="s">
        <v>247</v>
      </c>
      <c r="D76" s="28" t="n">
        <f aca="false">ABS(D72-D75)</f>
        <v>0</v>
      </c>
      <c r="E76" s="36" t="s">
        <v>248</v>
      </c>
    </row>
    <row r="79" customFormat="false" ht="15" hidden="false" customHeight="false" outlineLevel="0" collapsed="false">
      <c r="A79" s="7" t="s">
        <v>250</v>
      </c>
    </row>
    <row r="80" customFormat="false" ht="15" hidden="false" customHeight="false" outlineLevel="0" collapsed="false">
      <c r="A80" s="7" t="s">
        <v>77</v>
      </c>
      <c r="B80" s="37" t="n">
        <f aca="false">INDEX(6_Distancias_C!$A$5:$A$675,MATCH(MIN(6_Distancias_C!$E$5:$E$675),6_Distancias_C!$E$5:$E$675,0))</f>
        <v>551</v>
      </c>
      <c r="C80" s="38" t="s">
        <v>78</v>
      </c>
      <c r="D80" s="16" t="n">
        <f aca="false">INDEX(2_Matriz_decision!$B$5:$B$675,MATCH($B$80,2_Matriz_decision!$A$5:$A$675,0))</f>
        <v>55.275</v>
      </c>
    </row>
    <row r="81" customFormat="false" ht="30" hidden="false" customHeight="true" outlineLevel="0" collapsed="false">
      <c r="A81" s="2" t="s">
        <v>224</v>
      </c>
      <c r="B81" s="3" t="s">
        <v>225</v>
      </c>
      <c r="C81" s="3" t="s">
        <v>230</v>
      </c>
      <c r="D81" s="3" t="s">
        <v>231</v>
      </c>
      <c r="E81" s="3" t="s">
        <v>232</v>
      </c>
      <c r="F81" s="3" t="s">
        <v>233</v>
      </c>
      <c r="G81" s="3" t="s">
        <v>234</v>
      </c>
    </row>
    <row r="82" customFormat="false" ht="15" hidden="false" customHeight="false" outlineLevel="0" collapsed="false">
      <c r="A82" s="15" t="n">
        <v>1</v>
      </c>
      <c r="B82" s="4" t="str">
        <f aca="false">B6</f>
        <v>c_cambio_costa</v>
      </c>
      <c r="C82" s="16" t="n">
        <f aca="false">INDEX(2_Matriz_decision!$C$5:$Q$675,MATCH($B$80,2_Matriz_decision!$A$5:$A$675,0),A82)</f>
        <v>3</v>
      </c>
      <c r="D82" s="21" t="n">
        <f aca="false">C82/$D$6</f>
        <v>0.0263818470923654</v>
      </c>
      <c r="E82" s="21" t="n">
        <f aca="false">$C$6*D82</f>
        <v>0.00126894604045884</v>
      </c>
      <c r="F82" s="20" t="n">
        <f aca="false">(E82-$E$6)^2</f>
        <v>7.15655134931634E-007</v>
      </c>
      <c r="G82" s="20" t="n">
        <f aca="false">(E82-$F$6)^2</f>
        <v>7.15655134931634E-007</v>
      </c>
    </row>
    <row r="83" customFormat="false" ht="15" hidden="false" customHeight="false" outlineLevel="0" collapsed="false">
      <c r="A83" s="15" t="n">
        <v>2</v>
      </c>
      <c r="B83" s="4" t="str">
        <f aca="false">B7</f>
        <v>c_geomorfologia</v>
      </c>
      <c r="C83" s="16" t="n">
        <f aca="false">INDEX(2_Matriz_decision!$C$5:$Q$675,MATCH($B$80,2_Matriz_decision!$A$5:$A$675,0),A83)</f>
        <v>5</v>
      </c>
      <c r="D83" s="21" t="n">
        <f aca="false">C83/$D$7</f>
        <v>0.0418648306977948</v>
      </c>
      <c r="E83" s="21" t="n">
        <f aca="false">$C$7*D83</f>
        <v>0.00020543122737585</v>
      </c>
      <c r="F83" s="20" t="n">
        <f aca="false">(E83-$E$7)^2</f>
        <v>0</v>
      </c>
      <c r="G83" s="20" t="n">
        <f aca="false">(E83-$F$7)^2</f>
        <v>2.70092730759349E-008</v>
      </c>
    </row>
    <row r="84" customFormat="false" ht="15" hidden="false" customHeight="false" outlineLevel="0" collapsed="false">
      <c r="A84" s="15" t="n">
        <v>3</v>
      </c>
      <c r="B84" s="4" t="str">
        <f aca="false">B8</f>
        <v>c_elevacion</v>
      </c>
      <c r="C84" s="16" t="n">
        <f aca="false">INDEX(2_Matriz_decision!$C$5:$Q$675,MATCH($B$80,2_Matriz_decision!$A$5:$A$675,0),A84)</f>
        <v>1</v>
      </c>
      <c r="D84" s="21" t="n">
        <f aca="false">C84/$D$8</f>
        <v>0.0100180487462608</v>
      </c>
      <c r="E84" s="21" t="n">
        <f aca="false">$C$8*D84</f>
        <v>0.000464234763412067</v>
      </c>
      <c r="F84" s="20" t="n">
        <f aca="false">(E84-$E$8)^2</f>
        <v>3.44822264896412E-006</v>
      </c>
      <c r="G84" s="20" t="n">
        <f aca="false">(E84-$F$8)^2</f>
        <v>0</v>
      </c>
    </row>
    <row r="85" customFormat="false" ht="15" hidden="false" customHeight="false" outlineLevel="0" collapsed="false">
      <c r="A85" s="15" t="n">
        <v>4</v>
      </c>
      <c r="B85" s="4" t="str">
        <f aca="false">B9</f>
        <v>c_pendiente</v>
      </c>
      <c r="C85" s="16" t="n">
        <f aca="false">INDEX(2_Matriz_decision!$C$5:$Q$675,MATCH($B$80,2_Matriz_decision!$A$5:$A$675,0),A85)</f>
        <v>2</v>
      </c>
      <c r="D85" s="21" t="n">
        <f aca="false">C85/$D$9</f>
        <v>0.0197623055576251</v>
      </c>
      <c r="E85" s="21" t="n">
        <f aca="false">$C$9*D85</f>
        <v>0.000807018697041519</v>
      </c>
      <c r="F85" s="20" t="n">
        <f aca="false">(E85-$E$9)^2</f>
        <v>1.46537814909283E-006</v>
      </c>
      <c r="G85" s="20" t="n">
        <f aca="false">(E85-$F$9)^2</f>
        <v>1.62819794343648E-007</v>
      </c>
    </row>
    <row r="86" customFormat="false" ht="15" hidden="false" customHeight="false" outlineLevel="0" collapsed="false">
      <c r="A86" s="15" t="n">
        <v>5</v>
      </c>
      <c r="B86" s="4" t="str">
        <f aca="false">B10</f>
        <v>c_pendiente_playa</v>
      </c>
      <c r="C86" s="16" t="n">
        <f aca="false">INDEX(2_Matriz_decision!$C$5:$Q$675,MATCH($B$80,2_Matriz_decision!$A$5:$A$675,0),A86)</f>
        <v>4</v>
      </c>
      <c r="D86" s="21" t="n">
        <f aca="false">C86/$D$10</f>
        <v>0.0411149420220302</v>
      </c>
      <c r="E86" s="21" t="n">
        <f aca="false">$C$10*D86</f>
        <v>0.000280339284607229</v>
      </c>
      <c r="F86" s="20" t="n">
        <f aca="false">(E86-$E$10)^2</f>
        <v>4.9118821558808E-009</v>
      </c>
      <c r="G86" s="20" t="n">
        <f aca="false">(E86-$F$10)^2</f>
        <v>4.42069394029271E-008</v>
      </c>
    </row>
    <row r="87" customFormat="false" ht="15" hidden="false" customHeight="false" outlineLevel="0" collapsed="false">
      <c r="A87" s="15" t="n">
        <v>6</v>
      </c>
      <c r="B87" s="4" t="str">
        <f aca="false">B11</f>
        <v>c_oleaje</v>
      </c>
      <c r="C87" s="16" t="n">
        <f aca="false">INDEX(2_Matriz_decision!$C$5:$Q$675,MATCH($B$80,2_Matriz_decision!$A$5:$A$675,0),A87)</f>
        <v>1</v>
      </c>
      <c r="D87" s="21" t="n">
        <f aca="false">C87/$D$11</f>
        <v>0.0128089386344754</v>
      </c>
      <c r="E87" s="21" t="n">
        <f aca="false">$C$11*D87</f>
        <v>0.00169754589383076</v>
      </c>
      <c r="F87" s="20" t="n">
        <f aca="false">(E87-$E$11)^2</f>
        <v>4.61065929865867E-005</v>
      </c>
      <c r="G87" s="20" t="n">
        <f aca="false">(E87-$F$11)^2</f>
        <v>0</v>
      </c>
    </row>
    <row r="88" customFormat="false" ht="15" hidden="false" customHeight="false" outlineLevel="0" collapsed="false">
      <c r="A88" s="15" t="n">
        <v>7</v>
      </c>
      <c r="B88" s="4" t="str">
        <f aca="false">B12</f>
        <v>c_nivel_mar</v>
      </c>
      <c r="C88" s="16" t="n">
        <f aca="false">INDEX(2_Matriz_decision!$C$5:$Q$675,MATCH($B$80,2_Matriz_decision!$A$5:$A$675,0),A88)</f>
        <v>1</v>
      </c>
      <c r="D88" s="21" t="n">
        <f aca="false">C88/$D$12</f>
        <v>0.0148184741491462</v>
      </c>
      <c r="E88" s="21" t="n">
        <f aca="false">$C$12*D88</f>
        <v>0.00281086825420146</v>
      </c>
      <c r="F88" s="20" t="n">
        <f aca="false">(E88-$E$12)^2</f>
        <v>0.000126415685479641</v>
      </c>
      <c r="G88" s="20" t="n">
        <f aca="false">(E88-$F$12)^2</f>
        <v>0</v>
      </c>
    </row>
    <row r="89" customFormat="false" ht="15" hidden="false" customHeight="false" outlineLevel="0" collapsed="false">
      <c r="A89" s="15" t="n">
        <v>8</v>
      </c>
      <c r="B89" s="4" t="str">
        <f aca="false">B13</f>
        <v>c_granulometria</v>
      </c>
      <c r="C89" s="16" t="n">
        <f aca="false">INDEX(2_Matriz_decision!$C$5:$Q$675,MATCH($B$80,2_Matriz_decision!$A$5:$A$675,0),A89)</f>
        <v>3</v>
      </c>
      <c r="D89" s="21" t="n">
        <f aca="false">C89/$D$13</f>
        <v>0.0351992440847949</v>
      </c>
      <c r="E89" s="21" t="n">
        <f aca="false">$C$13*D89</f>
        <v>0.000255567041403239</v>
      </c>
      <c r="F89" s="20" t="n">
        <f aca="false">(E89-$E$13)^2</f>
        <v>2.90286722896021E-008</v>
      </c>
      <c r="G89" s="20" t="n">
        <f aca="false">(E89-$F$13)^2</f>
        <v>2.90286722896021E-008</v>
      </c>
    </row>
    <row r="90" customFormat="false" ht="15" hidden="false" customHeight="false" outlineLevel="0" collapsed="false">
      <c r="A90" s="15" t="n">
        <v>9</v>
      </c>
      <c r="B90" s="4" t="str">
        <f aca="false">B14</f>
        <v>c_sustrato</v>
      </c>
      <c r="C90" s="16" t="n">
        <f aca="false">INDEX(2_Matriz_decision!$C$5:$Q$675,MATCH($B$80,2_Matriz_decision!$A$5:$A$675,0),A90)</f>
        <v>5</v>
      </c>
      <c r="D90" s="21" t="n">
        <f aca="false">C90/$D$14</f>
        <v>0.039014903418414</v>
      </c>
      <c r="E90" s="21" t="n">
        <f aca="false">$C$14*D90</f>
        <v>3.90133374367575E-005</v>
      </c>
      <c r="F90" s="20" t="n">
        <f aca="false">(E90-$E$14)^2</f>
        <v>0</v>
      </c>
      <c r="G90" s="20" t="n">
        <f aca="false">(E90-$F$14)^2</f>
        <v>9.74105918690757E-010</v>
      </c>
    </row>
    <row r="91" customFormat="false" ht="15" hidden="false" customHeight="false" outlineLevel="0" collapsed="false">
      <c r="A91" s="15" t="n">
        <v>10</v>
      </c>
      <c r="B91" s="4" t="str">
        <f aca="false">B15</f>
        <v>c_cobertura</v>
      </c>
      <c r="C91" s="16" t="n">
        <f aca="false">INDEX(2_Matriz_decision!$C$5:$Q$675,MATCH($B$80,2_Matriz_decision!$A$5:$A$675,0),A91)</f>
        <v>2.056</v>
      </c>
      <c r="D91" s="21" t="n">
        <f aca="false">C91/$D$15</f>
        <v>0.0274915691311692</v>
      </c>
      <c r="E91" s="21" t="n">
        <f aca="false">$C$15*D91</f>
        <v>0.00103084704829706</v>
      </c>
      <c r="F91" s="20" t="n">
        <f aca="false">(E91-$E$15)^2</f>
        <v>2.17880244580165E-006</v>
      </c>
      <c r="G91" s="20" t="n">
        <f aca="false">(E91-$F$15)^2</f>
        <v>2.80330324134924E-007</v>
      </c>
    </row>
    <row r="92" customFormat="false" ht="15" hidden="false" customHeight="false" outlineLevel="0" collapsed="false">
      <c r="A92" s="15" t="n">
        <v>11</v>
      </c>
      <c r="B92" s="4" t="str">
        <f aca="false">B16</f>
        <v>c_uso_suelo</v>
      </c>
      <c r="C92" s="16" t="n">
        <f aca="false">INDEX(2_Matriz_decision!$C$5:$Q$675,MATCH($B$80,2_Matriz_decision!$A$5:$A$675,0),A92)</f>
        <v>4</v>
      </c>
      <c r="D92" s="21" t="n">
        <f aca="false">C92/$D$16</f>
        <v>0.0441878007760322</v>
      </c>
      <c r="E92" s="21" t="n">
        <f aca="false">$C$16*D92</f>
        <v>0.000826234875930515</v>
      </c>
      <c r="F92" s="20" t="n">
        <f aca="false">(E92-$E$16)^2</f>
        <v>4.26665043877446E-008</v>
      </c>
      <c r="G92" s="20" t="n">
        <f aca="false">(E92-$F$16)^2</f>
        <v>3.83998539489702E-007</v>
      </c>
    </row>
    <row r="93" customFormat="false" ht="15" hidden="false" customHeight="false" outlineLevel="0" collapsed="false">
      <c r="A93" s="15" t="n">
        <v>12</v>
      </c>
      <c r="B93" s="4" t="str">
        <f aca="false">B17</f>
        <v>c_dist_ruta90</v>
      </c>
      <c r="C93" s="16" t="n">
        <f aca="false">INDEX(2_Matriz_decision!$C$5:$Q$675,MATCH($B$80,2_Matriz_decision!$A$5:$A$675,0),A93)</f>
        <v>3</v>
      </c>
      <c r="D93" s="21" t="n">
        <f aca="false">C93/$D$17</f>
        <v>0.0336294130407101</v>
      </c>
      <c r="E93" s="21" t="n">
        <f aca="false">$C$17*D93</f>
        <v>0.00455938819577508</v>
      </c>
      <c r="F93" s="20" t="n">
        <f aca="false">(E93-$E$17)^2</f>
        <v>9.23912031989918E-006</v>
      </c>
      <c r="G93" s="20" t="n">
        <f aca="false">(E93-$F$17)^2</f>
        <v>9.23912031989918E-006</v>
      </c>
    </row>
    <row r="94" customFormat="false" ht="15" hidden="false" customHeight="false" outlineLevel="0" collapsed="false">
      <c r="A94" s="15" t="n">
        <v>13</v>
      </c>
      <c r="B94" s="4" t="str">
        <f aca="false">B18</f>
        <v>c_vivienda</v>
      </c>
      <c r="C94" s="16" t="n">
        <f aca="false">INDEX(2_Matriz_decision!$C$5:$Q$675,MATCH($B$80,2_Matriz_decision!$A$5:$A$675,0),A94)</f>
        <v>1</v>
      </c>
      <c r="D94" s="21" t="n">
        <f aca="false">C94/$D$18</f>
        <v>0.0304431282773992</v>
      </c>
      <c r="E94" s="21" t="n">
        <f aca="false">$C$18*D94</f>
        <v>0.00200587264654955</v>
      </c>
      <c r="F94" s="20" t="n">
        <f aca="false">(E94-$E$18)^2</f>
        <v>6.4376401186811E-005</v>
      </c>
      <c r="G94" s="20" t="n">
        <f aca="false">(E94-$F$18)^2</f>
        <v>0</v>
      </c>
    </row>
    <row r="95" customFormat="false" ht="15" hidden="false" customHeight="false" outlineLevel="0" collapsed="false">
      <c r="A95" s="15" t="n">
        <v>14</v>
      </c>
      <c r="B95" s="4" t="str">
        <f aca="false">B19</f>
        <v>c_densidad_pob</v>
      </c>
      <c r="C95" s="16" t="n">
        <f aca="false">INDEX(2_Matriz_decision!$C$5:$Q$675,MATCH($B$80,2_Matriz_decision!$A$5:$A$675,0),A95)</f>
        <v>2</v>
      </c>
      <c r="D95" s="21" t="n">
        <f aca="false">C95/$D$19</f>
        <v>0.0529441535179372</v>
      </c>
      <c r="E95" s="21" t="n">
        <f aca="false">$C$19*D95</f>
        <v>0.00271682439873943</v>
      </c>
      <c r="F95" s="20" t="n">
        <f aca="false">(E95-$E$19)^2</f>
        <v>1.66075533305682E-005</v>
      </c>
      <c r="G95" s="20" t="n">
        <f aca="false">(E95-$F$19)^2</f>
        <v>1.84528370339647E-006</v>
      </c>
    </row>
    <row r="96" customFormat="false" ht="15" hidden="false" customHeight="false" outlineLevel="0" collapsed="false">
      <c r="A96" s="17" t="n">
        <v>15</v>
      </c>
      <c r="B96" s="5" t="str">
        <f aca="false">B20</f>
        <v>c_ancho_barra</v>
      </c>
      <c r="C96" s="18" t="n">
        <f aca="false">INDEX(2_Matriz_decision!$C$5:$Q$675,MATCH($B$80,2_Matriz_decision!$A$5:$A$675,0),A96)</f>
        <v>1</v>
      </c>
      <c r="D96" s="27" t="n">
        <f aca="false">C96/$D$20</f>
        <v>0.0133893885620924</v>
      </c>
      <c r="E96" s="27" t="n">
        <f aca="false">$C$20*D96</f>
        <v>0.00285926571798898</v>
      </c>
      <c r="F96" s="39" t="n">
        <f aca="false">(E96-$E$20)^2</f>
        <v>0.000130806407137073</v>
      </c>
      <c r="G96" s="39" t="n">
        <f aca="false">(E96-$F$20)^2</f>
        <v>0</v>
      </c>
    </row>
    <row r="97" customFormat="false" ht="15" hidden="false" customHeight="false" outlineLevel="0" collapsed="false">
      <c r="B97" s="4" t="s">
        <v>235</v>
      </c>
      <c r="F97" s="40" t="n">
        <f aca="false">SUM(F82:F96)</f>
        <v>0.000401436425878203</v>
      </c>
      <c r="G97" s="40" t="n">
        <f aca="false">SUM(G82:G96)</f>
        <v>1.27284268068827E-005</v>
      </c>
      <c r="H97" s="36" t="s">
        <v>236</v>
      </c>
    </row>
    <row r="98" customFormat="false" ht="15" hidden="false" customHeight="false" outlineLevel="0" collapsed="false">
      <c r="B98" s="7" t="s">
        <v>237</v>
      </c>
      <c r="D98" s="26" t="n">
        <f aca="false">SQRT(F97)</f>
        <v>0.0200358784653482</v>
      </c>
      <c r="E98" s="36" t="s">
        <v>238</v>
      </c>
    </row>
    <row r="99" customFormat="false" ht="15" hidden="false" customHeight="false" outlineLevel="0" collapsed="false">
      <c r="B99" s="7" t="s">
        <v>239</v>
      </c>
      <c r="D99" s="26" t="n">
        <f aca="false">SQRT(G97)</f>
        <v>0.0035676920840906</v>
      </c>
      <c r="E99" s="36" t="s">
        <v>240</v>
      </c>
    </row>
    <row r="100" customFormat="false" ht="15" hidden="false" customHeight="false" outlineLevel="0" collapsed="false">
      <c r="B100" s="7" t="s">
        <v>157</v>
      </c>
      <c r="D100" s="26" t="n">
        <f aca="false">D99/(D98+D99)</f>
        <v>0.151150525155417</v>
      </c>
      <c r="E100" s="36" t="s">
        <v>241</v>
      </c>
    </row>
    <row r="101" customFormat="false" ht="15" hidden="false" customHeight="false" outlineLevel="0" collapsed="false">
      <c r="B101" s="7" t="s">
        <v>158</v>
      </c>
      <c r="D101" s="41" t="n">
        <f aca="false">MIN(5,INT(D100/0.2)+1)</f>
        <v>1</v>
      </c>
      <c r="E101" s="36" t="s">
        <v>242</v>
      </c>
    </row>
    <row r="102" customFormat="false" ht="15" hidden="false" customHeight="false" outlineLevel="0" collapsed="false">
      <c r="B102" s="4" t="s">
        <v>243</v>
      </c>
      <c r="D102" s="21" t="n">
        <f aca="false">INDEX(6_Distancias_C!$E$5:$E$675,MATCH($B$80,6_Distancias_C!$A$5:$A$675,0))</f>
        <v>0.151150525155417</v>
      </c>
      <c r="E102" s="36" t="s">
        <v>244</v>
      </c>
    </row>
    <row r="103" customFormat="false" ht="15" hidden="false" customHeight="false" outlineLevel="0" collapsed="false">
      <c r="B103" s="4" t="s">
        <v>245</v>
      </c>
      <c r="D103" s="21" t="n">
        <f aca="false">INDEX(6_Distancias_C!$G$5:$G$675,MATCH($B$80,6_Distancias_C!$A$5:$A$675,0))</f>
        <v>0.151150525155417</v>
      </c>
      <c r="E103" s="36" t="s">
        <v>246</v>
      </c>
    </row>
    <row r="104" customFormat="false" ht="15" hidden="false" customHeight="false" outlineLevel="0" collapsed="false">
      <c r="B104" s="4" t="s">
        <v>247</v>
      </c>
      <c r="D104" s="28" t="n">
        <f aca="false">ABS(D100-D103)</f>
        <v>0</v>
      </c>
      <c r="E104" s="36" t="s">
        <v>248</v>
      </c>
    </row>
    <row r="106" customFormat="false" ht="30" hidden="false" customHeight="true" outlineLevel="0" collapsed="false">
      <c r="A106" s="6" t="s">
        <v>251</v>
      </c>
      <c r="B106" s="6"/>
      <c r="C106" s="6"/>
      <c r="D106" s="6"/>
      <c r="E106" s="6"/>
      <c r="F106" s="6"/>
      <c r="G106" s="6"/>
      <c r="H106" s="6"/>
    </row>
  </sheetData>
  <mergeCells count="1">
    <mergeCell ref="A106:H10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2026-10-11T22:48:39Z</dcterms:created>
  <dc:creator>openpyxl</dc:creator>
  <dc:description/>
  <dc:language>en-US</dc:language>
  <cp:lastModifiedBy/>
  <dcterms:modified xsi:type="dcterms:W3CDTF">2026-10-11T22:48:40Z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